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tables/table10.xml" ContentType="application/vnd.openxmlformats-officedocument.spreadsheetml.table+xml"/>
  <Override PartName="/xl/drawings/drawing1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tables/table11.xml" ContentType="application/vnd.openxmlformats-officedocument.spreadsheetml.table+xml"/>
  <Override PartName="/xl/drawings/drawing1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trlProps/ctrlProp46.xml" ContentType="application/vnd.ms-excel.controlproperties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5be8d2cb3bfd474/Escritorio/SIGEM_Mami_Luisa/"/>
    </mc:Choice>
  </mc:AlternateContent>
  <xr:revisionPtr revIDLastSave="1" documentId="8_{64A5E7AB-DAC2-4C32-A14E-52DB250FE886}" xr6:coauthVersionLast="47" xr6:coauthVersionMax="47" xr10:uidLastSave="{BEC86131-15F5-4947-B90E-986FF799797B}"/>
  <bookViews>
    <workbookView xWindow="-120" yWindow="-120" windowWidth="20730" windowHeight="11040" firstSheet="8" activeTab="12" xr2:uid="{E3A2FC6A-6D66-4F1C-B467-CBF9AF6E3CEB}"/>
  </bookViews>
  <sheets>
    <sheet name="MENU" sheetId="4" r:id="rId1"/>
    <sheet name="AÑO 2011" sheetId="5" r:id="rId2"/>
    <sheet name="AÑO 2014" sheetId="7" r:id="rId3"/>
    <sheet name="AÑO 2016" sheetId="8" r:id="rId4"/>
    <sheet name="AÑO 2017" sheetId="10" r:id="rId5"/>
    <sheet name="AÑO 2018" sheetId="11" r:id="rId6"/>
    <sheet name="AÑO 2019" sheetId="12" r:id="rId7"/>
    <sheet name="AÑO 2020" sheetId="13" r:id="rId8"/>
    <sheet name="AÑO 2021" sheetId="14" r:id="rId9"/>
    <sheet name="AÑO 2022" sheetId="15" r:id="rId10"/>
    <sheet name="AÑO 2023" sheetId="16" r:id="rId11"/>
    <sheet name="AÑO 2024" sheetId="17" r:id="rId12"/>
    <sheet name="BASE DE DATOS" sheetId="2" r:id="rId13"/>
  </sheets>
  <definedNames>
    <definedName name="_xlnm._FilterDatabase" localSheetId="11" hidden="1">'AÑO 2024'!$E$6:$G$7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78" i="2" l="1"/>
  <c r="C119" i="17"/>
  <c r="C27" i="16"/>
  <c r="C71" i="14"/>
  <c r="C38" i="13"/>
  <c r="C16" i="12"/>
  <c r="C18" i="11"/>
  <c r="C14" i="10"/>
  <c r="C16" i="8"/>
  <c r="C13" i="7"/>
  <c r="C13" i="5"/>
  <c r="C113" i="15"/>
</calcChain>
</file>

<file path=xl/sharedStrings.xml><?xml version="1.0" encoding="utf-8"?>
<sst xmlns="http://schemas.openxmlformats.org/spreadsheetml/2006/main" count="3631" uniqueCount="1464">
  <si>
    <t xml:space="preserve">NOMBRE </t>
  </si>
  <si>
    <t>AÑO ESCOLAR</t>
  </si>
  <si>
    <t>FICHA</t>
  </si>
  <si>
    <t>NOMBRE COMPLETO</t>
  </si>
  <si>
    <t>NOMBRE</t>
  </si>
  <si>
    <t>2011-2012</t>
  </si>
  <si>
    <t>FREDERY ENRIQUE LANTIGUA</t>
  </si>
  <si>
    <t>2014-2015</t>
  </si>
  <si>
    <t xml:space="preserve">DANNA TERRERO ROJAS </t>
  </si>
  <si>
    <t>Total</t>
  </si>
  <si>
    <t>SEBASTIAN PAUL</t>
  </si>
  <si>
    <t>2016-2017</t>
  </si>
  <si>
    <t>GINNY YARITZA KING HERRERA</t>
  </si>
  <si>
    <t>HERMAS GABRIEL REYES CORPORAN</t>
  </si>
  <si>
    <t>ABDIL HUMBERTO RIVERA PIOS</t>
  </si>
  <si>
    <t>ALEJANDRO MERCEDES AVILA</t>
  </si>
  <si>
    <t>2017-2018</t>
  </si>
  <si>
    <t>ANGEL RAFAEL DEL ROSARIO SILVESTRE</t>
  </si>
  <si>
    <t>2018-2019</t>
  </si>
  <si>
    <t>CARLOS ANDRES PEÑA GUERRERO</t>
  </si>
  <si>
    <t>ALAN STARLIMG GERMAN CEDANO</t>
  </si>
  <si>
    <t>MELANIE BERROA MERCEDES</t>
  </si>
  <si>
    <t>ALVARO ALONZO JIMENEZ DE LA CRUZ</t>
  </si>
  <si>
    <t>MARVIN OTONIEL OLAÑO LUIS</t>
  </si>
  <si>
    <t>LIA YAELIS GOMEZ AVILA</t>
  </si>
  <si>
    <t>CAROL JAZMIN DE LA CRUZ</t>
  </si>
  <si>
    <t>2019-2020</t>
  </si>
  <si>
    <t>JACEL ABDIAS GREEN BELEN</t>
  </si>
  <si>
    <t>THOMAS ARIAN MEJIA PANIAGUA</t>
  </si>
  <si>
    <t>ROSMAISY ENCARNACION LUIS</t>
  </si>
  <si>
    <t>EUGENIO ISAAC DE LA CRUZ MEJIA</t>
  </si>
  <si>
    <t>2020-2021</t>
  </si>
  <si>
    <t>JEREMY GREEN BELEN</t>
  </si>
  <si>
    <t>JACELIN ESTHER GREEN BELIN</t>
  </si>
  <si>
    <t>DANNA ESMERARDA LEONARDO CHARLES</t>
  </si>
  <si>
    <t>RONNY NICOLAS PAREDES</t>
  </si>
  <si>
    <t>GILBERTO JOSE SCROGGINS SANTANA</t>
  </si>
  <si>
    <t>ZABDIEL FRANCISCO RINCON JIMENEZ</t>
  </si>
  <si>
    <t>PEDRO ENRIQUE ROSSO CASTILLO</t>
  </si>
  <si>
    <t>DIEGO SAMIR MORALES DE JESUS</t>
  </si>
  <si>
    <t>MASHIRA MASIEL RODRIGUEZ CAYETANO</t>
  </si>
  <si>
    <t>MIA ROCHEILY CEDEÑO POLANCO</t>
  </si>
  <si>
    <t>MAICOL MARTINEZ BATISTA</t>
  </si>
  <si>
    <t>ALBERTO FERRER PAREDES COLUMNA</t>
  </si>
  <si>
    <t>LUIS NICOLAS GARCIA DANIEL</t>
  </si>
  <si>
    <t>BERBIEL ALEJANDRO VALDEZ BRITO</t>
  </si>
  <si>
    <t>JAMILY MARIE PERDOMO PAREDES</t>
  </si>
  <si>
    <t>SONYI MARIELIS MORLA CEDEÑO</t>
  </si>
  <si>
    <t>GREG ADRIEL RODRIGUEZ PAULINO</t>
  </si>
  <si>
    <t>WILKINS OSVALDO CRUZ RODRIGUEZ</t>
  </si>
  <si>
    <t>NASHLY BEATRIZ PEROZO HODGE</t>
  </si>
  <si>
    <t>DARIEL ALEXANDER LIMENEZ VASQUEZ</t>
  </si>
  <si>
    <t>REASHLY ANDIRA MERCEDES GUERRERO</t>
  </si>
  <si>
    <t>USHER EDUARDO GOMEZ GUZMAN</t>
  </si>
  <si>
    <t>NESTOR MIGUEL BRITO INIRIO</t>
  </si>
  <si>
    <t>ISRAEL VASQUEZ RODRIGUEZ</t>
  </si>
  <si>
    <t>EMELY ERIANNY PASCUAL SANTANA</t>
  </si>
  <si>
    <t>ANGEL JHONIEL ENCARNACION LUIS</t>
  </si>
  <si>
    <t>2021-2022</t>
  </si>
  <si>
    <t>DARIANA ROMERO MOLINA</t>
  </si>
  <si>
    <t>ASTRID LISELOT AGUASIVAS VALDEZ</t>
  </si>
  <si>
    <t>ANDREILY MERMARIT DE JESUS ASTACIO</t>
  </si>
  <si>
    <t>AISLYN MEJIA ORTIZ</t>
  </si>
  <si>
    <t xml:space="preserve">MIGUEL ANTONIO QUIÑONES </t>
  </si>
  <si>
    <t>LISABDRO KING MOTA</t>
  </si>
  <si>
    <t>KEYNER BAEZ MEJIA</t>
  </si>
  <si>
    <t>CHRISTOPHER SANTANA JIMENEZ</t>
  </si>
  <si>
    <t>ANALIAS YELISA JONAIS</t>
  </si>
  <si>
    <t>ENMANUEL ZAHIR SALAS BLANCO</t>
  </si>
  <si>
    <t>BREILIN ESDRAS GONZALES ALCANTARA</t>
  </si>
  <si>
    <t>ADRIEL FLORENTINO QUEZADA</t>
  </si>
  <si>
    <t xml:space="preserve">ADRIAN PEREZ </t>
  </si>
  <si>
    <t>KAREN QUIÑONES RIJO</t>
  </si>
  <si>
    <t>GONZALO ANDRE HERRERO REYES</t>
  </si>
  <si>
    <t>EIDAN ISMAEL RENAUD CONSTANZO</t>
  </si>
  <si>
    <t>CARLOS JHAIR PIMENTEL PUELLO</t>
  </si>
  <si>
    <t>ARMONY FELIZ FERREIRA</t>
  </si>
  <si>
    <t>SAYHARA MAGDALENA LUIS</t>
  </si>
  <si>
    <t>ORMANY MENDEZ GUERRERO</t>
  </si>
  <si>
    <t>OMAIRY LIZMAR HERRERO GUERRERO</t>
  </si>
  <si>
    <t>LISBETH PAULINO BATISTA</t>
  </si>
  <si>
    <t>AXEL JUNIOR CORDERO VELEZ</t>
  </si>
  <si>
    <t>GIA CABRERA CEDANO</t>
  </si>
  <si>
    <t>LUZ CAMILA CONCEPCION CARBONELL</t>
  </si>
  <si>
    <t>EDELIN MASSIEL RODRIGUEZ MARTINEZ</t>
  </si>
  <si>
    <t>SOPHIA VIRGINIA HUERTAS GUERRERO</t>
  </si>
  <si>
    <t>KELLY THOMAS HODGE QUIÑONES</t>
  </si>
  <si>
    <t>ISMAEL FRANCISCO QUIÑONES</t>
  </si>
  <si>
    <t>VALENTINA GUERRERO ROSARIO</t>
  </si>
  <si>
    <t>MIGUEL ANTONIO QUIÑONES CIVIL</t>
  </si>
  <si>
    <t>VICTOR CHANELL VALERIO GOMEZ</t>
  </si>
  <si>
    <t>CHARLOTTE MASSIEL BRAZOBAN RAMIREZ</t>
  </si>
  <si>
    <t>KARIN ELIAS EMILIO MOREL</t>
  </si>
  <si>
    <t>MAYRELES SEVERINO GUERRERO</t>
  </si>
  <si>
    <t>CARLOS CORDERO NICOLAS</t>
  </si>
  <si>
    <t>SNAYDER ENMANUEL ROSARIO</t>
  </si>
  <si>
    <t>SEBASTIAN CRUZ RODRIGUEZ</t>
  </si>
  <si>
    <t>SOPHIA YILIANS VARGAS CORDERO</t>
  </si>
  <si>
    <t>ISABELLA CARLOTA HERRERO</t>
  </si>
  <si>
    <t>YALIA MASSIEL BRAZOBAN ROSARIO</t>
  </si>
  <si>
    <t>DANNA CAMILA MORENO ALFONSECA</t>
  </si>
  <si>
    <t>DAELING ENMANUEL SILVESTRE BRITO</t>
  </si>
  <si>
    <t>ALIAH ANGELIQUE MERCEDES SORIANO</t>
  </si>
  <si>
    <t>SAHONI VANESSA JIMENEZ FALCON</t>
  </si>
  <si>
    <t>ABRAHAM ALEXANDER RIVAS VICIOSO</t>
  </si>
  <si>
    <t>KATHLEEN AMELIA MEJIA PANIAGUA</t>
  </si>
  <si>
    <t>HEYDER AARON MEJIA MONTERO</t>
  </si>
  <si>
    <t>DARIAN MARIO FRAZER PAYNER</t>
  </si>
  <si>
    <t>YURANNI QUERUBE MARTINEZ REYES</t>
  </si>
  <si>
    <t>SADY NAILIN CEDEÑO VENTURA</t>
  </si>
  <si>
    <t>ELIANDRA FRAMAIRY MONTAS RAMIREZ</t>
  </si>
  <si>
    <t>AYLIN ODILET ESTEVEZ GARCIAS</t>
  </si>
  <si>
    <t>AURORA ACENCIO RIJO</t>
  </si>
  <si>
    <t>ELIAHAM FELIX UBIERA MAÑANA</t>
  </si>
  <si>
    <t>KEILER MILAN GOMEZ</t>
  </si>
  <si>
    <t>ABDIEL ALEXANDER ARMSTRONG SHEPHARD</t>
  </si>
  <si>
    <t>FRANYEIDY ZAPATA ARIAS</t>
  </si>
  <si>
    <t>2022-2023</t>
  </si>
  <si>
    <t>F-001</t>
  </si>
  <si>
    <t>F-002</t>
  </si>
  <si>
    <t>F-003</t>
  </si>
  <si>
    <t>F-004</t>
  </si>
  <si>
    <t>F-005</t>
  </si>
  <si>
    <t>F-006</t>
  </si>
  <si>
    <t>F-007</t>
  </si>
  <si>
    <t>F-008</t>
  </si>
  <si>
    <t>F-009</t>
  </si>
  <si>
    <t>F-010</t>
  </si>
  <si>
    <t>F-011</t>
  </si>
  <si>
    <t>F-012</t>
  </si>
  <si>
    <t>F-013</t>
  </si>
  <si>
    <t>F-014</t>
  </si>
  <si>
    <t>F-015</t>
  </si>
  <si>
    <t>F-016</t>
  </si>
  <si>
    <t>F-017</t>
  </si>
  <si>
    <t>F-018</t>
  </si>
  <si>
    <t>F-019</t>
  </si>
  <si>
    <t>F-020</t>
  </si>
  <si>
    <t>F-021</t>
  </si>
  <si>
    <t>F-022</t>
  </si>
  <si>
    <t>F-023</t>
  </si>
  <si>
    <t>F-024</t>
  </si>
  <si>
    <t>F-025</t>
  </si>
  <si>
    <t>F-026</t>
  </si>
  <si>
    <t>F-027</t>
  </si>
  <si>
    <t>F-028</t>
  </si>
  <si>
    <t>F-029</t>
  </si>
  <si>
    <t>F-030</t>
  </si>
  <si>
    <t>F-031</t>
  </si>
  <si>
    <t>F-032</t>
  </si>
  <si>
    <t>F-033</t>
  </si>
  <si>
    <t>F-034</t>
  </si>
  <si>
    <t>F-035</t>
  </si>
  <si>
    <t>F-036</t>
  </si>
  <si>
    <t>F-037</t>
  </si>
  <si>
    <t>F-038</t>
  </si>
  <si>
    <t>F-039</t>
  </si>
  <si>
    <t>F-040</t>
  </si>
  <si>
    <t>F-041</t>
  </si>
  <si>
    <t>F-042</t>
  </si>
  <si>
    <t>F-043</t>
  </si>
  <si>
    <t>F-044</t>
  </si>
  <si>
    <t>F-045</t>
  </si>
  <si>
    <t>F-046</t>
  </si>
  <si>
    <t>F-047</t>
  </si>
  <si>
    <t>F-048</t>
  </si>
  <si>
    <t>F-049</t>
  </si>
  <si>
    <t>F-050</t>
  </si>
  <si>
    <t>F-051</t>
  </si>
  <si>
    <t>F-052</t>
  </si>
  <si>
    <t>F-053</t>
  </si>
  <si>
    <t>F-054</t>
  </si>
  <si>
    <t>F-055</t>
  </si>
  <si>
    <t>F-056</t>
  </si>
  <si>
    <t>F-057</t>
  </si>
  <si>
    <t>F-058</t>
  </si>
  <si>
    <t>F-059</t>
  </si>
  <si>
    <t>WILL RODERICK MARTINEZ</t>
  </si>
  <si>
    <t>GABRIEL ALEXANDER</t>
  </si>
  <si>
    <t>BRITAMY MEJIA DE JESUS</t>
  </si>
  <si>
    <t>EITHAN SOSA MORLA</t>
  </si>
  <si>
    <t>BRIANY DE JESUS RODRIGUEZ</t>
  </si>
  <si>
    <t>JOEL NATAHIA ALCANTARA SILNICE</t>
  </si>
  <si>
    <t>JOSE MANUEL MERCEDES</t>
  </si>
  <si>
    <t>FRANDY ALBDIER PEREZ SARMIENTO</t>
  </si>
  <si>
    <t>MARIA PALOMA VANDERHORST</t>
  </si>
  <si>
    <t>ELIZA MARIA RODRIGUEZ</t>
  </si>
  <si>
    <t>DANNA PAOLA RODRIGUEZ DE LA CRUZ</t>
  </si>
  <si>
    <t>ARANSSA AXELYS GUILAMO DE LOS SANTOS</t>
  </si>
  <si>
    <t>ALEJANDRO JOSE MALDONADO VALDEZ</t>
  </si>
  <si>
    <t>ABRIL MARIE PILIER MOJICA</t>
  </si>
  <si>
    <t>KEYLER MANUEL RIVERA RAMIREZ</t>
  </si>
  <si>
    <t>JOLANNY YESMELL PEREZ MARTINEZ</t>
  </si>
  <si>
    <t>JANNIE ESMIRNA CEDEÑO CASTILLO</t>
  </si>
  <si>
    <t>ZAHIR DAVID RODRIGUEZ RAMIREZ</t>
  </si>
  <si>
    <t>AMELIA MARGARITA CARVAJAL RIJO</t>
  </si>
  <si>
    <t>JOEL CHISTIAN ALCANTARA SILNICE</t>
  </si>
  <si>
    <t xml:space="preserve">IAN ISMAEL HINOJOSA CIPRIAN </t>
  </si>
  <si>
    <t>ELIAS JUNIOR RICHARDSON RIVERA</t>
  </si>
  <si>
    <t>HELIN MARIE MELO HERRERO</t>
  </si>
  <si>
    <t>ANHELI DIAZ DE LA CRUZ</t>
  </si>
  <si>
    <t>ADRIEL CHALAS LEON</t>
  </si>
  <si>
    <t>BRIANNY LISBETH MERCEDES MIESES</t>
  </si>
  <si>
    <t>ALAIA MARIE DE LOS SANTOS</t>
  </si>
  <si>
    <t>JOSIAS ABDIEL VALENCIA LOUIS</t>
  </si>
  <si>
    <t>LESLIE YACENIELYS BAEZ SANTANA</t>
  </si>
  <si>
    <t>ISABELLA MARIE MOTA PION</t>
  </si>
  <si>
    <t>ISMILYN BETANCES</t>
  </si>
  <si>
    <t>LISBETH SANTANA FERREIS</t>
  </si>
  <si>
    <t>JADELYN SOPHIA MATEO DE LA CRUZ</t>
  </si>
  <si>
    <t>ALLAM SAMUEL LOUIS</t>
  </si>
  <si>
    <t>AMY YODALISA MACHUCA RUIZ</t>
  </si>
  <si>
    <t>ANFERNY SAMUEL ARIAS</t>
  </si>
  <si>
    <t>ANDER DE JESUS ROSARIO GUERRERO</t>
  </si>
  <si>
    <t>ERICH ENMANUEL PAULINO GUERRERO</t>
  </si>
  <si>
    <t>GUILLERMO ALEJANDRO PIERRE JARVIS</t>
  </si>
  <si>
    <t>KEILLY BERENICE MONSON LAUREANO</t>
  </si>
  <si>
    <t>ISABELLA SERRANO HERNANDEZ</t>
  </si>
  <si>
    <t>WILMER JOHAN ZAMBRANO LIGGETT</t>
  </si>
  <si>
    <t>JASLIN CRISTAL GIL RAMIREZ</t>
  </si>
  <si>
    <t>KIANALEE CASTILLO MEJIA</t>
  </si>
  <si>
    <t>MELANIE NOA OLIVO</t>
  </si>
  <si>
    <t>KARLENYS GERBACIO MORALES</t>
  </si>
  <si>
    <t>BRYANYERLI NICOLE RODRIGUEZ VELOZ</t>
  </si>
  <si>
    <t>LUIS ISAEL CEDENO PINALES</t>
  </si>
  <si>
    <t>CARLA PUELLO REYES</t>
  </si>
  <si>
    <t>AMIR REYES GARCIAS</t>
  </si>
  <si>
    <t>AUSTIN AMIR FIGUEROA MERCEDES</t>
  </si>
  <si>
    <t xml:space="preserve">ISABELLA BAEZ </t>
  </si>
  <si>
    <t>CAMILA DEL ROSARIO GARRIDO</t>
  </si>
  <si>
    <t xml:space="preserve">KAISHJERY POLANCO </t>
  </si>
  <si>
    <t>KEYSHA CABRERA FERRARA</t>
  </si>
  <si>
    <t>ZOE DEL ROSARIO APOLINARIO</t>
  </si>
  <si>
    <t>MEIMI RUIZ CALUMNA</t>
  </si>
  <si>
    <t>JHOAN ELUCIANO</t>
  </si>
  <si>
    <t>ZOE HERMAYONI BAUTISTA APONTE</t>
  </si>
  <si>
    <t xml:space="preserve">IAN TEJADA MANUEL </t>
  </si>
  <si>
    <t>LUIS CASTILLO RODRIGUEZ</t>
  </si>
  <si>
    <t>REYNER JOMAR RAMIREZ MALDONADO</t>
  </si>
  <si>
    <t>MELANIE NOA CARASGO</t>
  </si>
  <si>
    <t>DAIRYS ARIANNA SOLANO ESPIRITUSANTO</t>
  </si>
  <si>
    <t>DARIENNY ELIZABETH MARTINEZ BATISTA</t>
  </si>
  <si>
    <t>SARAH CALORINA RAMIREZ MONTERO</t>
  </si>
  <si>
    <t>YUDALIS MARTE DE LOS SANTOS MARTINEZ</t>
  </si>
  <si>
    <t>LESLY ROUSS ALFONSECA PIMENTEL</t>
  </si>
  <si>
    <t>ANDRIELYS YOCASTA GARCIA ZAPATA</t>
  </si>
  <si>
    <t>AMANDA MONTSERRAT SEVERINO AVILA</t>
  </si>
  <si>
    <t>JULIANNA TAMAR SERRANO VALDEZ</t>
  </si>
  <si>
    <t>MANUEL ELIAS MEDINA BATISTA</t>
  </si>
  <si>
    <t>IAN MARTINEZ CASTRO</t>
  </si>
  <si>
    <t>ANA SOFIA BERROA CASTRO</t>
  </si>
  <si>
    <t>MARIANGEL AMAYO GONZALES</t>
  </si>
  <si>
    <t>STEVE FRANCOS ANTONIE</t>
  </si>
  <si>
    <t>AMELIA BAEZ DEL ROSARIO</t>
  </si>
  <si>
    <t>JARDEN SAMBOY MERCEDES</t>
  </si>
  <si>
    <t xml:space="preserve"> SOPHIA YULIERNYS ALEXA</t>
  </si>
  <si>
    <t>ZOETH PAMELA BERROA PEREZ</t>
  </si>
  <si>
    <t>AARON FELIPE SIERRA</t>
  </si>
  <si>
    <t>ADRIAN ELEINI SANTANA CANELO</t>
  </si>
  <si>
    <t>YANDEL MIGUEL MARTE HERRERA</t>
  </si>
  <si>
    <t>DIANA ELIZABETH HERRERA BRITO</t>
  </si>
  <si>
    <t>NOAH ENMANUEL CASTILLO COOPER</t>
  </si>
  <si>
    <t>IVONNE MARIE DE LOS SANTOS</t>
  </si>
  <si>
    <t>DAVID NICOLAS AVILA LOPEZ</t>
  </si>
  <si>
    <t>BAYRON GABRIEL DE OLEO HILTON</t>
  </si>
  <si>
    <t>ARIANGEL MOREL BAEZ MARTINEZ</t>
  </si>
  <si>
    <t>GEMMA SOFIA SANTANA LEDESMA</t>
  </si>
  <si>
    <t>EYDELIN ABIGAIL PADILLA RIJO</t>
  </si>
  <si>
    <t>DEIREL ELIAS SERRANO ANGOMAS</t>
  </si>
  <si>
    <t>SHEIMY ABIGAIL QUEZADA PILIER</t>
  </si>
  <si>
    <t>MAYA ANTONELLA ROMERO LANGEL</t>
  </si>
  <si>
    <t>PAULA JOANLY PINEDA ROBLES</t>
  </si>
  <si>
    <t>SERENA TORRES RAMOS</t>
  </si>
  <si>
    <t>TIFFANY ZAPATA ARIAS</t>
  </si>
  <si>
    <t>LOANNY ALMANZAR FELIPE</t>
  </si>
  <si>
    <t>ALEXA ABIGAIL MEJIA INIRIO</t>
  </si>
  <si>
    <t>MICHAEL STEVE GARRIDO SANCHEZ</t>
  </si>
  <si>
    <t>MADELAINE CEDEÑO LAPPOT</t>
  </si>
  <si>
    <t>F-060</t>
  </si>
  <si>
    <t>F-061</t>
  </si>
  <si>
    <t>F-062</t>
  </si>
  <si>
    <t>F-063</t>
  </si>
  <si>
    <t>F-064</t>
  </si>
  <si>
    <t>F-065</t>
  </si>
  <si>
    <t>F-066</t>
  </si>
  <si>
    <t>F-067</t>
  </si>
  <si>
    <t>F-068</t>
  </si>
  <si>
    <t>F-069</t>
  </si>
  <si>
    <t>F-070</t>
  </si>
  <si>
    <t>F-071</t>
  </si>
  <si>
    <t>F-072</t>
  </si>
  <si>
    <t>F-073</t>
  </si>
  <si>
    <t>F-074</t>
  </si>
  <si>
    <t>F-075</t>
  </si>
  <si>
    <t>F-076</t>
  </si>
  <si>
    <t>F-077</t>
  </si>
  <si>
    <t>F-078</t>
  </si>
  <si>
    <t>F-079</t>
  </si>
  <si>
    <t>F-080</t>
  </si>
  <si>
    <t>F-081</t>
  </si>
  <si>
    <t>F-082</t>
  </si>
  <si>
    <t>F-083</t>
  </si>
  <si>
    <t>F-084</t>
  </si>
  <si>
    <t>F-085</t>
  </si>
  <si>
    <t>F-086</t>
  </si>
  <si>
    <t>F-087</t>
  </si>
  <si>
    <t>F-088</t>
  </si>
  <si>
    <t>F-089</t>
  </si>
  <si>
    <t>F-090</t>
  </si>
  <si>
    <t>F-091</t>
  </si>
  <si>
    <t>F-092</t>
  </si>
  <si>
    <t>F-093</t>
  </si>
  <si>
    <t>F-094</t>
  </si>
  <si>
    <t>F-095</t>
  </si>
  <si>
    <t>F-096</t>
  </si>
  <si>
    <t>F-097</t>
  </si>
  <si>
    <t>F-098</t>
  </si>
  <si>
    <t>F-099</t>
  </si>
  <si>
    <t>F-100</t>
  </si>
  <si>
    <t>F-101</t>
  </si>
  <si>
    <t>2023-2024</t>
  </si>
  <si>
    <t>CRISMAILY MARIE ROMAN PICCIRILLO</t>
  </si>
  <si>
    <t>KENDRY YOANGEL NACH RUIZ</t>
  </si>
  <si>
    <t>KENIA ELIANGEL MACH RUIZ</t>
  </si>
  <si>
    <t>VALERIE ABIGAIL QUIÑONES PEGUERO</t>
  </si>
  <si>
    <t>ELIAN JOSE MINAYA GUZMAN</t>
  </si>
  <si>
    <t>HERLY MICHELLE PEREZ GARCIA</t>
  </si>
  <si>
    <t>JEREMY ISAAC COLOME MONTAS</t>
  </si>
  <si>
    <t xml:space="preserve">ESTHER NUÑEZ </t>
  </si>
  <si>
    <t>ASTRISS MARIT GUILSMO DE LOS SANTOS</t>
  </si>
  <si>
    <t>DANELYS YASLIN POLANCO GERVACIO</t>
  </si>
  <si>
    <t>YAHIR ESTEBAN FELIZ HARVEY</t>
  </si>
  <si>
    <t>ABDIEL CARPIO ACOSTA</t>
  </si>
  <si>
    <t>PAOLA SOPHIA PANIAGUA APONTE</t>
  </si>
  <si>
    <t>JORGE SOLANO MARTINEZ</t>
  </si>
  <si>
    <t>2024-2025</t>
  </si>
  <si>
    <t>ELIANNY BERRA MENDEZ</t>
  </si>
  <si>
    <t>EIDDEL ELIAS SERRANO ANGOMAS</t>
  </si>
  <si>
    <t>ISABELLA CHARLOTTE QUETEN DANIEL</t>
  </si>
  <si>
    <t>NAILIN JOSE ANISCA</t>
  </si>
  <si>
    <t>MONTSERRAT MOTA PION</t>
  </si>
  <si>
    <t>BRYANDER RODRIGO MERCEDES GUERRERO</t>
  </si>
  <si>
    <t>DELAHIA SOFIA MONTERO INIRIO</t>
  </si>
  <si>
    <t>LOVERLY CAROLINE NUNEZ BAKER</t>
  </si>
  <si>
    <t>JHONNY ALEXANDER QUETEN DANIEL</t>
  </si>
  <si>
    <t>DANIEL EDUARDO GARRIDO SANCHEZ</t>
  </si>
  <si>
    <t>ESMAEL YAIR GONZALEZ SANTANA</t>
  </si>
  <si>
    <t>LESLIE CAMILA GOMEZ SANTANA</t>
  </si>
  <si>
    <t>FABIAN MOISES JOASSAINT RIZILE</t>
  </si>
  <si>
    <t>LIAM ONIEL CRUZ RICHARDSON</t>
  </si>
  <si>
    <t>RYAN RAFAEL CEDANO BRITO</t>
  </si>
  <si>
    <t>ISAAC ROCHE MARIANO</t>
  </si>
  <si>
    <t>JOSE ANGEL GERALDO BETANCES</t>
  </si>
  <si>
    <t>ZABDIEL ISAAC MARTINEZ JULIAN</t>
  </si>
  <si>
    <t>HEILIN MARIE MELO HERRERO</t>
  </si>
  <si>
    <t>MAIA PALOMA VANDERHORST</t>
  </si>
  <si>
    <t>TOTAL</t>
  </si>
  <si>
    <t>JOELY NATANIA ALCANTARA SILNICE</t>
  </si>
  <si>
    <t>SOPHIA YULIERNYS ALEXA</t>
  </si>
  <si>
    <t>ANDREW ABRAHAM DAVIS</t>
  </si>
  <si>
    <t>ARIELIS GABRIELA MATEO GUERRERO</t>
  </si>
  <si>
    <t>CHLOE GALIANNY CARPIO ZORRILLA</t>
  </si>
  <si>
    <t>CHRISTOPHER RAEL MOREL MARTINEZ</t>
  </si>
  <si>
    <t>JERIEL GUERRERO MARTINEZ</t>
  </si>
  <si>
    <t>KYE MARIE DURAN GARCIAS</t>
  </si>
  <si>
    <t>MIKENSON RODRIGUEZ</t>
  </si>
  <si>
    <t>ABIGAIL RODRIGUEZ PEREZ</t>
  </si>
  <si>
    <t>AMANDA REYES JACOB</t>
  </si>
  <si>
    <t>DASHLA SOFIA DE JESUS PEREZ</t>
  </si>
  <si>
    <t>DYLAN JARELL MOISES RAMOS</t>
  </si>
  <si>
    <t>EZEQUIEL TRINIDAD MULLER</t>
  </si>
  <si>
    <t>LIAM FELIX MONTERO</t>
  </si>
  <si>
    <t>ROSFREILY CARPIO BRANCH</t>
  </si>
  <si>
    <t>ROSNAILY ANABELL RIVERA SENA</t>
  </si>
  <si>
    <t>ERIANNY ELIZBETH CONCEPCION ABREU</t>
  </si>
  <si>
    <t>GADDIEL QUARLESS MALDONADO</t>
  </si>
  <si>
    <t>JAYDEN ABIEL FIGUEROA CASTRODA</t>
  </si>
  <si>
    <t>LIRAYS ABIGAIL MERCADO DE LA CRUZ</t>
  </si>
  <si>
    <t>LEONEL ALEJANDRO MARTINEZ RUIZ</t>
  </si>
  <si>
    <t>LORELEY SOPHIA DE AZA</t>
  </si>
  <si>
    <t>SEBASTIAN ANIBAL GERALDO RODRIGUEZ</t>
  </si>
  <si>
    <t>BRIATTNY CHANEL PICHARDO PEREZ</t>
  </si>
  <si>
    <t>HENSER ELIAS MARTES DE LA CRUZ</t>
  </si>
  <si>
    <t>MARIA LIA DE LA ROSA CANARIO</t>
  </si>
  <si>
    <t>ROGNER ISAAC VILLAVICENCIO ALMARANTE</t>
  </si>
  <si>
    <t>NAHOMI CAMILA RAMIREZ ROSARIO</t>
  </si>
  <si>
    <t>ROSMARLYN DE JESUS ARIAS</t>
  </si>
  <si>
    <t>RYAN ESTEBAN PEREZ TAPIA</t>
  </si>
  <si>
    <t>LIZ MARIE DRIGGS TOIRAC</t>
  </si>
  <si>
    <t>KEYLER ERNESTO CASTILLO NUÑEZ</t>
  </si>
  <si>
    <t>LIAN MARTE PEREZ</t>
  </si>
  <si>
    <t>HEYDAN DUBOIS</t>
  </si>
  <si>
    <t>CARLOS SAID PADUA GUILLEN</t>
  </si>
  <si>
    <t>ANIBAL RAFAEL PEREZ SANTANA</t>
  </si>
  <si>
    <t>SWARLDY ROSER FELICIANO ALVAREZ</t>
  </si>
  <si>
    <t>LIAM DAVID ESPIRITUSANTO RUIZ</t>
  </si>
  <si>
    <t>KAROLIN ESTHER HUGGINS BAEZ</t>
  </si>
  <si>
    <t>PATRIA ESMERALDA TOLENTINO PEREZ</t>
  </si>
  <si>
    <t>GEIRAM EMMANUEL ALCANTARA</t>
  </si>
  <si>
    <t>MATTIAS ROBELIN VANDERHORTS</t>
  </si>
  <si>
    <t>KAYLA PATRICIA CASTILLO NUÑEZ</t>
  </si>
  <si>
    <t>ISAURA YULEINI SUAREZ</t>
  </si>
  <si>
    <t>DIANNY ARIEL MARTE DE LA CRUZ</t>
  </si>
  <si>
    <t>BRIANNY ROSALY VARGAS SALOMON</t>
  </si>
  <si>
    <t>VICTORIA ABIGAIL MORLA CASTILLO</t>
  </si>
  <si>
    <t>ROSMERY YELIANNY PEREZ LUNA</t>
  </si>
  <si>
    <t>NAOMI ISABELLA RIVERA SANCHEZ</t>
  </si>
  <si>
    <t>LUIS ALEJANDRO MORALES SORIANO</t>
  </si>
  <si>
    <t>KEYDEN MANUEL NOVA BENITEZ</t>
  </si>
  <si>
    <t>WANDER DANIEL MARTINEZ PEGUERO</t>
  </si>
  <si>
    <t>SCARLETT ESTHER CASTILLO SANTANA</t>
  </si>
  <si>
    <t>MELANNY DIANNE CANDELARIO KNIGHT</t>
  </si>
  <si>
    <t>LISMEYRI JASMIN SEVERINO ECHAVARRIA</t>
  </si>
  <si>
    <t>YERIEL SANCHEZ</t>
  </si>
  <si>
    <t>RIANCI GABRIEL NUÑEZ SANCHEZ</t>
  </si>
  <si>
    <t>LIA JOHANA DRIGGS TOIRAC</t>
  </si>
  <si>
    <t>KATHLEEN NATHALI DE LA CRUZ MEDINA</t>
  </si>
  <si>
    <t>IAN ELIEL THOMAS CASTILLO</t>
  </si>
  <si>
    <t>CRISMEILYN YASMIN SEVERINO ECHAVARRIA</t>
  </si>
  <si>
    <t>JULIO ALEJANDRO TOLENTINO PEREZ</t>
  </si>
  <si>
    <t>SARAI YAQUELI MIESES DE AZA</t>
  </si>
  <si>
    <t>ROYWEN ALEXANDER MARTINEZ PEGUERO</t>
  </si>
  <si>
    <t>MELANY YARITSSELL RESTITUYO RODRIGUEZ</t>
  </si>
  <si>
    <t>JUNEIBI JANEL SOLER GARCIA</t>
  </si>
  <si>
    <t>JESHUA DAVID THOMAS CASTILLO</t>
  </si>
  <si>
    <t>FINA ABIGAIL PUELLO BASTISTA</t>
  </si>
  <si>
    <t>EVANGELINE LAURIANO SANTANA</t>
  </si>
  <si>
    <t>ESMIL JESUS HERNADEZ RODRIGUEZ</t>
  </si>
  <si>
    <t>ELIAS MOISES BERROA PEREZ</t>
  </si>
  <si>
    <t>DAVID SEBASTIAN RIJO CEDEÑO</t>
  </si>
  <si>
    <t>BRYANNA DEL CASTILLO RODRIGUEZ</t>
  </si>
  <si>
    <t>ASHANTY ALEXA ECHAVARRIA GUERRERO</t>
  </si>
  <si>
    <t>ARIELYS GUERRERO HERNANDEZ</t>
  </si>
  <si>
    <t>ANGELO LUIS POLLINA GERARDO</t>
  </si>
  <si>
    <t>AMAURY ALEZANDER MEDINA MELO</t>
  </si>
  <si>
    <t>ANA GISELADELPERO DESIDO</t>
  </si>
  <si>
    <t>AMBAR SOPHIA LEON SANTANA</t>
  </si>
  <si>
    <t>ANGEL MIGUEL MARTINEZ</t>
  </si>
  <si>
    <t>ABDIEL ISAAC MORALES ACEVEDO</t>
  </si>
  <si>
    <t>KLOHE ALEXANDRA MIESES CID</t>
  </si>
  <si>
    <t>JANET ARIANNA MEDINA MARTINEZ</t>
  </si>
  <si>
    <t>ISABELLA MARIE HANE</t>
  </si>
  <si>
    <t>GEORGE ALFREDO RUIZ JIMENEZ</t>
  </si>
  <si>
    <t>F-102</t>
  </si>
  <si>
    <t>F-103</t>
  </si>
  <si>
    <t>CAMILA ONDINA MEJIAS TORRES</t>
  </si>
  <si>
    <t>F-104</t>
  </si>
  <si>
    <t>ZIA DANAE MARTE BATISTA</t>
  </si>
  <si>
    <t>F-105</t>
  </si>
  <si>
    <t>ZOE YONEIDA TORRES DE LA ROSA</t>
  </si>
  <si>
    <t>F-106</t>
  </si>
  <si>
    <t>F-116</t>
  </si>
  <si>
    <t xml:space="preserve"> JABES DOUGLAS GARCIA PINEDA</t>
  </si>
  <si>
    <t>F-281</t>
  </si>
  <si>
    <t xml:space="preserve"> RUBEN JUNIOR GOMEZ AZA</t>
  </si>
  <si>
    <t>2012-2013</t>
  </si>
  <si>
    <t>F-468</t>
  </si>
  <si>
    <t>AARON MANUEL CRISPIN RUIZ</t>
  </si>
  <si>
    <t>AARON MAXIMILIANO CASTILLO VASQUEZ</t>
  </si>
  <si>
    <t>AARON SAMUEL ROSA RIJO</t>
  </si>
  <si>
    <t>ABEL ANTONY MATOS</t>
  </si>
  <si>
    <t>ABIGAIL DE LEON RICHIEZ</t>
  </si>
  <si>
    <t>ABIGAIL JOSEFINA POLANCO ENCARNACION</t>
  </si>
  <si>
    <t>2010-2011</t>
  </si>
  <si>
    <t>ABRAHAN TOVAR EDUARDO</t>
  </si>
  <si>
    <t>ABYS ANANDRI DOÑE GUZMAN</t>
  </si>
  <si>
    <t>ADRIAN ALBERTO RAMIREZ GIL</t>
  </si>
  <si>
    <t>2007-2008</t>
  </si>
  <si>
    <t>ADRIAN ENMANUEL CESPEDES AUSTRONG</t>
  </si>
  <si>
    <t>ADRIAN GUERRERO SHEPHARD</t>
  </si>
  <si>
    <t>ADRIAN JESUS LAURIANO</t>
  </si>
  <si>
    <t>ADRIAN OSIRIS BORRERO MENA</t>
  </si>
  <si>
    <t>ADRIAN STARLING RIJO HERRERA</t>
  </si>
  <si>
    <t>ADRIANO MORALES MORALES</t>
  </si>
  <si>
    <t xml:space="preserve">AGUEDO IRLANDY RIJO </t>
  </si>
  <si>
    <t>AILLYN ISABEL MONTILLA ENCARNACION</t>
  </si>
  <si>
    <t>ALAN ENMANUEL FERMIN DE LEON</t>
  </si>
  <si>
    <t>2015-2016</t>
  </si>
  <si>
    <t xml:space="preserve">ALAN ENMANUEL FLORIMON </t>
  </si>
  <si>
    <t>ALAN FRANCISCO SANEAUX UBIERA</t>
  </si>
  <si>
    <t>2008-2009</t>
  </si>
  <si>
    <t>ALBERTO MIGUEL GUERRERO ROMAN</t>
  </si>
  <si>
    <t>ALEJANDRA LISSELOT ROSARIO WELLS</t>
  </si>
  <si>
    <t>ALEJANDRO ENRIQUE DESCHAMPS</t>
  </si>
  <si>
    <t>ALEJANDRO GABRIEL SANCHEZ GUERRERO</t>
  </si>
  <si>
    <t>ALENNIS CRISTINA CORDERO CARVAJAL</t>
  </si>
  <si>
    <t>ALEXA LISSETTE JIMENEZ ROJAS</t>
  </si>
  <si>
    <t>ALEXANDER BLESS</t>
  </si>
  <si>
    <t>ALEXANDER VALDEZ</t>
  </si>
  <si>
    <t>ALEXANDRA CEDEÑO SOLANO</t>
  </si>
  <si>
    <t>2006-2007</t>
  </si>
  <si>
    <t>ALEXANDRA LEVEILLE DE LOS SANTOS</t>
  </si>
  <si>
    <t>2013-2014</t>
  </si>
  <si>
    <t>ALEXANDRA ORDOÑEZ CUSTILLO</t>
  </si>
  <si>
    <t>NIDO</t>
  </si>
  <si>
    <t>ALFREDO DAVID NUÑEZ BERROA</t>
  </si>
  <si>
    <t>ALIAH VICTORIA CAPELLAN ENCARNACION</t>
  </si>
  <si>
    <t>ALINA ESTHER NIEVES VILLAFAÑA</t>
  </si>
  <si>
    <t>ALVARO ISAAC MESSINA BATISTA</t>
  </si>
  <si>
    <t>AMBAR ISAIRA DIAZ RODRIGUEZ</t>
  </si>
  <si>
    <t>AMBAR YAMILEMANZANO FRANCISCO</t>
  </si>
  <si>
    <t>AMY DILIANYS KING VEGA</t>
  </si>
  <si>
    <t>AMY RIGUEL PEREZ LEONARDO</t>
  </si>
  <si>
    <t>ANA MARIA CRUZ ALONSO</t>
  </si>
  <si>
    <t xml:space="preserve">ANA MARIA MERCEDES </t>
  </si>
  <si>
    <t>ANA PAOLA SANTANA DE AZA</t>
  </si>
  <si>
    <t>ANABELYS RODRIGUEZ PEREZ</t>
  </si>
  <si>
    <t>ANDRE BRETON</t>
  </si>
  <si>
    <t>ANDREA JOHSEN BAUTISTA</t>
  </si>
  <si>
    <t>ANDRES ABDIAS BARBAUR PEGUERO</t>
  </si>
  <si>
    <t>ANDRES ALEJANDRO DE JESUS GARCIA</t>
  </si>
  <si>
    <t xml:space="preserve">ANDRES ENRIQUE DESCHAMPS </t>
  </si>
  <si>
    <t>4TO</t>
  </si>
  <si>
    <t>ANDRES MISAEL RODRIGUEZ POLANCO</t>
  </si>
  <si>
    <t>ANDRYN DE JESUS GARCIA</t>
  </si>
  <si>
    <t>2009-2010</t>
  </si>
  <si>
    <t>ANDY DAVID DEREZ COTES</t>
  </si>
  <si>
    <t>ANGEL ABDIEL CEDEÑO JIMENEZ</t>
  </si>
  <si>
    <t>ANGEL ABDIEL ROA RIJO</t>
  </si>
  <si>
    <t>ANGEL ALEXIS JIMENEZ ROJAS</t>
  </si>
  <si>
    <t>ANGEL DAVID PAULINO BATISTA</t>
  </si>
  <si>
    <t>ANGEL ELIEL RAMOS FERRAND</t>
  </si>
  <si>
    <t>ANGEL EMMANUEL PEPEN PIMENTEL</t>
  </si>
  <si>
    <t>ANGEL ESTIVEN GUZMAN ALFONSECA</t>
  </si>
  <si>
    <t>2DO</t>
  </si>
  <si>
    <t>ANGEL JAVIER RODRIGUEZ PEREZ</t>
  </si>
  <si>
    <t>ANGEL JOSE PINEDA</t>
  </si>
  <si>
    <t>ANGEL MANUEL MEDINA GARCIA</t>
  </si>
  <si>
    <t>ANGELINA EMILIA CONCEPCION PEGUERO</t>
  </si>
  <si>
    <t>ANGELO ABDIEL RIJO HERRERA</t>
  </si>
  <si>
    <t>ANGHEL JADIEL DE LA CRUZ PAUL</t>
  </si>
  <si>
    <t>ANNABELLY ORLANNE JULIEN ANTOINE</t>
  </si>
  <si>
    <t>APRIL ORIELA HERNANDEZ ARIAS</t>
  </si>
  <si>
    <t>ARGENIS ALBERTO ROSARIO REYES</t>
  </si>
  <si>
    <t>ARIANNY DE LOS SANTOS MARTINEZ</t>
  </si>
  <si>
    <t xml:space="preserve">ARLENYS DE LA CRUZ PERALTA </t>
  </si>
  <si>
    <t>ARLETTE MARIE QUEZADA RODRIGUEZ</t>
  </si>
  <si>
    <t>ARLIN MANUEL SOLANO MARTINEZ</t>
  </si>
  <si>
    <t>ASCHLY CAROLINA MARRELINO RICHIEC</t>
  </si>
  <si>
    <t>ASHENTY ANALIA PEREZ BERROA</t>
  </si>
  <si>
    <t>ASHLEY CHANNEL SANCHEZ GUTIERREZ</t>
  </si>
  <si>
    <t>ASHLEY LISSET PEREZ ROBLES</t>
  </si>
  <si>
    <t>ASHLEY NICOL NIKIFOROV SANCHEZ</t>
  </si>
  <si>
    <t>ASHLIE ESTEPHANIERODRIGUEZVEGA</t>
  </si>
  <si>
    <t xml:space="preserve">ASHLY SERRANO </t>
  </si>
  <si>
    <t xml:space="preserve">ASHLY YELIANNY BRITO </t>
  </si>
  <si>
    <t>AURI CHARLENNI RODRIGUEZ GUERRERO</t>
  </si>
  <si>
    <t>AXEL DANHIEL GONZALEZ CEDEÑO</t>
  </si>
  <si>
    <t>3RO</t>
  </si>
  <si>
    <t>AXEL FERNANDO FELIU MARTE</t>
  </si>
  <si>
    <t xml:space="preserve">AXEL HERNANDEZ FLARIAN </t>
  </si>
  <si>
    <t>AXEL JOEL QUIÑONES CANDELARIO</t>
  </si>
  <si>
    <t>AXEL MOISES BERROA PEREZ</t>
  </si>
  <si>
    <t>AXEL VLADIMIR PEÑA GUERRERO</t>
  </si>
  <si>
    <t>BAYRON DE LA CRUZ SANTANA</t>
  </si>
  <si>
    <t>BENOIT CARLENKY</t>
  </si>
  <si>
    <t>BERNANENES ADRIEN ADRIAN</t>
  </si>
  <si>
    <t>BIEMNIS NAJELY CHARLES DE LA ROSA</t>
  </si>
  <si>
    <t>BRAINEL ENUL LEBRON CESPEDES</t>
  </si>
  <si>
    <t>BRANDON JAIEN MIRANDA</t>
  </si>
  <si>
    <t>BRANDON MAXIMILIANO PONTINI CEDANO</t>
  </si>
  <si>
    <t>BRAYNER JOEL REYES RICHIEZ</t>
  </si>
  <si>
    <t>BRIANNA LORAINE MARCELO COATS</t>
  </si>
  <si>
    <t>BRYAN ADRIEL RIJO RIJO</t>
  </si>
  <si>
    <t>BRYAN AQUILES CEDEÑO JIMENEZ</t>
  </si>
  <si>
    <t>BRYAN EDUARDO SEVERINO CASTRO</t>
  </si>
  <si>
    <t>BRYAN ENMANUEL JIMENEZ MERCEDES</t>
  </si>
  <si>
    <t>BRYNER ENRIQUE BRITO SANTANA</t>
  </si>
  <si>
    <t>F-107</t>
  </si>
  <si>
    <t>CAMELIN DIOLEO</t>
  </si>
  <si>
    <t>F-108</t>
  </si>
  <si>
    <t>CAMILA ALEJANDRA GUZMAN PEÑA</t>
  </si>
  <si>
    <t>F-109</t>
  </si>
  <si>
    <t>CAMILA SAMARA GARCIA</t>
  </si>
  <si>
    <t>F-110</t>
  </si>
  <si>
    <t>CARLA SOPHIA CASTILLO SANCHEZ</t>
  </si>
  <si>
    <t>KINDER</t>
  </si>
  <si>
    <t>F-111</t>
  </si>
  <si>
    <t>CARLENSKY BENOIT</t>
  </si>
  <si>
    <t>F-112</t>
  </si>
  <si>
    <t>CARLOS ADRIAN GOMEZ CEDANO</t>
  </si>
  <si>
    <t>F-113</t>
  </si>
  <si>
    <t>CARLOS DANIEL ORSATELLY VEGA</t>
  </si>
  <si>
    <t>F-114</t>
  </si>
  <si>
    <t>CARLOS GUARIONEX VENAS</t>
  </si>
  <si>
    <t>F-115</t>
  </si>
  <si>
    <t>CARLOS MIGUEL OLIU DE LA CRUZ</t>
  </si>
  <si>
    <t>PRE-PRIMERO</t>
  </si>
  <si>
    <t>CARLOS REIDY PIMENTEL GALVEZ</t>
  </si>
  <si>
    <t>F-117</t>
  </si>
  <si>
    <t>CARMILET GOMEZ AZA</t>
  </si>
  <si>
    <t>F-118</t>
  </si>
  <si>
    <t>CAROL ROSMERLYN TAVAREZ AVELINO</t>
  </si>
  <si>
    <t>F-119</t>
  </si>
  <si>
    <t>CEDRIC BLADIMIR CASTILLO CASTILLO</t>
  </si>
  <si>
    <t>F-120</t>
  </si>
  <si>
    <t>CELINES MARIE TAVAREZ AULINO</t>
  </si>
  <si>
    <t>F-121</t>
  </si>
  <si>
    <t>CESAR ALONSO GUERRERO BUSBY</t>
  </si>
  <si>
    <t>F-122</t>
  </si>
  <si>
    <t>CESAR DAVIS DEL ROSARIO</t>
  </si>
  <si>
    <t>F-123</t>
  </si>
  <si>
    <t>CESAR EMIL ESQUEN RIVAS</t>
  </si>
  <si>
    <t>F-124</t>
  </si>
  <si>
    <t>CESAR JUNIOR RODRIGUEZ ROSARIO</t>
  </si>
  <si>
    <t>F-125</t>
  </si>
  <si>
    <t>CESAR NICOLAS PUELLO ARREDONDO</t>
  </si>
  <si>
    <t>F-126</t>
  </si>
  <si>
    <t>CHANTELL ELIZABETH RODRIGUEZ</t>
  </si>
  <si>
    <t>F-127</t>
  </si>
  <si>
    <t>CHARLIE ISMAEL OCRELA HERRERO</t>
  </si>
  <si>
    <t>F-128</t>
  </si>
  <si>
    <t>CHIRLYN ABIGAIL ANTONIO BASILIO</t>
  </si>
  <si>
    <t>F-129</t>
  </si>
  <si>
    <t>CHISTOFEER OYVIND BAUTISTA</t>
  </si>
  <si>
    <t>F-130</t>
  </si>
  <si>
    <t>CHRISTI MARIE DUVERGES MERCEDES</t>
  </si>
  <si>
    <t>F-131</t>
  </si>
  <si>
    <t>CHRISTOPHER ALBERTO PANIAGUA TORRES</t>
  </si>
  <si>
    <t>F-132</t>
  </si>
  <si>
    <t>COLIN ANDRES MAÑON RODRIGUEZ</t>
  </si>
  <si>
    <t>F-133</t>
  </si>
  <si>
    <t>CRISLEYDY RINCON</t>
  </si>
  <si>
    <t>F-134</t>
  </si>
  <si>
    <t>CRISMEIRY DAHIANA BRITO RODRIGUEZ</t>
  </si>
  <si>
    <t>F-135</t>
  </si>
  <si>
    <t>CRISTAL DESIREE DIAZ RODRIGUEZ</t>
  </si>
  <si>
    <t>F-136</t>
  </si>
  <si>
    <t>CRISTIAN ISSACRICHEZ</t>
  </si>
  <si>
    <t>F-137</t>
  </si>
  <si>
    <t>CRISTIAN MOISES BAEZ REYES</t>
  </si>
  <si>
    <t>F-138</t>
  </si>
  <si>
    <t xml:space="preserve">CRISTIANO CREALES </t>
  </si>
  <si>
    <t>F-139</t>
  </si>
  <si>
    <t>CRISTIANO CREALES UBAIN</t>
  </si>
  <si>
    <t>F-140</t>
  </si>
  <si>
    <t>CRISTOPHER DOMINGO MAYHUESO SANTANA</t>
  </si>
  <si>
    <t>F-141</t>
  </si>
  <si>
    <t>CRISTY MARIE</t>
  </si>
  <si>
    <t>F-142</t>
  </si>
  <si>
    <t>CRYSMEIDI HERRERA GUERRERO</t>
  </si>
  <si>
    <t>F-143</t>
  </si>
  <si>
    <t>DAFNE BENJAMIN NUÑEZ</t>
  </si>
  <si>
    <t>F-144</t>
  </si>
  <si>
    <t>DAINELIS ISABEL ORTEGA VILORIA</t>
  </si>
  <si>
    <t>F-145</t>
  </si>
  <si>
    <t>DALIAH ROSARIO CEDANO</t>
  </si>
  <si>
    <t>F-146</t>
  </si>
  <si>
    <t>DALIS EXCLEL UIBRE DE JESUS</t>
  </si>
  <si>
    <t>F-147</t>
  </si>
  <si>
    <t>DANIEL ALEXANDER CUETO VENTURA</t>
  </si>
  <si>
    <t>F-148</t>
  </si>
  <si>
    <t>DANIEL MONTILLACASTILLO</t>
  </si>
  <si>
    <t>F-149</t>
  </si>
  <si>
    <t>DANNA MIRANDA SHEPHARD SALADIN</t>
  </si>
  <si>
    <t>PRE-KINDER</t>
  </si>
  <si>
    <t>F-150</t>
  </si>
  <si>
    <t>DANNERIS LICIEN ESTEVEZ</t>
  </si>
  <si>
    <t>F-151</t>
  </si>
  <si>
    <t>DANYEL ANTONIO SALADIN PAUL</t>
  </si>
  <si>
    <t>F-152</t>
  </si>
  <si>
    <t>DANZEN HAZAEL GOMEZ CUESTA</t>
  </si>
  <si>
    <t>F-156</t>
  </si>
  <si>
    <t>DARWIN JOSE BRITO CUETO</t>
  </si>
  <si>
    <t>F-153</t>
  </si>
  <si>
    <t>DAVID GARCIA DURAN</t>
  </si>
  <si>
    <t>F-154</t>
  </si>
  <si>
    <t>DEBORA MINERVA PEREZ MARTE</t>
  </si>
  <si>
    <t>F-155</t>
  </si>
  <si>
    <t>DEIMY CASTILLO MALDONADO</t>
  </si>
  <si>
    <t>F-157</t>
  </si>
  <si>
    <t>DEIRIS RACHEL GUERRERO  SANCHEZ</t>
  </si>
  <si>
    <t>F-158</t>
  </si>
  <si>
    <t>DENZEL DE LOS SANTOS NUÑEZ</t>
  </si>
  <si>
    <t>F-159</t>
  </si>
  <si>
    <t>DEREK DIAZ REYNA</t>
  </si>
  <si>
    <t>F-160</t>
  </si>
  <si>
    <t>DERLYN GUSTAVO RODRIGUEZ MARIANO</t>
  </si>
  <si>
    <t>F-161</t>
  </si>
  <si>
    <t>DESIREE ALEXANDRA MARMOLEJOS</t>
  </si>
  <si>
    <t>F-162</t>
  </si>
  <si>
    <t>DEVIDSON FERNANDO RIVAS PEÑA</t>
  </si>
  <si>
    <t>F-163</t>
  </si>
  <si>
    <t>DIANA CAROLINA RODRIGUEZ MAZARA</t>
  </si>
  <si>
    <t>F-164</t>
  </si>
  <si>
    <t>DIANA ISABELLA LOZANO GARCIA</t>
  </si>
  <si>
    <t>F-165</t>
  </si>
  <si>
    <t>DIEGO ALBERMI MARIANO FLAQUER</t>
  </si>
  <si>
    <t>F-166</t>
  </si>
  <si>
    <t>DIEGO ALEJANDRO NUÑEZ SANCHEZ</t>
  </si>
  <si>
    <t>F-167</t>
  </si>
  <si>
    <t>DIEGO ALFONSO BERROA CRUZ</t>
  </si>
  <si>
    <t>F-168</t>
  </si>
  <si>
    <t>DIEGO ANEURIS SHEPHORD SALADIN</t>
  </si>
  <si>
    <t>F-169</t>
  </si>
  <si>
    <t>DIEGO CARLOS REYES CALDERON</t>
  </si>
  <si>
    <t>F-170</t>
  </si>
  <si>
    <t>DISLANDY ESTER ANTONIO BASILIO</t>
  </si>
  <si>
    <t>F-171</t>
  </si>
  <si>
    <t>DORIS MARIELIS JAZMIN CELDA</t>
  </si>
  <si>
    <t>F-172</t>
  </si>
  <si>
    <t>DYLAN ALONSO SORIANO GUERRERO</t>
  </si>
  <si>
    <t>F-173</t>
  </si>
  <si>
    <t>DYLAN ANTONIO SALADIN PAUL</t>
  </si>
  <si>
    <t>F-174</t>
  </si>
  <si>
    <t>DYLAN SEBASTIAN RAMOS LUCIANO</t>
  </si>
  <si>
    <t>F-175</t>
  </si>
  <si>
    <t>EDDY LEONARDO PEREZ MONTERO</t>
  </si>
  <si>
    <t>F-176</t>
  </si>
  <si>
    <t>EDELYN FERMIN MOREL</t>
  </si>
  <si>
    <t>F-177</t>
  </si>
  <si>
    <t>EDER MANUEL FORTUN DONAIS</t>
  </si>
  <si>
    <t>F-178</t>
  </si>
  <si>
    <t>EDRIAM GUARIONEX MENDEZ BERIHUETE</t>
  </si>
  <si>
    <t>F-179</t>
  </si>
  <si>
    <t xml:space="preserve">EDUARD ALEXANDER GUERRERO </t>
  </si>
  <si>
    <t>F-180</t>
  </si>
  <si>
    <t>EDUARD SAMUEL RIJO FONTAL</t>
  </si>
  <si>
    <t>F-183</t>
  </si>
  <si>
    <t>EDUARDO ALEXIS PEREZ JORGE</t>
  </si>
  <si>
    <t>F-181</t>
  </si>
  <si>
    <t>EDUARDO ELIAS CANO CAMASTA</t>
  </si>
  <si>
    <t>F-182</t>
  </si>
  <si>
    <t>EDWARD MISAEL GARRIDO SANCHEZ</t>
  </si>
  <si>
    <t>F-184</t>
  </si>
  <si>
    <t>EILYM MEIVILY REMIGIO</t>
  </si>
  <si>
    <t>F-199</t>
  </si>
  <si>
    <t>EIMY NICOLE GERONIMO ROSARIO</t>
  </si>
  <si>
    <t>F-185</t>
  </si>
  <si>
    <t>ELAINE DANIELA FRIAS BELEN</t>
  </si>
  <si>
    <t>F-186</t>
  </si>
  <si>
    <t>ELANY ANTONIO DESGUE SANCHEZ</t>
  </si>
  <si>
    <t>F-187</t>
  </si>
  <si>
    <t>ELENISBEL RICHARDSON CASTILLO</t>
  </si>
  <si>
    <t>F-188</t>
  </si>
  <si>
    <t>ELI MANUEL GERMAN VALDEZ</t>
  </si>
  <si>
    <t>F-189</t>
  </si>
  <si>
    <t>ELIAN DAVID CHIRENO JALDEZ</t>
  </si>
  <si>
    <t>F-190</t>
  </si>
  <si>
    <t>ELIAN EZEQUIEL DEL ROSARIO ESTRELLA</t>
  </si>
  <si>
    <t>F-191</t>
  </si>
  <si>
    <t>ELIAN MODESTO BATISTA FERNANDEZ</t>
  </si>
  <si>
    <t>PRE-PRIMARIO</t>
  </si>
  <si>
    <t>F-192</t>
  </si>
  <si>
    <t>ELIAN MOISES MONTERO MONTERO</t>
  </si>
  <si>
    <t>F-193</t>
  </si>
  <si>
    <t>ELIAN SANTANA GONZALEZ</t>
  </si>
  <si>
    <t>F-194</t>
  </si>
  <si>
    <t>ELIAS CASTILLO CEDANO</t>
  </si>
  <si>
    <t>F-195</t>
  </si>
  <si>
    <t xml:space="preserve">ELIEZER RODRIGUEZ </t>
  </si>
  <si>
    <t>F-196</t>
  </si>
  <si>
    <t>ELIHER BENJAMIN SANTANA MONTERO</t>
  </si>
  <si>
    <t>F-197</t>
  </si>
  <si>
    <t>ELITHSARA ABIGAIL ARIAS PEÑA</t>
  </si>
  <si>
    <t>F-198</t>
  </si>
  <si>
    <t>EMANUEL AQUILES BELLO</t>
  </si>
  <si>
    <t>F-200</t>
  </si>
  <si>
    <t>EMELY LISSETTE BAEZ</t>
  </si>
  <si>
    <t>F-201</t>
  </si>
  <si>
    <t>EMELY SENADOR GUILAMO</t>
  </si>
  <si>
    <t>F-202</t>
  </si>
  <si>
    <t>EMIL ALEXANDER DE LOS SANTOS LOPEZ</t>
  </si>
  <si>
    <t>F-203</t>
  </si>
  <si>
    <t>EMILY CAMILA CABRERA CRUZ</t>
  </si>
  <si>
    <t>F-204</t>
  </si>
  <si>
    <t>EMILY LOREINE MOLINA CORDERO</t>
  </si>
  <si>
    <t>F-205</t>
  </si>
  <si>
    <t>EMMANUEL DE LA CRUZ GUERRERO</t>
  </si>
  <si>
    <t>F-206</t>
  </si>
  <si>
    <t>EMMANUEL PAUL</t>
  </si>
  <si>
    <t>F-207</t>
  </si>
  <si>
    <t>EMMANUEL REYES MEJIA</t>
  </si>
  <si>
    <t>F-208</t>
  </si>
  <si>
    <t>EMMY ELIZABETH MONTILLA CASTILLO</t>
  </si>
  <si>
    <t>F-209</t>
  </si>
  <si>
    <t>ENGEL CASTRO JAVIER</t>
  </si>
  <si>
    <t>F-210</t>
  </si>
  <si>
    <t>ENMANUEL CASTRO JAVIER</t>
  </si>
  <si>
    <t>F-211</t>
  </si>
  <si>
    <t>ENMANUEL HERRERA BERROA</t>
  </si>
  <si>
    <t>F-212</t>
  </si>
  <si>
    <t>ENMANUEL PEÑA</t>
  </si>
  <si>
    <t>F-213</t>
  </si>
  <si>
    <t>ENULY ALCANTARA DANIELA</t>
  </si>
  <si>
    <t>F-214</t>
  </si>
  <si>
    <t>ERIC ADRIAN CIPRIAN BASTARDO</t>
  </si>
  <si>
    <t>F-215</t>
  </si>
  <si>
    <t>ERICK ANIBAL FERNANDEZ CUEVA</t>
  </si>
  <si>
    <t>F-216</t>
  </si>
  <si>
    <t>ERICK AURELIO LINEW EAUER</t>
  </si>
  <si>
    <t>F-217</t>
  </si>
  <si>
    <t>ERIK MATTHEW ALBERTO</t>
  </si>
  <si>
    <t>F-218</t>
  </si>
  <si>
    <t>ERIKA MARIE WILLIANS</t>
  </si>
  <si>
    <t>F-219</t>
  </si>
  <si>
    <t>ERNESTO ANTONIO MORALES ALVAREZ</t>
  </si>
  <si>
    <t>F-220</t>
  </si>
  <si>
    <t>ESMEISY TARINA RAMIREZ GUERRERO</t>
  </si>
  <si>
    <t>F-221</t>
  </si>
  <si>
    <t>ESTARLIN DANIEL FRIAS BELEN</t>
  </si>
  <si>
    <t>2017-25018</t>
  </si>
  <si>
    <t>F-222</t>
  </si>
  <si>
    <t xml:space="preserve">ESTARLING VARGAS CASTRO </t>
  </si>
  <si>
    <t>F-223</t>
  </si>
  <si>
    <t>ESTEISY REYES GARCIA</t>
  </si>
  <si>
    <t>F-225</t>
  </si>
  <si>
    <t xml:space="preserve">ESTHER ALEXANDRA VILORIA SUFRONT </t>
  </si>
  <si>
    <t>F-224</t>
  </si>
  <si>
    <t>EVA NICOLE RODRIGUEZ POLANCO</t>
  </si>
  <si>
    <t>F-226</t>
  </si>
  <si>
    <t>FABIO RODOLPH CASTILLO BROEWNE</t>
  </si>
  <si>
    <t>F-227</t>
  </si>
  <si>
    <t>FELIX ALEJANDRO DURAN RIJO</t>
  </si>
  <si>
    <t>F-228</t>
  </si>
  <si>
    <t>FELIX SAMUEL RODRIGUEZ BAEZ</t>
  </si>
  <si>
    <t>F-229</t>
  </si>
  <si>
    <t>FELIX STANLEY SANCHEZ SANTOS</t>
  </si>
  <si>
    <t>F-230</t>
  </si>
  <si>
    <t>FERNANDO AUGUSTO RIJO VILLAR</t>
  </si>
  <si>
    <t>F-231</t>
  </si>
  <si>
    <t>FERNANDO MEUDEZ</t>
  </si>
  <si>
    <t>F-232</t>
  </si>
  <si>
    <t>FLOR ESTER RIJO FONTAL</t>
  </si>
  <si>
    <t>F-233</t>
  </si>
  <si>
    <t>FRANCIS ERNESTO ACEVEDO SANTANA</t>
  </si>
  <si>
    <t>F-234</t>
  </si>
  <si>
    <t>FRANCISCO ELIAN CASTILLO HERRERA</t>
  </si>
  <si>
    <t>F-235</t>
  </si>
  <si>
    <t>FRANK ANTONIO</t>
  </si>
  <si>
    <t>F-236</t>
  </si>
  <si>
    <t>FRANYELI RODRIGUEZ DEL ROSARIO</t>
  </si>
  <si>
    <t>F-237</t>
  </si>
  <si>
    <t>FREDERIK LIRIANO RODRIGUEZ</t>
  </si>
  <si>
    <t>F-238</t>
  </si>
  <si>
    <t>GABRIEL ALEXANDER ROSARIO REYES</t>
  </si>
  <si>
    <t>F-239</t>
  </si>
  <si>
    <t>GABRIELA ALEJANDRA BREA RIJO</t>
  </si>
  <si>
    <t>F-240</t>
  </si>
  <si>
    <t>GABRIELA LEONARDO GUILERMO</t>
  </si>
  <si>
    <t>F-241</t>
  </si>
  <si>
    <t xml:space="preserve">GENESIS MARIEL RAFAEL MARIBEL </t>
  </si>
  <si>
    <t>F-242</t>
  </si>
  <si>
    <t>GENESIS WILKIARA DONAIS HERRERA</t>
  </si>
  <si>
    <t>F-244</t>
  </si>
  <si>
    <t>GEORGE ISMAEL CASTILLO RODRIGUEZ</t>
  </si>
  <si>
    <t>F-245</t>
  </si>
  <si>
    <t>GERAMY CAMIL GOMEZ</t>
  </si>
  <si>
    <t>F-246</t>
  </si>
  <si>
    <t>GIAMGALORIEL VIDA SABTOS</t>
  </si>
  <si>
    <t>F-247</t>
  </si>
  <si>
    <t>GISMEIRY FERMIN MOREL</t>
  </si>
  <si>
    <t>F-248</t>
  </si>
  <si>
    <t>GLORIA MARTINEZ BAUTISTA</t>
  </si>
  <si>
    <t>F-249</t>
  </si>
  <si>
    <t>GLORY GRISEL UBIERA DULUC</t>
  </si>
  <si>
    <t>F-250</t>
  </si>
  <si>
    <t>GRACIELA ELIZABETH SANTANA SANCHEZ</t>
  </si>
  <si>
    <t>F-251</t>
  </si>
  <si>
    <t>GRAETTAN DAVID ROBELIN</t>
  </si>
  <si>
    <t>F-252</t>
  </si>
  <si>
    <t>GREGORY ALLEN RODRIGUEZ PAULINO</t>
  </si>
  <si>
    <t>F-253</t>
  </si>
  <si>
    <t>GUSTAVO RENE LEONARDO</t>
  </si>
  <si>
    <t>F-254</t>
  </si>
  <si>
    <t>HAMILTON ZAHIR PUJOLS CASTILLO</t>
  </si>
  <si>
    <t>F-255</t>
  </si>
  <si>
    <t>HANZEL DE LOS SANTOS NUÑEZ</t>
  </si>
  <si>
    <t>F-256</t>
  </si>
  <si>
    <t>HARVEY STEPHAN VANDERSHORST</t>
  </si>
  <si>
    <t>F-257</t>
  </si>
  <si>
    <t>HECTOR JULIO PUELLO NUÑEZ</t>
  </si>
  <si>
    <t>F-258</t>
  </si>
  <si>
    <t>HECTOR XAHEL EUSTAQUIO AVILA</t>
  </si>
  <si>
    <t>F-259</t>
  </si>
  <si>
    <t>HEFZI-BAH AVILA SEVERINO</t>
  </si>
  <si>
    <t>F-260</t>
  </si>
  <si>
    <t>HEILY ESTER MESIDA GONZALES</t>
  </si>
  <si>
    <t>F-261</t>
  </si>
  <si>
    <t>HELANI NATHACHA DEL JESUS RIJO</t>
  </si>
  <si>
    <t>F-262</t>
  </si>
  <si>
    <t>HELENE GABRIELA TIBURCIO ANA</t>
  </si>
  <si>
    <t>F-263</t>
  </si>
  <si>
    <t>HENRY EDWARD DE OLEO</t>
  </si>
  <si>
    <t>F-264</t>
  </si>
  <si>
    <t>HEURY ESTEBAN MESIDO GONZALEZ</t>
  </si>
  <si>
    <t>F-265</t>
  </si>
  <si>
    <t>HILARI ARLENE RODRIGUEZ</t>
  </si>
  <si>
    <t>F-266</t>
  </si>
  <si>
    <t>HONEY LOUIS QUETEN</t>
  </si>
  <si>
    <t>F-267</t>
  </si>
  <si>
    <t>IAN FRANCISCO CAPELLAN ENCARNACION</t>
  </si>
  <si>
    <t>F-268</t>
  </si>
  <si>
    <t>IAN SEBASTIAN LEONARDO SALOMON</t>
  </si>
  <si>
    <t>F-269</t>
  </si>
  <si>
    <t>ILIANA MARIE PAREDES</t>
  </si>
  <si>
    <t>F-270</t>
  </si>
  <si>
    <t>ILIANNA LISBETTE ARAUJO GARCIA</t>
  </si>
  <si>
    <t>F-271</t>
  </si>
  <si>
    <t>INDRIRA NELSON CORPORAN</t>
  </si>
  <si>
    <t>F-272</t>
  </si>
  <si>
    <t>IRENE CAMILA DIAZ RODRIGUEZ</t>
  </si>
  <si>
    <t>F-273</t>
  </si>
  <si>
    <t>ISABEL BAUTISTA MARTINEZ</t>
  </si>
  <si>
    <t>F-274</t>
  </si>
  <si>
    <t>ISABELLA MARIE RODRIGUEZ KING</t>
  </si>
  <si>
    <t>F-275</t>
  </si>
  <si>
    <t>ISMAEL DE LEON YOUNG</t>
  </si>
  <si>
    <t>F-276</t>
  </si>
  <si>
    <t>ISORYS NAYADETH SANTANA FIGUEROA</t>
  </si>
  <si>
    <t>F-277</t>
  </si>
  <si>
    <t>IVERSON ARTURO DE LA CRUZ SANCHEZ</t>
  </si>
  <si>
    <t>F-278</t>
  </si>
  <si>
    <t>IVONNE AILYN CANDELARIO BERAS</t>
  </si>
  <si>
    <t>F-279</t>
  </si>
  <si>
    <t>JABES BENJAMING BALTAZAR MONSAC</t>
  </si>
  <si>
    <t>F-280</t>
  </si>
  <si>
    <t>JACOB ISAAC MORALES</t>
  </si>
  <si>
    <t>F-282</t>
  </si>
  <si>
    <t>JADE NAZOMI GOMEZ RIVERA</t>
  </si>
  <si>
    <t>F-284</t>
  </si>
  <si>
    <t xml:space="preserve">JADEN EMMANUEL COLOME SANTILLAN </t>
  </si>
  <si>
    <t>F-285</t>
  </si>
  <si>
    <t>JAGDIEL ARTURO DE LA CRUZ</t>
  </si>
  <si>
    <t>F-286</t>
  </si>
  <si>
    <t>JAKIARIS ALEXANDRA DERES ACEVEDA</t>
  </si>
  <si>
    <t>F-287</t>
  </si>
  <si>
    <t>JANICE MERCEDES ALEJANDRA LUNA MONTILLA</t>
  </si>
  <si>
    <t>F-288</t>
  </si>
  <si>
    <t>JARO ALEJANDRO MADRID FOENDA</t>
  </si>
  <si>
    <t>F-289</t>
  </si>
  <si>
    <t>JAZBERLYN MAYRENI LUNA CESPEDES</t>
  </si>
  <si>
    <t>F-290</t>
  </si>
  <si>
    <t>JAZHIR ISMAEL PION RUIZ</t>
  </si>
  <si>
    <t>F-291</t>
  </si>
  <si>
    <t xml:space="preserve">JEAN MARTIN DE JESUS </t>
  </si>
  <si>
    <t>F-292</t>
  </si>
  <si>
    <t>JEANCARCLOS CASTILLO RUBIROSA</t>
  </si>
  <si>
    <t>F-293</t>
  </si>
  <si>
    <t>JEFERLI JEANNETTE</t>
  </si>
  <si>
    <t>F-294</t>
  </si>
  <si>
    <t>JEFFREY ALEXANDER DE OLEO MEDINA</t>
  </si>
  <si>
    <t>F-295</t>
  </si>
  <si>
    <t>JEILYN SANTANA DEL ORDEN</t>
  </si>
  <si>
    <t>F-296</t>
  </si>
  <si>
    <t>JENNIFER ALINA MARTINEZ DE OLEO</t>
  </si>
  <si>
    <t>F-297</t>
  </si>
  <si>
    <t>JEREMY DE LA CRUZ GUERRERO</t>
  </si>
  <si>
    <t>F-298</t>
  </si>
  <si>
    <t>JEREMY USBALDO UBIERA</t>
  </si>
  <si>
    <t>5TO</t>
  </si>
  <si>
    <t>F-299</t>
  </si>
  <si>
    <t>JERICO MONAU MONAU ALMERO</t>
  </si>
  <si>
    <t>F-300</t>
  </si>
  <si>
    <t>JERVE RODRIGUEZ BENITEZ</t>
  </si>
  <si>
    <t>F-301</t>
  </si>
  <si>
    <t xml:space="preserve">JESSY ANELIS </t>
  </si>
  <si>
    <t>F-302</t>
  </si>
  <si>
    <t>JESTHEN JOHAN DELGADO MEJIA</t>
  </si>
  <si>
    <t>F-303</t>
  </si>
  <si>
    <t>JESUS ANTONIO MEDINA GARCIA</t>
  </si>
  <si>
    <t>F-304</t>
  </si>
  <si>
    <t>JESUS MANUEL CEBALLOS POLANCO</t>
  </si>
  <si>
    <t>F-305</t>
  </si>
  <si>
    <t>JEURY REYNALDO AVILA MERCEDES</t>
  </si>
  <si>
    <t>F-306</t>
  </si>
  <si>
    <t>JIMMY ALEXANDER DE LOS SANTOS GARRIDO</t>
  </si>
  <si>
    <t>F-307</t>
  </si>
  <si>
    <t>JISMAIRI ALEJANDRA AUGUSTO SEVERINO</t>
  </si>
  <si>
    <t>F-308</t>
  </si>
  <si>
    <t>JOAN ANTONIO MEDINA</t>
  </si>
  <si>
    <t>F-309</t>
  </si>
  <si>
    <t>JOEL GEREMIA CASTILLO ORTIZ</t>
  </si>
  <si>
    <t>F-310</t>
  </si>
  <si>
    <t>JOEL ISAAC GUERRERO FRANCO</t>
  </si>
  <si>
    <t>F-311</t>
  </si>
  <si>
    <t>JOHAM FRANCISCO DIAZ ALVARADO</t>
  </si>
  <si>
    <t>F-312</t>
  </si>
  <si>
    <t>JOHANCER STEVEN BELIZARIO AVILES</t>
  </si>
  <si>
    <t>F-313</t>
  </si>
  <si>
    <t>JOHANDER ENMANUEL TERRERO TERRERO</t>
  </si>
  <si>
    <t>F-314</t>
  </si>
  <si>
    <t>JOHANDER RAFAEL DEL ROSARIO</t>
  </si>
  <si>
    <t>F-315</t>
  </si>
  <si>
    <t xml:space="preserve">JOHANNA MILAGROS </t>
  </si>
  <si>
    <t>F-316</t>
  </si>
  <si>
    <t>JONAS RICK MAURICIO</t>
  </si>
  <si>
    <t>F-334</t>
  </si>
  <si>
    <t>JORDANIEL RAMIREZ MARTIR</t>
  </si>
  <si>
    <t>F-317</t>
  </si>
  <si>
    <t>JOSANDRY MANUEL CUETO SANTANA</t>
  </si>
  <si>
    <t>F-318</t>
  </si>
  <si>
    <t>JOSE ALEJANDRO DIAZ ALVARADO</t>
  </si>
  <si>
    <t>F-319</t>
  </si>
  <si>
    <t>JOSE ANGEL MENDEZ BRITO</t>
  </si>
  <si>
    <t>F-320</t>
  </si>
  <si>
    <t>JOSE ANIBAL MARTINEZ DE OLEO</t>
  </si>
  <si>
    <t>F-321</t>
  </si>
  <si>
    <t>JOSE BOTELLO RIJO</t>
  </si>
  <si>
    <t>F-322</t>
  </si>
  <si>
    <t>JOSE JUAN CANELA OLEAGA</t>
  </si>
  <si>
    <t>F-323</t>
  </si>
  <si>
    <t>JOSE LUIS CRUZ ALONO</t>
  </si>
  <si>
    <t>F-324</t>
  </si>
  <si>
    <t>JOSE RAFAEL POLANCO SALCEDO</t>
  </si>
  <si>
    <t>F-325</t>
  </si>
  <si>
    <t>JOSE SAMUEL BAEZ SANTANA</t>
  </si>
  <si>
    <t>F-326</t>
  </si>
  <si>
    <t>JOSEPH LUIS MARMOLEJOS</t>
  </si>
  <si>
    <t>F-327</t>
  </si>
  <si>
    <t>JOSEPHY SOPHIA LUIS DE JESUS</t>
  </si>
  <si>
    <t>F-333</t>
  </si>
  <si>
    <t>JOSH AIDAN ROMERO MORALES</t>
  </si>
  <si>
    <t>F-328</t>
  </si>
  <si>
    <t>JOSHUA ERCARNCACION CIPRIAN</t>
  </si>
  <si>
    <t>F-329</t>
  </si>
  <si>
    <t>JOSHUA LEXI CONCEPCION</t>
  </si>
  <si>
    <t>F-330</t>
  </si>
  <si>
    <t>JOSHUA MARTINEZ MARTINRZ</t>
  </si>
  <si>
    <t>F-331</t>
  </si>
  <si>
    <t>JOSHUAR ALBERTO EUSEBIO POLANCO</t>
  </si>
  <si>
    <t>F-332</t>
  </si>
  <si>
    <t>JUAN ANDRAJ JIMENEZ SALCEDO</t>
  </si>
  <si>
    <t>F-335</t>
  </si>
  <si>
    <t>JUAN SEBASTIAN PAULINO POLANCO</t>
  </si>
  <si>
    <t>F-336</t>
  </si>
  <si>
    <t xml:space="preserve">JULEINY CHAL GIL </t>
  </si>
  <si>
    <t>F-337</t>
  </si>
  <si>
    <t>JULIAN DAVID SHAL GIL</t>
  </si>
  <si>
    <t>F-338</t>
  </si>
  <si>
    <t>JULIANY AIMAR BATISTA REYES</t>
  </si>
  <si>
    <t>F-339</t>
  </si>
  <si>
    <t>JUSTIN ALEXANDER SANTANA MORALES</t>
  </si>
  <si>
    <t>F-340</t>
  </si>
  <si>
    <t>JUSTIN EDUARDO MEJIA DIAZ</t>
  </si>
  <si>
    <t>F-341</t>
  </si>
  <si>
    <t>JUSTIN YADIEL PUJOLES MENDEZ</t>
  </si>
  <si>
    <t>F-342</t>
  </si>
  <si>
    <t>KAHTLEEN LISMAR CORPORAN NUÑEZ</t>
  </si>
  <si>
    <t>F-343</t>
  </si>
  <si>
    <t>KAREN ELIANNA SANCHEZ ALCANTARA</t>
  </si>
  <si>
    <t>F-344</t>
  </si>
  <si>
    <t>KARIN ISAAC EMILIO MOREL</t>
  </si>
  <si>
    <t>F-345</t>
  </si>
  <si>
    <t>KARIN OMAR EMILIO MOREL</t>
  </si>
  <si>
    <t>F-346</t>
  </si>
  <si>
    <t>KARLA MARIELI MORALES</t>
  </si>
  <si>
    <t>F-347</t>
  </si>
  <si>
    <t>KATE ISABELLA MERCEDES DEL RIO</t>
  </si>
  <si>
    <t>F-348</t>
  </si>
  <si>
    <t xml:space="preserve">KATY GARCIA </t>
  </si>
  <si>
    <t>F-349</t>
  </si>
  <si>
    <t>KAURY FRANCHESKA CEBALLOS</t>
  </si>
  <si>
    <t>F-350</t>
  </si>
  <si>
    <t>KEIFEL JOELDRISS DE LA ROSA</t>
  </si>
  <si>
    <t>F-352</t>
  </si>
  <si>
    <t>KEITLYNN SANCHEZ BELISARIO</t>
  </si>
  <si>
    <t>F-354</t>
  </si>
  <si>
    <t>KEREN CHANELY SALDAÑA MERCEDES</t>
  </si>
  <si>
    <t>F-355</t>
  </si>
  <si>
    <t>KEVIN ANTHONIO DE LA CRUZ CASTILLO</t>
  </si>
  <si>
    <t>F-356</t>
  </si>
  <si>
    <t>KEYDEN ADONIZ HERNANDEZ RODRIGUEZ</t>
  </si>
  <si>
    <t>F-357</t>
  </si>
  <si>
    <t>KEYSY ESMARLIN HIERRO RODRIGUEZ</t>
  </si>
  <si>
    <t>F-358</t>
  </si>
  <si>
    <t>KHALIL ALBERTO PEÑA RAMIRE</t>
  </si>
  <si>
    <t>F-359</t>
  </si>
  <si>
    <t>KHLOE DIVINA TEJEDA CRUZ</t>
  </si>
  <si>
    <t>F-360</t>
  </si>
  <si>
    <t>KIANA ESTHER MORALES JIMENEZ</t>
  </si>
  <si>
    <t>F-361</t>
  </si>
  <si>
    <t>KIARA MARIANNE AVILA SEVERINO</t>
  </si>
  <si>
    <t>F-362</t>
  </si>
  <si>
    <t>KIARA MARIE DONAIS HERRERA</t>
  </si>
  <si>
    <t>F-363</t>
  </si>
  <si>
    <t>KRYSTAL MARIE SANTO</t>
  </si>
  <si>
    <t>F-364</t>
  </si>
  <si>
    <t>KYANA ESTHER ALTAGRACIA</t>
  </si>
  <si>
    <t>F-351</t>
  </si>
  <si>
    <t>LAILA SOFIA ANGLADA JIMENEZ</t>
  </si>
  <si>
    <t>F-365</t>
  </si>
  <si>
    <t>LAURA BETSAIRYS PAULINO POLANCO</t>
  </si>
  <si>
    <t>F-366</t>
  </si>
  <si>
    <t>LAURA MARIA CEBALLOS MATOS</t>
  </si>
  <si>
    <t>F-367</t>
  </si>
  <si>
    <t>LAURA MARIE GERVACIO CUETO</t>
  </si>
  <si>
    <t>F-368</t>
  </si>
  <si>
    <t>LAURELIS CHANNEL LANTIGUA</t>
  </si>
  <si>
    <t>F-369</t>
  </si>
  <si>
    <t>LAURY CHANTAL HERRERA</t>
  </si>
  <si>
    <t>F-370</t>
  </si>
  <si>
    <t>LEANNY CORAL RAMIREZ MERCEDEA</t>
  </si>
  <si>
    <t>F-371</t>
  </si>
  <si>
    <t>LEIDY ALEJANDRA DE OLEO MEDINA</t>
  </si>
  <si>
    <t>F-372</t>
  </si>
  <si>
    <t>LEIDY INELISSE RODRIGUEZ BAG</t>
  </si>
  <si>
    <t>F-373</t>
  </si>
  <si>
    <t>LENNY ADRIAN MERCEDES ZORRILLA</t>
  </si>
  <si>
    <t>F-374</t>
  </si>
  <si>
    <t>LENNY JUNIOR MERCEDES ZORRILLA</t>
  </si>
  <si>
    <t>F-375</t>
  </si>
  <si>
    <t>LEONARDO ANTONIO RAMIREZ MERCEDEZ</t>
  </si>
  <si>
    <t>1RO</t>
  </si>
  <si>
    <t>F-376</t>
  </si>
  <si>
    <t>LEONARDO MIGUELCALVAJAL TEJEDA</t>
  </si>
  <si>
    <t>F-377</t>
  </si>
  <si>
    <t>LESLIE NASHELLY TORRES PEÑA</t>
  </si>
  <si>
    <t>F-378</t>
  </si>
  <si>
    <t>LHUNA ESTEBANIA CAYETANO GUERRERO</t>
  </si>
  <si>
    <t>F-379</t>
  </si>
  <si>
    <t>LIANDRA QUEZADA CRUZ</t>
  </si>
  <si>
    <t>F-380</t>
  </si>
  <si>
    <t>LIANNA AIMEE LOZANO GARCIA</t>
  </si>
  <si>
    <t>F-381</t>
  </si>
  <si>
    <t>LILIAN MARIEL SANTANA CASTRO</t>
  </si>
  <si>
    <t>F-382</t>
  </si>
  <si>
    <t>LILIBETH GARCIA</t>
  </si>
  <si>
    <t>F-383</t>
  </si>
  <si>
    <t>LIRIANNY CONTRERA ALCANTARA</t>
  </si>
  <si>
    <t>F-384</t>
  </si>
  <si>
    <t>LISANDRA AIMAR KING MOTA</t>
  </si>
  <si>
    <t>F-385</t>
  </si>
  <si>
    <t>LIZ MAYBEL VALERIO PISTILLO</t>
  </si>
  <si>
    <t>F-386</t>
  </si>
  <si>
    <t>LIZBETH HILARIO FEBLES</t>
  </si>
  <si>
    <t>KINDEL</t>
  </si>
  <si>
    <t>F-387</t>
  </si>
  <si>
    <t>LORENA ESTHER GARCIA DE AZA</t>
  </si>
  <si>
    <t>2015-2019</t>
  </si>
  <si>
    <t>F-388</t>
  </si>
  <si>
    <t>LORENTE DENUELA HUMT NIEVES</t>
  </si>
  <si>
    <t>F-389</t>
  </si>
  <si>
    <t>LORRAINE SALSEL RIJO AREA</t>
  </si>
  <si>
    <t>F-390</t>
  </si>
  <si>
    <t>LUCAS HENRIQUEZ RICHIEZ</t>
  </si>
  <si>
    <t>F-391</t>
  </si>
  <si>
    <t>LUCIA VICTORIA HORALES ALVAREZ</t>
  </si>
  <si>
    <t>F-392</t>
  </si>
  <si>
    <t>LUIS JOSE SOTO HERNANDEZ</t>
  </si>
  <si>
    <t>F-393</t>
  </si>
  <si>
    <t>LUIS MIGUEL ORTEGA CORDERO</t>
  </si>
  <si>
    <t>F-394</t>
  </si>
  <si>
    <t>LUIS XAVIER ACOSTA PRENCIA</t>
  </si>
  <si>
    <t>F-395</t>
  </si>
  <si>
    <t>LURNNY SOTO HERNANDEZ</t>
  </si>
  <si>
    <t>F-396</t>
  </si>
  <si>
    <t>LUZ ARISMEHILY DEVERS ACEVEDO</t>
  </si>
  <si>
    <t>F-397</t>
  </si>
  <si>
    <t>LUZ MAYLING DIAZ BATISTA</t>
  </si>
  <si>
    <t>F-398</t>
  </si>
  <si>
    <t>MABEL NICOL APONTE FELIZ</t>
  </si>
  <si>
    <t>F-399</t>
  </si>
  <si>
    <t>MAILYN KAMILA PEÑA SILVA</t>
  </si>
  <si>
    <t>F-400</t>
  </si>
  <si>
    <t>MANUEL ALFONSO SAMBO CEDEÑO</t>
  </si>
  <si>
    <t>F-401</t>
  </si>
  <si>
    <t>MANUEL JOSE NUÑEZ LUGO</t>
  </si>
  <si>
    <t>F-402</t>
  </si>
  <si>
    <t>MARCOS ANTONIO CASTILLO RODRIGUEZ</t>
  </si>
  <si>
    <t>F-403</t>
  </si>
  <si>
    <t>MARCOS MARIANO PERDONO</t>
  </si>
  <si>
    <t>F-404</t>
  </si>
  <si>
    <t>MARCOS MARTINEZ BAUTISTA</t>
  </si>
  <si>
    <t>F-405</t>
  </si>
  <si>
    <t>MARIA ALEJANDRA ROSARIO DEL ROSARIO</t>
  </si>
  <si>
    <t>F-406</t>
  </si>
  <si>
    <t>MARIA ALEZANDRA BREA RIJO</t>
  </si>
  <si>
    <t>2012-2014</t>
  </si>
  <si>
    <t>F-407</t>
  </si>
  <si>
    <t>MARIA DEL CARME PION RIJO</t>
  </si>
  <si>
    <t>F-408</t>
  </si>
  <si>
    <t>MARIA MERCEDES DUVERGES MERCEDES</t>
  </si>
  <si>
    <t>F-409</t>
  </si>
  <si>
    <t>MARIA TERESA PINEDA</t>
  </si>
  <si>
    <t>F-410</t>
  </si>
  <si>
    <t>MARIANNE AQUILINO MARTHA</t>
  </si>
  <si>
    <t>F-411</t>
  </si>
  <si>
    <t>MARIELA RAMIREZ MARTIR</t>
  </si>
  <si>
    <t>F-412</t>
  </si>
  <si>
    <t>MARIO AUSTO MEJIA RODRIGUEZ</t>
  </si>
  <si>
    <t>F-413</t>
  </si>
  <si>
    <t>MARIO ERICKSON RAMIREZ GUERRERO</t>
  </si>
  <si>
    <t>F-414</t>
  </si>
  <si>
    <t>MARIO ISRAEL LEONARDO MAYANS</t>
  </si>
  <si>
    <t>F-415</t>
  </si>
  <si>
    <t>MARIO RODRIGUIEZ HERNANDEZ</t>
  </si>
  <si>
    <t>F-416</t>
  </si>
  <si>
    <t>MARLEN JOSEFINA POLANCO ENCARNACION</t>
  </si>
  <si>
    <t>F-417</t>
  </si>
  <si>
    <t>MARLENY BATISTA HERRERA</t>
  </si>
  <si>
    <t>F-418</t>
  </si>
  <si>
    <t>MARLON ALFONSO PINALES SALOMON</t>
  </si>
  <si>
    <t>F-419</t>
  </si>
  <si>
    <t xml:space="preserve">MARLYN DIMAREN RASHELL </t>
  </si>
  <si>
    <t>F-420</t>
  </si>
  <si>
    <t>MATHEW ALEXANDER MARTINEZ BLANCO</t>
  </si>
  <si>
    <t>F-421</t>
  </si>
  <si>
    <t>MATHEWS ABREU GUZMAN</t>
  </si>
  <si>
    <t>F-422</t>
  </si>
  <si>
    <t>MATIAS NICOLAS APONTE FELIZ</t>
  </si>
  <si>
    <t>F-423</t>
  </si>
  <si>
    <t>MAXIMO GASTON POTENTINI CEDANO</t>
  </si>
  <si>
    <t>F-424</t>
  </si>
  <si>
    <t>MAYCOR ALEXANDER MARTINEZ AZOR</t>
  </si>
  <si>
    <t>F-425</t>
  </si>
  <si>
    <t>MELANY MICHELLE JIMENEZ CORDONES</t>
  </si>
  <si>
    <t>F-426</t>
  </si>
  <si>
    <t>MEYLEN LAYESHKA CONTRERAS GUZMAN</t>
  </si>
  <si>
    <t>F-427</t>
  </si>
  <si>
    <t>MICHAEL AARON CEDEÑO VELEZ</t>
  </si>
  <si>
    <t>F-428</t>
  </si>
  <si>
    <t>MICHAEL ALEXANDER SANCHEZ GUERRERO</t>
  </si>
  <si>
    <t>F-429</t>
  </si>
  <si>
    <t>MICHAEL ALEXIS GONZALES CEDEÑO</t>
  </si>
  <si>
    <t>F-430</t>
  </si>
  <si>
    <t>MICHAEL MANZANILLO APONTE</t>
  </si>
  <si>
    <t>F-431</t>
  </si>
  <si>
    <t>MICHAEL SEBASTIAN GUERRERO VEGA</t>
  </si>
  <si>
    <t>F-432</t>
  </si>
  <si>
    <t>MIGUEL ANDRES PERALTA HIDALGO</t>
  </si>
  <si>
    <t>F-433</t>
  </si>
  <si>
    <t xml:space="preserve">MIGUEL EDUARDO MORALES MORALES </t>
  </si>
  <si>
    <t>F-434</t>
  </si>
  <si>
    <t>MIRANDA MARIA MORALES</t>
  </si>
  <si>
    <t>F-435</t>
  </si>
  <si>
    <t>MOSES ERIK ALBERTO MEJIA</t>
  </si>
  <si>
    <t>F-436</t>
  </si>
  <si>
    <t>MYA MARJORIE BELTRE BERROA</t>
  </si>
  <si>
    <t>F-437</t>
  </si>
  <si>
    <t>NAIDELIN NICOLE BATISTA</t>
  </si>
  <si>
    <t>F-438</t>
  </si>
  <si>
    <t>NALLELY BAYLIN MATIO DE LA CRUZ</t>
  </si>
  <si>
    <t>F-439</t>
  </si>
  <si>
    <t>NASHLA GALIT GARCIA</t>
  </si>
  <si>
    <t>F-440</t>
  </si>
  <si>
    <t>NASHLY CAMILA SIERRA ALCANTARA</t>
  </si>
  <si>
    <t>F-441</t>
  </si>
  <si>
    <t>NAYDELIN MARIEL GENENGTON PERAL</t>
  </si>
  <si>
    <t>F-442</t>
  </si>
  <si>
    <t>NEFTALI GABRIEL SAIN ANTONIO</t>
  </si>
  <si>
    <t>F-443</t>
  </si>
  <si>
    <t>NELLY SHERWOOD PAUL SANON</t>
  </si>
  <si>
    <t>F-444</t>
  </si>
  <si>
    <t>NELSON SEBASTIAN LLUBERES RICHARDSON</t>
  </si>
  <si>
    <t>F-445</t>
  </si>
  <si>
    <t>NEURYS DAVID VELASQUEZ PEGUER</t>
  </si>
  <si>
    <t>F-446</t>
  </si>
  <si>
    <t>NICOLAS MORALES MORALES</t>
  </si>
  <si>
    <t>F-448</t>
  </si>
  <si>
    <t>NICOLE  MAYRE BREA RIJO</t>
  </si>
  <si>
    <t>F-447</t>
  </si>
  <si>
    <t>NICOLE ALEXANDRA REYES JIMENEZ</t>
  </si>
  <si>
    <t>F-449</t>
  </si>
  <si>
    <t>NICOLE LEUGIM RIJO MERCEDES</t>
  </si>
  <si>
    <t>F-450</t>
  </si>
  <si>
    <t>NICOLE SALOME REYES REYES</t>
  </si>
  <si>
    <t>F-451</t>
  </si>
  <si>
    <t>NICOLE SARATH LINEWEAVER</t>
  </si>
  <si>
    <t>F-452</t>
  </si>
  <si>
    <t>NOHELY CAMELIA MARTINEZ BAEZ</t>
  </si>
  <si>
    <t>F-453</t>
  </si>
  <si>
    <t>OLIVER ANIBAL DEL ROSARIO SANTOS</t>
  </si>
  <si>
    <t>F-454</t>
  </si>
  <si>
    <t>OMAR ALEJANDRO RODRIGUEZ ROSARIO</t>
  </si>
  <si>
    <t>F-455</t>
  </si>
  <si>
    <t>OMAYRIS CORALI RODRIGUEZ ROSARIO</t>
  </si>
  <si>
    <t>F-456</t>
  </si>
  <si>
    <t>ORIANY DEL ROSARIO SANTOS</t>
  </si>
  <si>
    <t>F-457</t>
  </si>
  <si>
    <t>ORNALIS ALFONSECA VALERIO</t>
  </si>
  <si>
    <t>F-458</t>
  </si>
  <si>
    <t>OSMEL FABRIZIO OLEA PEREZ</t>
  </si>
  <si>
    <t>F-459</t>
  </si>
  <si>
    <t>OSVALDO ADRIAN MERCEDES EDUARDO</t>
  </si>
  <si>
    <t>F-460</t>
  </si>
  <si>
    <t>PAMELA BASTISTA POLANCO</t>
  </si>
  <si>
    <t>F-461</t>
  </si>
  <si>
    <t>PAOLA FRANCHESKA TAMAREZ SANCHEZ</t>
  </si>
  <si>
    <t>F-462</t>
  </si>
  <si>
    <t>PAOLA MATINE DE LOS SANTOS</t>
  </si>
  <si>
    <t>F-463</t>
  </si>
  <si>
    <t>PEDRO JOSE MORALES DE LA CRUZ</t>
  </si>
  <si>
    <t>F-464</t>
  </si>
  <si>
    <t>PERLA MASIEL BELTRE</t>
  </si>
  <si>
    <t>2005-2006</t>
  </si>
  <si>
    <t>F-465</t>
  </si>
  <si>
    <t>PETER ALEJANDRO TRALL DEL ROSARIO</t>
  </si>
  <si>
    <t>F-466</t>
  </si>
  <si>
    <t>PRINCE DARIEL INOCENCIO</t>
  </si>
  <si>
    <t>F-467</t>
  </si>
  <si>
    <t>RAMON AMILIAR BAEZ PEREZ</t>
  </si>
  <si>
    <t>F-469</t>
  </si>
  <si>
    <t>RASHELLE ELVIRA AVILA MARTINEZ</t>
  </si>
  <si>
    <t>F-470</t>
  </si>
  <si>
    <t>RASHID NAMIR MATAR AQUINO</t>
  </si>
  <si>
    <t>F-471</t>
  </si>
  <si>
    <t>RAYN RAMON ORTIZ</t>
  </si>
  <si>
    <t>F-472</t>
  </si>
  <si>
    <t>RAYNER ALEXANDER TAPIA VILORIA</t>
  </si>
  <si>
    <t>F-473</t>
  </si>
  <si>
    <t>RAYNER SANCHEZ CORDERO</t>
  </si>
  <si>
    <t>F-474</t>
  </si>
  <si>
    <t>REICHELL JAEL GERMOSEN PADILLA</t>
  </si>
  <si>
    <t>F-475</t>
  </si>
  <si>
    <t>REILIS JOSUE LEGER PHILLIPS</t>
  </si>
  <si>
    <t>F-476</t>
  </si>
  <si>
    <t>REYNIZ LUNA DIAZ</t>
  </si>
  <si>
    <t>F-477</t>
  </si>
  <si>
    <t>RICHARD DAVID ISAAC MARTES</t>
  </si>
  <si>
    <t>F-478</t>
  </si>
  <si>
    <t>RICHARD ISAAC MORA GONZALES</t>
  </si>
  <si>
    <t>F-479</t>
  </si>
  <si>
    <t>RINER ALEXANDER TAPIA VILORIA</t>
  </si>
  <si>
    <t>F-480</t>
  </si>
  <si>
    <t>ROBERT BEBEKH</t>
  </si>
  <si>
    <t>F-481</t>
  </si>
  <si>
    <t>ROBERTO SANTOS ARIAS</t>
  </si>
  <si>
    <t>F-482</t>
  </si>
  <si>
    <t>RONEILIZ RANCELIS HIDALGO RIBEIRO</t>
  </si>
  <si>
    <t>F-483</t>
  </si>
  <si>
    <t>RONNY OTONIEL TAVAREZ AVELINO</t>
  </si>
  <si>
    <t>F-484</t>
  </si>
  <si>
    <t>RONY VENTURA COLOME</t>
  </si>
  <si>
    <t>F-485</t>
  </si>
  <si>
    <t>ROSALY DINGLE ALFONSECA</t>
  </si>
  <si>
    <t>F-486</t>
  </si>
  <si>
    <t>ROSMEILYN ESMERALDA AUELINO</t>
  </si>
  <si>
    <t>F-487</t>
  </si>
  <si>
    <t>ROSSAURYS RODRIGUEZ RIJO</t>
  </si>
  <si>
    <t>F-488</t>
  </si>
  <si>
    <t>ROSSENAILYS ARGENTINA BERROA PAREDES</t>
  </si>
  <si>
    <t>F-489</t>
  </si>
  <si>
    <t xml:space="preserve">RUSSERT EDUARDO PEREZ </t>
  </si>
  <si>
    <t>F-490</t>
  </si>
  <si>
    <t>RUTH ESTHER</t>
  </si>
  <si>
    <t>F-491</t>
  </si>
  <si>
    <t>RYAN AUNER RUIZ JAMONIE</t>
  </si>
  <si>
    <t>F-492</t>
  </si>
  <si>
    <t>SAID EDUARDO DE LA ROSA HERRERA</t>
  </si>
  <si>
    <t>F-493</t>
  </si>
  <si>
    <t>SAILYK CODERO DE LA CRUZ</t>
  </si>
  <si>
    <t>F-494</t>
  </si>
  <si>
    <t xml:space="preserve">SAIMERY MICHELL RUIZ MERCEDES </t>
  </si>
  <si>
    <t>F-495</t>
  </si>
  <si>
    <t>SAMUEL SEVERINO RODRIGUEZ</t>
  </si>
  <si>
    <t>F-496</t>
  </si>
  <si>
    <t>SARA PAOLA SOLER BELLO</t>
  </si>
  <si>
    <t>F-497</t>
  </si>
  <si>
    <t>SARA ROSE CEDEÑO POZO</t>
  </si>
  <si>
    <t>F-498</t>
  </si>
  <si>
    <t xml:space="preserve">SARAI BETHEHZALIE TAPIA VIOLRTA </t>
  </si>
  <si>
    <t>F-507</t>
  </si>
  <si>
    <t>SARAI MARIE HERRERO NENCIA</t>
  </si>
  <si>
    <t>F-499</t>
  </si>
  <si>
    <t>SCARLET JERENNIS CHASLES DE LA ROSA</t>
  </si>
  <si>
    <t>F-500</t>
  </si>
  <si>
    <t>SCARLET YUDITH SANCHEZ SANTOS</t>
  </si>
  <si>
    <t>F-501</t>
  </si>
  <si>
    <t>SEBASTIAN ANTONIO MENDOZA FAULKNER</t>
  </si>
  <si>
    <t>F-502</t>
  </si>
  <si>
    <t>SHAIHONY FRANCISCA VASQUEZ ACEVEDO</t>
  </si>
  <si>
    <t>F-503</t>
  </si>
  <si>
    <t>SHAILINE GRULLON NUÑEZ</t>
  </si>
  <si>
    <t>F-504</t>
  </si>
  <si>
    <t>SHANELL ROSARIO BRITO</t>
  </si>
  <si>
    <t>F-505</t>
  </si>
  <si>
    <t>SKAY KAYNA SANEAUX UBIERA</t>
  </si>
  <si>
    <t>F-506</t>
  </si>
  <si>
    <t>SKERLING KATY</t>
  </si>
  <si>
    <t>F-513</t>
  </si>
  <si>
    <t>SOL AMERICA RAMIREZ GIL</t>
  </si>
  <si>
    <t>F-508</t>
  </si>
  <si>
    <t>SOLEMNY ABIGAIL CRUZ GARCIA</t>
  </si>
  <si>
    <t>F-509</t>
  </si>
  <si>
    <t>SOPHIA GREGORIO GONZALEZ SANTOS</t>
  </si>
  <si>
    <t>F-510</t>
  </si>
  <si>
    <t>STANLEY ANDRES CARPIAN GARCIA</t>
  </si>
  <si>
    <t>F-511</t>
  </si>
  <si>
    <t>STARLIN BENJAMIN DEL ROSARIO OSORIO</t>
  </si>
  <si>
    <t>F-512</t>
  </si>
  <si>
    <t>STARLING JAVIER SANTANA DE LA CRUZ</t>
  </si>
  <si>
    <t>F-514</t>
  </si>
  <si>
    <t>STARSKY DAVID ORTIZ SALDIN</t>
  </si>
  <si>
    <t>F-515</t>
  </si>
  <si>
    <t xml:space="preserve">STEFANY ANDREINA SANCHEZ SANTANA </t>
  </si>
  <si>
    <t>F-516</t>
  </si>
  <si>
    <t>F-517</t>
  </si>
  <si>
    <t>SUSAN ESTHER GERMOSEN PADILLA</t>
  </si>
  <si>
    <t>F-518</t>
  </si>
  <si>
    <t>THAIS JANABEL RICHARSON RIJO</t>
  </si>
  <si>
    <t>F-519</t>
  </si>
  <si>
    <t>TIFFANY DE OLEO MUNOZ</t>
  </si>
  <si>
    <t>F-520</t>
  </si>
  <si>
    <t>VALERIA MARIA RODRIGUEZ MENDOZA</t>
  </si>
  <si>
    <t>F-522</t>
  </si>
  <si>
    <t>VALERIA SUJEL NUÑEZ CEDEÑO</t>
  </si>
  <si>
    <t>6TO</t>
  </si>
  <si>
    <t>F-521</t>
  </si>
  <si>
    <t>VAYELIN MICHEL RODRIGUEZ BENITEZ</t>
  </si>
  <si>
    <t>F-523</t>
  </si>
  <si>
    <t>VIANGEL RAFAELHEREDIA ALBERTO</t>
  </si>
  <si>
    <t>F-524</t>
  </si>
  <si>
    <t>VIANNI VALERIA ORTEGA VILORIA</t>
  </si>
  <si>
    <t>F-525</t>
  </si>
  <si>
    <t>VICTOR DIETSH RAMIREZ</t>
  </si>
  <si>
    <t>F-526</t>
  </si>
  <si>
    <t>VICTOR JOSE ROSARIO MEDINA</t>
  </si>
  <si>
    <t>F-527</t>
  </si>
  <si>
    <t>VICTOR YOHANSE PERALTA MERCEDES</t>
  </si>
  <si>
    <t>F-528</t>
  </si>
  <si>
    <t>VICTORIA ISABEL ROSSO CASTILLO</t>
  </si>
  <si>
    <t>F-529</t>
  </si>
  <si>
    <t xml:space="preserve">WALKIRIA EUNICE </t>
  </si>
  <si>
    <t>F-530</t>
  </si>
  <si>
    <t>WANYELI AZA MORALES</t>
  </si>
  <si>
    <t>F-531</t>
  </si>
  <si>
    <t>WILBER JOEL GOMEZ GERALDO</t>
  </si>
  <si>
    <t>F-532</t>
  </si>
  <si>
    <t>WILLIAMS CEBALLOS SANTANA</t>
  </si>
  <si>
    <t>F-533</t>
  </si>
  <si>
    <t>YADIER ALEXANDER RONDON MONEGRO</t>
  </si>
  <si>
    <t>F-534</t>
  </si>
  <si>
    <t>YANIDY FRANCISCO POLANCO</t>
  </si>
  <si>
    <t>F-535</t>
  </si>
  <si>
    <t>YANIEL ANTONIO CAMINO BENITEZ</t>
  </si>
  <si>
    <t>F-536</t>
  </si>
  <si>
    <t>YANIMAR TERESA SANCHEZ BONIFACIO</t>
  </si>
  <si>
    <t>F-537</t>
  </si>
  <si>
    <t>YARITZA JOSEFINA RIVERA BATISTA</t>
  </si>
  <si>
    <t>F-538</t>
  </si>
  <si>
    <t>YASMIN ELEANOR RODELIN</t>
  </si>
  <si>
    <t>F-539</t>
  </si>
  <si>
    <t xml:space="preserve">YASSER DHIMES GARCIAS </t>
  </si>
  <si>
    <t>F-540</t>
  </si>
  <si>
    <t>YEILEIXY BRITO SALADIN</t>
  </si>
  <si>
    <t>F-541</t>
  </si>
  <si>
    <t>YENNIFER DAVIS DEL ROSARIO</t>
  </si>
  <si>
    <t>F-546</t>
  </si>
  <si>
    <t>YEREMI ALEXANDER BALY GIL</t>
  </si>
  <si>
    <t>F-542</t>
  </si>
  <si>
    <t>YERNANDY SAMUEL AMARILIS</t>
  </si>
  <si>
    <t>F-543</t>
  </si>
  <si>
    <t>YING HAO LIANG ZHENG</t>
  </si>
  <si>
    <t>F-544</t>
  </si>
  <si>
    <t>YING QI</t>
  </si>
  <si>
    <t>F-545</t>
  </si>
  <si>
    <t>YINGYI LIANG ZHENG</t>
  </si>
  <si>
    <t>F-547</t>
  </si>
  <si>
    <t>YONAN REGNER PEREZ PEREZ</t>
  </si>
  <si>
    <t>F-548</t>
  </si>
  <si>
    <t>YORGELIS NAHOMI QUESTEL CASTILLO</t>
  </si>
  <si>
    <t>F-549</t>
  </si>
  <si>
    <t>ZOE MONTSERRAT AMANCIO CAMINO</t>
  </si>
  <si>
    <t>F-550</t>
  </si>
  <si>
    <t>ZOENY RUIZ RODRIGUEZ</t>
  </si>
  <si>
    <t>F-551</t>
  </si>
  <si>
    <t>DAVID ELIAH DE GARCIA MOTA</t>
  </si>
  <si>
    <t>LIANDRA CORDERO CARVAJAL</t>
  </si>
  <si>
    <t>SOCRATE DANIEL DE JESUS PEÑA</t>
  </si>
  <si>
    <t>F-552</t>
  </si>
  <si>
    <t>SULLY ESTHER ROCHE MARTINEZ</t>
  </si>
  <si>
    <t xml:space="preserve">JUAN ADOLFO BERROA RODRIGUEZ </t>
  </si>
  <si>
    <t>SOFIA FRANCHESCA CASTRO RODRIGUEZ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</si>
</sst>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20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4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4"/>
      <color rgb="FF0070C0"/>
      <name val="Calibri"/>
      <family val="2"/>
      <scheme val="minor"/>
    </font>
    <font>
      <sz val="28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sz val="14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5943FB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1"/>
      </right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/>
      <bottom style="medium">
        <color indexed="64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 style="medium">
        <color indexed="64"/>
      </top>
      <bottom/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</borders>
  <cellStyleXfs count="2">
    <xf numFmtId="0" fontId="0" fillId="0" borderId="0"/>
    <xf numFmtId="0" fontId="13" fillId="0" borderId="0"/>
  </cellStyleXfs>
  <cellXfs count="108">
    <xf numFmtId="0" fontId="0" fillId="0" borderId="0" xfId="0"/>
    <xf numFmtId="0" fontId="0" fillId="2" borderId="0" xfId="0" applyFill="1"/>
    <xf numFmtId="0" fontId="0" fillId="5" borderId="0" xfId="0" applyFill="1"/>
    <xf numFmtId="0" fontId="1" fillId="6" borderId="1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4" fillId="5" borderId="0" xfId="0" applyFont="1" applyFill="1" applyAlignment="1">
      <alignment horizontal="center"/>
    </xf>
    <xf numFmtId="0" fontId="5" fillId="4" borderId="0" xfId="0" applyFont="1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1" fillId="10" borderId="0" xfId="0" applyFont="1" applyFill="1" applyAlignment="1">
      <alignment horizontal="center"/>
    </xf>
    <xf numFmtId="0" fontId="6" fillId="10" borderId="0" xfId="0" applyFont="1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8" fillId="3" borderId="4" xfId="0" applyFont="1" applyFill="1" applyBorder="1"/>
    <xf numFmtId="0" fontId="8" fillId="3" borderId="3" xfId="0" applyFont="1" applyFill="1" applyBorder="1"/>
    <xf numFmtId="0" fontId="8" fillId="0" borderId="5" xfId="0" applyFont="1" applyBorder="1"/>
    <xf numFmtId="0" fontId="8" fillId="0" borderId="4" xfId="0" applyFont="1" applyBorder="1"/>
    <xf numFmtId="0" fontId="8" fillId="0" borderId="11" xfId="0" applyFont="1" applyBorder="1"/>
    <xf numFmtId="0" fontId="8" fillId="0" borderId="0" xfId="0" applyFont="1"/>
    <xf numFmtId="0" fontId="9" fillId="0" borderId="12" xfId="0" applyFont="1" applyBorder="1"/>
    <xf numFmtId="0" fontId="9" fillId="0" borderId="3" xfId="0" applyFont="1" applyBorder="1"/>
    <xf numFmtId="0" fontId="9" fillId="0" borderId="5" xfId="0" applyFont="1" applyBorder="1"/>
    <xf numFmtId="0" fontId="8" fillId="0" borderId="3" xfId="0" applyFont="1" applyBorder="1"/>
    <xf numFmtId="0" fontId="9" fillId="0" borderId="15" xfId="0" applyFont="1" applyBorder="1"/>
    <xf numFmtId="0" fontId="9" fillId="0" borderId="11" xfId="0" applyFont="1" applyBorder="1"/>
    <xf numFmtId="0" fontId="9" fillId="0" borderId="6" xfId="0" applyFont="1" applyBorder="1"/>
    <xf numFmtId="0" fontId="8" fillId="3" borderId="3" xfId="0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9" fillId="0" borderId="4" xfId="0" applyFont="1" applyBorder="1"/>
    <xf numFmtId="0" fontId="9" fillId="0" borderId="8" xfId="0" applyFont="1" applyBorder="1"/>
    <xf numFmtId="0" fontId="9" fillId="0" borderId="1" xfId="0" applyFont="1" applyBorder="1"/>
    <xf numFmtId="0" fontId="9" fillId="0" borderId="3" xfId="0" applyFont="1" applyBorder="1" applyAlignment="1">
      <alignment horizontal="center"/>
    </xf>
    <xf numFmtId="0" fontId="8" fillId="4" borderId="0" xfId="0" applyFont="1" applyFill="1"/>
    <xf numFmtId="0" fontId="9" fillId="0" borderId="3" xfId="0" applyFont="1" applyBorder="1" applyAlignment="1">
      <alignment horizontal="left"/>
    </xf>
    <xf numFmtId="0" fontId="9" fillId="0" borderId="7" xfId="0" applyFont="1" applyBorder="1"/>
    <xf numFmtId="0" fontId="9" fillId="0" borderId="5" xfId="0" applyFont="1" applyBorder="1" applyAlignment="1">
      <alignment horizontal="left"/>
    </xf>
    <xf numFmtId="0" fontId="1" fillId="6" borderId="3" xfId="0" applyFont="1" applyFill="1" applyBorder="1"/>
    <xf numFmtId="0" fontId="0" fillId="14" borderId="0" xfId="0" applyFill="1"/>
    <xf numFmtId="0" fontId="8" fillId="3" borderId="9" xfId="0" applyFont="1" applyFill="1" applyBorder="1" applyAlignment="1">
      <alignment horizontal="left"/>
    </xf>
    <xf numFmtId="0" fontId="1" fillId="6" borderId="16" xfId="0" applyFont="1" applyFill="1" applyBorder="1" applyAlignment="1">
      <alignment horizontal="center"/>
    </xf>
    <xf numFmtId="0" fontId="8" fillId="6" borderId="16" xfId="0" applyFont="1" applyFill="1" applyBorder="1" applyAlignment="1">
      <alignment horizontal="center"/>
    </xf>
    <xf numFmtId="0" fontId="8" fillId="6" borderId="3" xfId="0" applyFont="1" applyFill="1" applyBorder="1" applyAlignment="1">
      <alignment horizontal="center"/>
    </xf>
    <xf numFmtId="0" fontId="8" fillId="6" borderId="3" xfId="0" applyFont="1" applyFill="1" applyBorder="1"/>
    <xf numFmtId="0" fontId="0" fillId="15" borderId="0" xfId="0" applyFill="1"/>
    <xf numFmtId="0" fontId="1" fillId="15" borderId="0" xfId="0" applyFont="1" applyFill="1" applyAlignment="1">
      <alignment horizontal="center"/>
    </xf>
    <xf numFmtId="0" fontId="2" fillId="15" borderId="0" xfId="0" applyFont="1" applyFill="1"/>
    <xf numFmtId="0" fontId="1" fillId="0" borderId="3" xfId="0" applyFont="1" applyBorder="1"/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9" fillId="3" borderId="3" xfId="0" applyFont="1" applyFill="1" applyBorder="1"/>
    <xf numFmtId="0" fontId="9" fillId="3" borderId="5" xfId="0" applyFont="1" applyFill="1" applyBorder="1"/>
    <xf numFmtId="0" fontId="10" fillId="0" borderId="3" xfId="0" applyFont="1" applyBorder="1"/>
    <xf numFmtId="0" fontId="8" fillId="0" borderId="17" xfId="0" applyFont="1" applyBorder="1"/>
    <xf numFmtId="0" fontId="9" fillId="0" borderId="4" xfId="0" applyFont="1" applyBorder="1" applyAlignment="1">
      <alignment horizontal="left"/>
    </xf>
    <xf numFmtId="0" fontId="0" fillId="4" borderId="0" xfId="0" applyFill="1"/>
    <xf numFmtId="0" fontId="9" fillId="0" borderId="17" xfId="0" applyFont="1" applyBorder="1"/>
    <xf numFmtId="0" fontId="8" fillId="0" borderId="21" xfId="1" applyFont="1" applyBorder="1"/>
    <xf numFmtId="0" fontId="8" fillId="0" borderId="22" xfId="1" applyFont="1" applyBorder="1"/>
    <xf numFmtId="0" fontId="8" fillId="0" borderId="18" xfId="1" applyFont="1" applyBorder="1"/>
    <xf numFmtId="0" fontId="8" fillId="0" borderId="4" xfId="1" applyFont="1" applyBorder="1"/>
    <xf numFmtId="0" fontId="8" fillId="0" borderId="3" xfId="1" applyFont="1" applyBorder="1"/>
    <xf numFmtId="0" fontId="8" fillId="0" borderId="4" xfId="1" applyFont="1" applyBorder="1" applyAlignment="1">
      <alignment vertical="center" wrapText="1"/>
    </xf>
    <xf numFmtId="0" fontId="8" fillId="0" borderId="3" xfId="1" applyFont="1" applyBorder="1" applyAlignment="1">
      <alignment vertical="center" wrapText="1"/>
    </xf>
    <xf numFmtId="0" fontId="8" fillId="0" borderId="4" xfId="1" applyFont="1" applyBorder="1" applyAlignment="1">
      <alignment horizontal="left"/>
    </xf>
    <xf numFmtId="0" fontId="8" fillId="0" borderId="3" xfId="1" applyFont="1" applyBorder="1" applyAlignment="1">
      <alignment horizontal="left"/>
    </xf>
    <xf numFmtId="0" fontId="8" fillId="0" borderId="18" xfId="0" applyFont="1" applyBorder="1"/>
    <xf numFmtId="0" fontId="8" fillId="0" borderId="19" xfId="0" applyFont="1" applyBorder="1"/>
    <xf numFmtId="0" fontId="8" fillId="0" borderId="20" xfId="0" applyFont="1" applyBorder="1"/>
    <xf numFmtId="0" fontId="8" fillId="0" borderId="18" xfId="1" applyFont="1" applyBorder="1" applyAlignment="1">
      <alignment horizontal="left"/>
    </xf>
    <xf numFmtId="0" fontId="8" fillId="0" borderId="18" xfId="1" applyFont="1" applyBorder="1" applyAlignment="1">
      <alignment vertical="center" wrapText="1"/>
    </xf>
    <xf numFmtId="0" fontId="8" fillId="0" borderId="18" xfId="0" applyFont="1" applyBorder="1" applyAlignment="1">
      <alignment horizontal="left"/>
    </xf>
    <xf numFmtId="0" fontId="8" fillId="0" borderId="19" xfId="1" applyFont="1" applyBorder="1"/>
    <xf numFmtId="0" fontId="8" fillId="0" borderId="21" xfId="0" applyFont="1" applyBorder="1"/>
    <xf numFmtId="0" fontId="8" fillId="0" borderId="22" xfId="0" applyFont="1" applyBorder="1"/>
    <xf numFmtId="0" fontId="8" fillId="0" borderId="21" xfId="1" applyFont="1" applyBorder="1" applyAlignment="1">
      <alignment horizontal="center"/>
    </xf>
    <xf numFmtId="0" fontId="8" fillId="0" borderId="22" xfId="1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2" xfId="0" applyFont="1" applyBorder="1"/>
    <xf numFmtId="0" fontId="8" fillId="0" borderId="6" xfId="0" applyFont="1" applyBorder="1"/>
    <xf numFmtId="0" fontId="1" fillId="15" borderId="3" xfId="0" applyFont="1" applyFill="1" applyBorder="1"/>
    <xf numFmtId="0" fontId="12" fillId="15" borderId="3" xfId="0" applyFont="1" applyFill="1" applyBorder="1"/>
    <xf numFmtId="0" fontId="1" fillId="4" borderId="1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3" xfId="0" applyFont="1" applyFill="1" applyBorder="1"/>
    <xf numFmtId="0" fontId="16" fillId="0" borderId="3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0" fillId="16" borderId="0" xfId="0" applyFill="1"/>
    <xf numFmtId="0" fontId="1" fillId="16" borderId="1" xfId="0" applyFont="1" applyFill="1" applyBorder="1" applyAlignment="1">
      <alignment horizontal="center"/>
    </xf>
    <xf numFmtId="0" fontId="1" fillId="16" borderId="3" xfId="0" applyFont="1" applyFill="1" applyBorder="1" applyAlignment="1">
      <alignment horizontal="center"/>
    </xf>
    <xf numFmtId="0" fontId="1" fillId="16" borderId="3" xfId="0" applyFont="1" applyFill="1" applyBorder="1"/>
    <xf numFmtId="0" fontId="9" fillId="0" borderId="13" xfId="0" applyFont="1" applyBorder="1" applyAlignment="1">
      <alignment horizontal="center"/>
    </xf>
    <xf numFmtId="0" fontId="9" fillId="0" borderId="10" xfId="0" applyFont="1" applyBorder="1" applyAlignment="1">
      <alignment horizontal="right"/>
    </xf>
    <xf numFmtId="0" fontId="9" fillId="0" borderId="0" xfId="0" applyFont="1" applyAlignment="1">
      <alignment horizontal="center"/>
    </xf>
    <xf numFmtId="0" fontId="0" fillId="17" borderId="0" xfId="0" applyFill="1"/>
    <xf numFmtId="0" fontId="1" fillId="17" borderId="1" xfId="0" applyFont="1" applyFill="1" applyBorder="1" applyAlignment="1">
      <alignment horizontal="center"/>
    </xf>
    <xf numFmtId="0" fontId="1" fillId="17" borderId="3" xfId="0" applyFont="1" applyFill="1" applyBorder="1" applyAlignment="1">
      <alignment horizontal="center"/>
    </xf>
    <xf numFmtId="0" fontId="1" fillId="17" borderId="3" xfId="0" applyFont="1" applyFill="1" applyBorder="1"/>
    <xf numFmtId="0" fontId="8" fillId="0" borderId="0" xfId="0" applyFont="1" applyAlignment="1">
      <alignment horizontal="center"/>
    </xf>
    <xf numFmtId="0" fontId="14" fillId="9" borderId="0" xfId="0" applyFont="1" applyFill="1"/>
    <xf numFmtId="0" fontId="1" fillId="15" borderId="1" xfId="0" applyFont="1" applyFill="1" applyBorder="1" applyAlignment="1">
      <alignment horizontal="center"/>
    </xf>
    <xf numFmtId="0" fontId="1" fillId="15" borderId="3" xfId="0" applyFont="1" applyFill="1" applyBorder="1" applyAlignment="1">
      <alignment horizontal="center"/>
    </xf>
    <xf numFmtId="0" fontId="9" fillId="0" borderId="14" xfId="0" applyFont="1" applyBorder="1"/>
    <xf numFmtId="0" fontId="9" fillId="0" borderId="0" xfId="0" applyFont="1"/>
  </cellXfs>
  <cellStyles count="2">
    <cellStyle name="Normal" xfId="0" builtinId="0"/>
    <cellStyle name="Normal 2" xfId="1" xr:uid="{5B50F8AF-C6AD-4A04-9079-6A6A4CF363B1}"/>
  </cellStyles>
  <dxfs count="111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border diagonalUp="0" diagonalDown="0" outline="0">
        <left style="medium">
          <color indexed="64"/>
        </left>
        <right style="thin">
          <color theme="1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border diagonalUp="0" diagonalDown="0" outline="0">
        <left style="medium">
          <color indexed="64"/>
        </left>
        <right style="thin">
          <color theme="1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theme="1"/>
        </right>
        <top style="medium">
          <color indexed="64"/>
        </top>
        <bottom style="medium">
          <color indexed="64"/>
        </bottom>
      </border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border diagonalUp="0" diagonalDown="0" outline="0">
        <left style="medium">
          <color indexed="64"/>
        </left>
        <right style="thin">
          <color theme="1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thin">
          <color theme="1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border diagonalUp="0" diagonalDown="0" outline="0">
        <left style="medium">
          <color indexed="64"/>
        </left>
        <right style="thin">
          <color theme="1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thin">
          <color theme="1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thin">
          <color theme="1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thin">
          <color theme="1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thin">
          <color theme="1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thin">
          <color theme="1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theme="1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theme="1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medium">
          <color indexed="64"/>
        </left>
        <right style="thin">
          <color theme="1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medium">
          <color indexed="64"/>
        </left>
        <right style="thin">
          <color theme="1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theme="1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theme="1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theme="1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outline="0">
        <left style="medium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outline="0"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thin">
          <color theme="1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z val="14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z val="14"/>
      </font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 outline="0">
        <left style="medium">
          <color indexed="64"/>
        </left>
        <right/>
        <top/>
        <bottom/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solid">
          <fgColor indexed="64"/>
          <bgColor rgb="FF00B0F0"/>
        </patternFill>
      </fill>
    </dxf>
  </dxfs>
  <tableStyles count="0" defaultTableStyle="TableStyleMedium2" defaultPivotStyle="PivotStyleLight16"/>
  <colors>
    <mruColors>
      <color rgb="FF0000FF"/>
      <color rgb="FFFF9933"/>
      <color rgb="FF5943FB"/>
      <color rgb="FFCC3300"/>
      <color rgb="FF9966FF"/>
      <color rgb="FF66FF33"/>
      <color rgb="FF66FF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116415</xdr:colOff>
      <xdr:row>1</xdr:row>
      <xdr:rowOff>4232</xdr:rowOff>
    </xdr:from>
    <xdr:to>
      <xdr:col>10</xdr:col>
      <xdr:colOff>486833</xdr:colOff>
      <xdr:row>5</xdr:row>
      <xdr:rowOff>42332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78415" y="194732"/>
          <a:ext cx="9884835" cy="80010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3200"/>
            <a:t>MENU DE EXPEDIENTES AÑO</a:t>
          </a:r>
          <a:r>
            <a:rPr lang="es-DO" sz="3200" baseline="0"/>
            <a:t> 2011-2024</a:t>
          </a:r>
          <a:endParaRPr lang="es-DO" sz="3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5</xdr:row>
          <xdr:rowOff>133350</xdr:rowOff>
        </xdr:from>
        <xdr:to>
          <xdr:col>3</xdr:col>
          <xdr:colOff>857250</xdr:colOff>
          <xdr:row>14</xdr:row>
          <xdr:rowOff>180975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AÑO 2011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1066800</xdr:colOff>
          <xdr:row>5</xdr:row>
          <xdr:rowOff>133350</xdr:rowOff>
        </xdr:from>
        <xdr:to>
          <xdr:col>4</xdr:col>
          <xdr:colOff>1104900</xdr:colOff>
          <xdr:row>14</xdr:row>
          <xdr:rowOff>180975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AÑO 2014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1314450</xdr:colOff>
          <xdr:row>5</xdr:row>
          <xdr:rowOff>142875</xdr:rowOff>
        </xdr:from>
        <xdr:to>
          <xdr:col>7</xdr:col>
          <xdr:colOff>142875</xdr:colOff>
          <xdr:row>15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AÑO 2016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390525</xdr:colOff>
          <xdr:row>5</xdr:row>
          <xdr:rowOff>142875</xdr:rowOff>
        </xdr:from>
        <xdr:to>
          <xdr:col>10</xdr:col>
          <xdr:colOff>390525</xdr:colOff>
          <xdr:row>15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AÑO 2017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16</xdr:row>
          <xdr:rowOff>38100</xdr:rowOff>
        </xdr:from>
        <xdr:to>
          <xdr:col>3</xdr:col>
          <xdr:colOff>847725</xdr:colOff>
          <xdr:row>25</xdr:row>
          <xdr:rowOff>76200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AÑO 2018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1066800</xdr:colOff>
          <xdr:row>16</xdr:row>
          <xdr:rowOff>47625</xdr:rowOff>
        </xdr:from>
        <xdr:to>
          <xdr:col>4</xdr:col>
          <xdr:colOff>1104900</xdr:colOff>
          <xdr:row>25</xdr:row>
          <xdr:rowOff>85725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AÑO 2019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1333500</xdr:colOff>
          <xdr:row>16</xdr:row>
          <xdr:rowOff>47625</xdr:rowOff>
        </xdr:from>
        <xdr:to>
          <xdr:col>7</xdr:col>
          <xdr:colOff>161925</xdr:colOff>
          <xdr:row>25</xdr:row>
          <xdr:rowOff>85725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AÑO 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428625</xdr:colOff>
          <xdr:row>16</xdr:row>
          <xdr:rowOff>38100</xdr:rowOff>
        </xdr:from>
        <xdr:to>
          <xdr:col>10</xdr:col>
          <xdr:colOff>428625</xdr:colOff>
          <xdr:row>25</xdr:row>
          <xdr:rowOff>57150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AÑO 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26</xdr:row>
          <xdr:rowOff>85725</xdr:rowOff>
        </xdr:from>
        <xdr:to>
          <xdr:col>3</xdr:col>
          <xdr:colOff>838200</xdr:colOff>
          <xdr:row>35</xdr:row>
          <xdr:rowOff>123825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AÑO 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1076325</xdr:colOff>
          <xdr:row>26</xdr:row>
          <xdr:rowOff>95250</xdr:rowOff>
        </xdr:from>
        <xdr:to>
          <xdr:col>4</xdr:col>
          <xdr:colOff>1114425</xdr:colOff>
          <xdr:row>35</xdr:row>
          <xdr:rowOff>123825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AÑO 2023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1352550</xdr:colOff>
          <xdr:row>26</xdr:row>
          <xdr:rowOff>104775</xdr:rowOff>
        </xdr:from>
        <xdr:to>
          <xdr:col>7</xdr:col>
          <xdr:colOff>180975</xdr:colOff>
          <xdr:row>35</xdr:row>
          <xdr:rowOff>142875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AÑO 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26</xdr:row>
          <xdr:rowOff>104775</xdr:rowOff>
        </xdr:from>
        <xdr:to>
          <xdr:col>10</xdr:col>
          <xdr:colOff>447675</xdr:colOff>
          <xdr:row>35</xdr:row>
          <xdr:rowOff>123825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BASE DE DATOS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57149</xdr:colOff>
      <xdr:row>35</xdr:row>
      <xdr:rowOff>179916</xdr:rowOff>
    </xdr:from>
    <xdr:to>
      <xdr:col>10</xdr:col>
      <xdr:colOff>433916</xdr:colOff>
      <xdr:row>38</xdr:row>
      <xdr:rowOff>110066</xdr:rowOff>
    </xdr:to>
    <xdr:sp macro="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819149" y="6847416"/>
          <a:ext cx="9891184" cy="5016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3200"/>
            <a:t>MENU DE EXPEDIENTES AÑO</a:t>
          </a:r>
          <a:r>
            <a:rPr lang="es-DO" sz="3200" baseline="0"/>
            <a:t> 2011-2024</a:t>
          </a:r>
          <a:endParaRPr lang="es-DO" sz="3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2</xdr:row>
      <xdr:rowOff>238125</xdr:rowOff>
    </xdr:from>
    <xdr:to>
      <xdr:col>2</xdr:col>
      <xdr:colOff>781050</xdr:colOff>
      <xdr:row>5</xdr:row>
      <xdr:rowOff>114300</xdr:rowOff>
    </xdr:to>
    <xdr:sp macro="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76200" y="619125"/>
          <a:ext cx="5124450" cy="504825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s-DO" sz="2400"/>
            <a:t>BUSCADOR</a:t>
          </a:r>
          <a:endParaRPr lang="es-DO" sz="48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7</xdr:row>
          <xdr:rowOff>19050</xdr:rowOff>
        </xdr:from>
        <xdr:to>
          <xdr:col>5</xdr:col>
          <xdr:colOff>0</xdr:colOff>
          <xdr:row>9</xdr:row>
          <xdr:rowOff>114300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1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7</xdr:row>
          <xdr:rowOff>19050</xdr:rowOff>
        </xdr:from>
        <xdr:to>
          <xdr:col>6</xdr:col>
          <xdr:colOff>9525</xdr:colOff>
          <xdr:row>9</xdr:row>
          <xdr:rowOff>114300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1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BASE DE DATOS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428625</xdr:colOff>
      <xdr:row>2</xdr:row>
      <xdr:rowOff>9525</xdr:rowOff>
    </xdr:from>
    <xdr:to>
      <xdr:col>6</xdr:col>
      <xdr:colOff>790575</xdr:colOff>
      <xdr:row>4</xdr:row>
      <xdr:rowOff>152400</xdr:rowOff>
    </xdr:to>
    <xdr:sp macro="" textlink="">
      <xdr:nvSpPr>
        <xdr:cNvPr id="25" name="Rectángulo: esquinas redondeadas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5334000" y="200025"/>
          <a:ext cx="4895850" cy="581025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/>
            <a:t>REGISTRAR EXPEDIENTE</a:t>
          </a:r>
        </a:p>
      </xdr:txBody>
    </xdr:sp>
    <xdr:clientData/>
  </xdr:twoCellAnchor>
  <xdr:twoCellAnchor>
    <xdr:from>
      <xdr:col>0</xdr:col>
      <xdr:colOff>1</xdr:colOff>
      <xdr:row>6</xdr:row>
      <xdr:rowOff>152400</xdr:rowOff>
    </xdr:from>
    <xdr:to>
      <xdr:col>3</xdr:col>
      <xdr:colOff>19051</xdr:colOff>
      <xdr:row>9</xdr:row>
      <xdr:rowOff>190500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" y="1504950"/>
          <a:ext cx="5238750" cy="666750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/>
            <a:t>TABLA DEL</a:t>
          </a:r>
          <a:r>
            <a:rPr lang="es-DO" sz="2800" baseline="0"/>
            <a:t> AÑO ESCOLAR</a:t>
          </a:r>
          <a:endParaRPr lang="es-DO" sz="2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5</xdr:row>
          <xdr:rowOff>123825</xdr:rowOff>
        </xdr:from>
        <xdr:to>
          <xdr:col>2</xdr:col>
          <xdr:colOff>790575</xdr:colOff>
          <xdr:row>6</xdr:row>
          <xdr:rowOff>152400</xdr:rowOff>
        </xdr:to>
        <xdr:sp macro="" textlink="">
          <xdr:nvSpPr>
            <xdr:cNvPr id="6161" name="TextBox1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1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7</xdr:row>
          <xdr:rowOff>19050</xdr:rowOff>
        </xdr:from>
        <xdr:to>
          <xdr:col>7</xdr:col>
          <xdr:colOff>9525</xdr:colOff>
          <xdr:row>9</xdr:row>
          <xdr:rowOff>114300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1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57150</xdr:rowOff>
    </xdr:from>
    <xdr:to>
      <xdr:col>2</xdr:col>
      <xdr:colOff>933450</xdr:colOff>
      <xdr:row>5</xdr:row>
      <xdr:rowOff>133349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628650"/>
          <a:ext cx="4800600" cy="466724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s-DO" sz="2400"/>
            <a:t>BUSCADOR</a:t>
          </a:r>
          <a:endParaRPr lang="es-DO" sz="4800" baseline="0"/>
        </a:p>
      </xdr:txBody>
    </xdr:sp>
    <xdr:clientData/>
  </xdr:twoCellAnchor>
  <xdr:twoCellAnchor>
    <xdr:from>
      <xdr:col>3</xdr:col>
      <xdr:colOff>228600</xdr:colOff>
      <xdr:row>2</xdr:row>
      <xdr:rowOff>0</xdr:rowOff>
    </xdr:from>
    <xdr:to>
      <xdr:col>7</xdr:col>
      <xdr:colOff>9525</xdr:colOff>
      <xdr:row>4</xdr:row>
      <xdr:rowOff>190500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057775" y="381000"/>
          <a:ext cx="5038725" cy="571500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/>
            <a:t>REGISTRAR EXPEDIENTE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19050</xdr:rowOff>
        </xdr:from>
        <xdr:to>
          <xdr:col>4</xdr:col>
          <xdr:colOff>2457450</xdr:colOff>
          <xdr:row>9</xdr:row>
          <xdr:rowOff>19050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19050</xdr:rowOff>
        </xdr:from>
        <xdr:to>
          <xdr:col>6</xdr:col>
          <xdr:colOff>0</xdr:colOff>
          <xdr:row>9</xdr:row>
          <xdr:rowOff>19050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BASE DE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9525</xdr:rowOff>
        </xdr:from>
        <xdr:to>
          <xdr:col>7</xdr:col>
          <xdr:colOff>0</xdr:colOff>
          <xdr:row>9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2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6</xdr:row>
      <xdr:rowOff>133350</xdr:rowOff>
    </xdr:from>
    <xdr:to>
      <xdr:col>3</xdr:col>
      <xdr:colOff>0</xdr:colOff>
      <xdr:row>9</xdr:row>
      <xdr:rowOff>171450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0" y="1495425"/>
          <a:ext cx="4829175" cy="666750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/>
            <a:t>TABLA DEL</a:t>
          </a:r>
          <a:r>
            <a:rPr lang="es-DO" sz="2800" baseline="0"/>
            <a:t> AÑO ESCOLAR</a:t>
          </a:r>
          <a:endParaRPr lang="es-DO" sz="2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5</xdr:row>
          <xdr:rowOff>142875</xdr:rowOff>
        </xdr:from>
        <xdr:to>
          <xdr:col>2</xdr:col>
          <xdr:colOff>847725</xdr:colOff>
          <xdr:row>6</xdr:row>
          <xdr:rowOff>114300</xdr:rowOff>
        </xdr:to>
        <xdr:sp macro="" textlink="">
          <xdr:nvSpPr>
            <xdr:cNvPr id="8199" name="TextBox1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161925</xdr:rowOff>
    </xdr:from>
    <xdr:to>
      <xdr:col>3</xdr:col>
      <xdr:colOff>19050</xdr:colOff>
      <xdr:row>5</xdr:row>
      <xdr:rowOff>238124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733425"/>
          <a:ext cx="4933950" cy="466724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s-DO" sz="2400" b="1">
              <a:solidFill>
                <a:schemeClr val="tx1"/>
              </a:solidFill>
            </a:rPr>
            <a:t>BUSCADOR</a:t>
          </a:r>
          <a:endParaRPr lang="es-DO" sz="4800" b="1" baseline="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257176</xdr:colOff>
      <xdr:row>1</xdr:row>
      <xdr:rowOff>133350</xdr:rowOff>
    </xdr:from>
    <xdr:to>
      <xdr:col>7</xdr:col>
      <xdr:colOff>38100</xdr:colOff>
      <xdr:row>4</xdr:row>
      <xdr:rowOff>161925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124451" y="133350"/>
          <a:ext cx="4867274" cy="60007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 b="1">
              <a:solidFill>
                <a:schemeClr val="tx1"/>
              </a:solidFill>
            </a:rPr>
            <a:t>REGISTRAR</a:t>
          </a:r>
          <a:r>
            <a:rPr lang="es-DO" sz="2800"/>
            <a:t> </a:t>
          </a:r>
          <a:r>
            <a:rPr lang="es-DO" sz="2800" b="1">
              <a:solidFill>
                <a:schemeClr val="tx1"/>
              </a:solidFill>
            </a:rPr>
            <a:t>EXPEDIENTE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7</xdr:row>
          <xdr:rowOff>9525</xdr:rowOff>
        </xdr:from>
        <xdr:to>
          <xdr:col>5</xdr:col>
          <xdr:colOff>0</xdr:colOff>
          <xdr:row>9</xdr:row>
          <xdr:rowOff>9525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9525</xdr:rowOff>
        </xdr:from>
        <xdr:to>
          <xdr:col>5</xdr:col>
          <xdr:colOff>1590675</xdr:colOff>
          <xdr:row>9</xdr:row>
          <xdr:rowOff>9525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BASE DE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9525</xdr:rowOff>
        </xdr:from>
        <xdr:to>
          <xdr:col>7</xdr:col>
          <xdr:colOff>19050</xdr:colOff>
          <xdr:row>9</xdr:row>
          <xdr:rowOff>9525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7</xdr:row>
      <xdr:rowOff>28575</xdr:rowOff>
    </xdr:from>
    <xdr:to>
      <xdr:col>3</xdr:col>
      <xdr:colOff>9525</xdr:colOff>
      <xdr:row>9</xdr:row>
      <xdr:rowOff>171450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0" y="1581150"/>
          <a:ext cx="4876800" cy="523875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 b="1">
              <a:solidFill>
                <a:schemeClr val="tx1"/>
              </a:solidFill>
            </a:rPr>
            <a:t>TABLA DEL</a:t>
          </a:r>
          <a:r>
            <a:rPr lang="es-DO" sz="2800" b="1" baseline="0">
              <a:solidFill>
                <a:schemeClr val="tx1"/>
              </a:solidFill>
            </a:rPr>
            <a:t> AÑO ESCOLAR</a:t>
          </a:r>
          <a:endParaRPr lang="es-DO" sz="28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247650</xdr:rowOff>
        </xdr:from>
        <xdr:to>
          <xdr:col>3</xdr:col>
          <xdr:colOff>0</xdr:colOff>
          <xdr:row>7</xdr:row>
          <xdr:rowOff>28575</xdr:rowOff>
        </xdr:to>
        <xdr:sp macro="" textlink="">
          <xdr:nvSpPr>
            <xdr:cNvPr id="9221" name="TextBox1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152399</xdr:rowOff>
    </xdr:from>
    <xdr:to>
      <xdr:col>2</xdr:col>
      <xdr:colOff>1114425</xdr:colOff>
      <xdr:row>9</xdr:row>
      <xdr:rowOff>180974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1457324"/>
          <a:ext cx="5029200" cy="6572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 b="1">
              <a:solidFill>
                <a:schemeClr val="tx1"/>
              </a:solidFill>
            </a:rPr>
            <a:t>TABLA DEL</a:t>
          </a:r>
          <a:r>
            <a:rPr lang="es-DO" sz="2800" b="1" baseline="0">
              <a:solidFill>
                <a:schemeClr val="tx1"/>
              </a:solidFill>
            </a:rPr>
            <a:t> AÑO ESCOLAR</a:t>
          </a:r>
          <a:endParaRPr lang="es-DO" sz="28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28575</xdr:rowOff>
    </xdr:from>
    <xdr:to>
      <xdr:col>2</xdr:col>
      <xdr:colOff>1095375</xdr:colOff>
      <xdr:row>5</xdr:row>
      <xdr:rowOff>104774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600075"/>
          <a:ext cx="5010150" cy="466724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s-DO" sz="2400" b="1">
              <a:solidFill>
                <a:schemeClr val="tx1"/>
              </a:solidFill>
            </a:rPr>
            <a:t>BUSCADOR</a:t>
          </a:r>
          <a:endParaRPr lang="es-DO" sz="4800" b="1" baseline="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0</xdr:colOff>
      <xdr:row>2</xdr:row>
      <xdr:rowOff>28577</xdr:rowOff>
    </xdr:from>
    <xdr:to>
      <xdr:col>6</xdr:col>
      <xdr:colOff>761999</xdr:colOff>
      <xdr:row>4</xdr:row>
      <xdr:rowOff>190501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5429250" y="409577"/>
          <a:ext cx="4781549" cy="542924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 b="1">
              <a:solidFill>
                <a:schemeClr val="tx1"/>
              </a:solidFill>
            </a:rPr>
            <a:t>REGISTRAR EXPEDIENTE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114300</xdr:rowOff>
        </xdr:from>
        <xdr:to>
          <xdr:col>2</xdr:col>
          <xdr:colOff>1104900</xdr:colOff>
          <xdr:row>6</xdr:row>
          <xdr:rowOff>142875</xdr:rowOff>
        </xdr:to>
        <xdr:sp macro="" textlink="">
          <xdr:nvSpPr>
            <xdr:cNvPr id="11265" name="TextBox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5</xdr:col>
          <xdr:colOff>0</xdr:colOff>
          <xdr:row>9</xdr:row>
          <xdr:rowOff>9525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2409825</xdr:colOff>
          <xdr:row>7</xdr:row>
          <xdr:rowOff>9525</xdr:rowOff>
        </xdr:from>
        <xdr:to>
          <xdr:col>5</xdr:col>
          <xdr:colOff>1590675</xdr:colOff>
          <xdr:row>9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BASE DE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1600200</xdr:colOff>
          <xdr:row>7</xdr:row>
          <xdr:rowOff>19050</xdr:rowOff>
        </xdr:from>
        <xdr:to>
          <xdr:col>7</xdr:col>
          <xdr:colOff>19050</xdr:colOff>
          <xdr:row>9</xdr:row>
          <xdr:rowOff>9525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85725</xdr:rowOff>
    </xdr:from>
    <xdr:to>
      <xdr:col>3</xdr:col>
      <xdr:colOff>19050</xdr:colOff>
      <xdr:row>4</xdr:row>
      <xdr:rowOff>171449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525" y="466725"/>
          <a:ext cx="5343525" cy="466724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s-DO" sz="2400" b="1">
              <a:solidFill>
                <a:schemeClr val="bg1"/>
              </a:solidFill>
            </a:rPr>
            <a:t>BUSCADOR</a:t>
          </a:r>
          <a:endParaRPr lang="es-DO" sz="4800" b="1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285751</xdr:colOff>
      <xdr:row>1</xdr:row>
      <xdr:rowOff>28576</xdr:rowOff>
    </xdr:from>
    <xdr:to>
      <xdr:col>7</xdr:col>
      <xdr:colOff>9525</xdr:colOff>
      <xdr:row>4</xdr:row>
      <xdr:rowOff>76200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5619751" y="219076"/>
          <a:ext cx="4829174" cy="619124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 b="1"/>
            <a:t>REGISTRAR EXPEDIENTE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180975</xdr:rowOff>
        </xdr:from>
        <xdr:to>
          <xdr:col>3</xdr:col>
          <xdr:colOff>9525</xdr:colOff>
          <xdr:row>6</xdr:row>
          <xdr:rowOff>9525</xdr:rowOff>
        </xdr:to>
        <xdr:sp macro="" textlink="">
          <xdr:nvSpPr>
            <xdr:cNvPr id="13313" name="Text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6</xdr:row>
      <xdr:rowOff>28576</xdr:rowOff>
    </xdr:from>
    <xdr:to>
      <xdr:col>2</xdr:col>
      <xdr:colOff>800099</xdr:colOff>
      <xdr:row>8</xdr:row>
      <xdr:rowOff>180975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0" y="1333501"/>
          <a:ext cx="5333999" cy="590549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 b="1"/>
            <a:t>TABLA DEL</a:t>
          </a:r>
          <a:r>
            <a:rPr lang="es-DO" sz="2800" b="1" baseline="0"/>
            <a:t> AÑO ESCOLAR</a:t>
          </a:r>
          <a:endParaRPr lang="es-DO" sz="28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7</xdr:row>
          <xdr:rowOff>19050</xdr:rowOff>
        </xdr:from>
        <xdr:to>
          <xdr:col>4</xdr:col>
          <xdr:colOff>2371725</xdr:colOff>
          <xdr:row>9</xdr:row>
          <xdr:rowOff>47625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2381250</xdr:colOff>
          <xdr:row>7</xdr:row>
          <xdr:rowOff>19050</xdr:rowOff>
        </xdr:from>
        <xdr:to>
          <xdr:col>6</xdr:col>
          <xdr:colOff>0</xdr:colOff>
          <xdr:row>9</xdr:row>
          <xdr:rowOff>47625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BASE DE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1638300</xdr:colOff>
          <xdr:row>7</xdr:row>
          <xdr:rowOff>9525</xdr:rowOff>
        </xdr:from>
        <xdr:to>
          <xdr:col>7</xdr:col>
          <xdr:colOff>9525</xdr:colOff>
          <xdr:row>9</xdr:row>
          <xdr:rowOff>38100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95250</xdr:rowOff>
    </xdr:from>
    <xdr:to>
      <xdr:col>3</xdr:col>
      <xdr:colOff>19050</xdr:colOff>
      <xdr:row>5</xdr:row>
      <xdr:rowOff>171449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666750"/>
          <a:ext cx="4857750" cy="466724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s-DO" sz="2400" b="1">
              <a:solidFill>
                <a:schemeClr val="tx1"/>
              </a:solidFill>
            </a:rPr>
            <a:t>BUSCADOR</a:t>
          </a:r>
          <a:endParaRPr lang="es-DO" sz="4800" b="1" baseline="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257176</xdr:colOff>
      <xdr:row>1</xdr:row>
      <xdr:rowOff>66676</xdr:rowOff>
    </xdr:from>
    <xdr:to>
      <xdr:col>6</xdr:col>
      <xdr:colOff>752475</xdr:colOff>
      <xdr:row>4</xdr:row>
      <xdr:rowOff>180976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095876" y="257176"/>
          <a:ext cx="4810124" cy="6858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 b="1">
              <a:solidFill>
                <a:schemeClr val="tx1"/>
              </a:solidFill>
            </a:rPr>
            <a:t>REGISTRAR EXPEDIENTE</a:t>
          </a:r>
        </a:p>
      </xdr:txBody>
    </xdr:sp>
    <xdr:clientData/>
  </xdr:twoCellAnchor>
  <xdr:twoCellAnchor>
    <xdr:from>
      <xdr:col>0</xdr:col>
      <xdr:colOff>0</xdr:colOff>
      <xdr:row>6</xdr:row>
      <xdr:rowOff>232827</xdr:rowOff>
    </xdr:from>
    <xdr:to>
      <xdr:col>3</xdr:col>
      <xdr:colOff>28574</xdr:colOff>
      <xdr:row>10</xdr:row>
      <xdr:rowOff>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0" y="1537752"/>
          <a:ext cx="4867274" cy="595848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 b="1">
              <a:solidFill>
                <a:schemeClr val="tx1"/>
              </a:solidFill>
            </a:rPr>
            <a:t>TABLA DEL</a:t>
          </a:r>
          <a:r>
            <a:rPr lang="es-DO" sz="2800" b="1" baseline="0">
              <a:solidFill>
                <a:schemeClr val="tx1"/>
              </a:solidFill>
            </a:rPr>
            <a:t> AÑO ESCOLAR</a:t>
          </a:r>
          <a:endParaRPr lang="es-DO" sz="28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352425</xdr:colOff>
          <xdr:row>7</xdr:row>
          <xdr:rowOff>28575</xdr:rowOff>
        </xdr:from>
        <xdr:to>
          <xdr:col>4</xdr:col>
          <xdr:colOff>2352675</xdr:colOff>
          <xdr:row>9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28575</xdr:rowOff>
        </xdr:from>
        <xdr:to>
          <xdr:col>6</xdr:col>
          <xdr:colOff>0</xdr:colOff>
          <xdr:row>9</xdr:row>
          <xdr:rowOff>28575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BASE DE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9525</xdr:rowOff>
        </xdr:from>
        <xdr:to>
          <xdr:col>6</xdr:col>
          <xdr:colOff>752475</xdr:colOff>
          <xdr:row>9</xdr:row>
          <xdr:rowOff>47625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190500</xdr:rowOff>
        </xdr:from>
        <xdr:to>
          <xdr:col>2</xdr:col>
          <xdr:colOff>800100</xdr:colOff>
          <xdr:row>6</xdr:row>
          <xdr:rowOff>219075</xdr:rowOff>
        </xdr:to>
        <xdr:sp macro="" textlink="">
          <xdr:nvSpPr>
            <xdr:cNvPr id="14340" name="TextBox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95250</xdr:rowOff>
    </xdr:from>
    <xdr:to>
      <xdr:col>3</xdr:col>
      <xdr:colOff>0</xdr:colOff>
      <xdr:row>5</xdr:row>
      <xdr:rowOff>171449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0" y="666750"/>
          <a:ext cx="5581650" cy="466724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s-DO" sz="2400" b="1"/>
            <a:t>BUSCADOR</a:t>
          </a:r>
          <a:endParaRPr lang="es-DO" sz="4800" b="1" baseline="0"/>
        </a:p>
      </xdr:txBody>
    </xdr:sp>
    <xdr:clientData/>
  </xdr:twoCellAnchor>
  <xdr:twoCellAnchor>
    <xdr:from>
      <xdr:col>3</xdr:col>
      <xdr:colOff>361951</xdr:colOff>
      <xdr:row>1</xdr:row>
      <xdr:rowOff>1</xdr:rowOff>
    </xdr:from>
    <xdr:to>
      <xdr:col>7</xdr:col>
      <xdr:colOff>0</xdr:colOff>
      <xdr:row>4</xdr:row>
      <xdr:rowOff>114301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5943601" y="190501"/>
          <a:ext cx="4838699" cy="685800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 b="1"/>
            <a:t>REGISTRAR EXPEDIENTE</a:t>
          </a:r>
        </a:p>
      </xdr:txBody>
    </xdr:sp>
    <xdr:clientData/>
  </xdr:twoCellAnchor>
  <xdr:twoCellAnchor>
    <xdr:from>
      <xdr:col>0</xdr:col>
      <xdr:colOff>0</xdr:colOff>
      <xdr:row>6</xdr:row>
      <xdr:rowOff>238127</xdr:rowOff>
    </xdr:from>
    <xdr:to>
      <xdr:col>3</xdr:col>
      <xdr:colOff>0</xdr:colOff>
      <xdr:row>9</xdr:row>
      <xdr:rowOff>171451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0" y="1543052"/>
          <a:ext cx="5581650" cy="561974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 b="1"/>
            <a:t>TABLA DEL</a:t>
          </a:r>
          <a:r>
            <a:rPr lang="es-DO" sz="2800" b="1" baseline="0"/>
            <a:t> AÑO ESCOLAR</a:t>
          </a:r>
          <a:endParaRPr lang="es-DO" sz="28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200025</xdr:rowOff>
        </xdr:from>
        <xdr:to>
          <xdr:col>3</xdr:col>
          <xdr:colOff>9525</xdr:colOff>
          <xdr:row>6</xdr:row>
          <xdr:rowOff>228600</xdr:rowOff>
        </xdr:to>
        <xdr:sp macro="" textlink="">
          <xdr:nvSpPr>
            <xdr:cNvPr id="15361" name="TextBox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7</xdr:row>
          <xdr:rowOff>19050</xdr:rowOff>
        </xdr:from>
        <xdr:to>
          <xdr:col>4</xdr:col>
          <xdr:colOff>2371725</xdr:colOff>
          <xdr:row>9</xdr:row>
          <xdr:rowOff>19050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2390775</xdr:colOff>
          <xdr:row>7</xdr:row>
          <xdr:rowOff>19050</xdr:rowOff>
        </xdr:from>
        <xdr:to>
          <xdr:col>6</xdr:col>
          <xdr:colOff>38100</xdr:colOff>
          <xdr:row>9</xdr:row>
          <xdr:rowOff>19050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BASE DE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7</xdr:row>
          <xdr:rowOff>9525</xdr:rowOff>
        </xdr:from>
        <xdr:to>
          <xdr:col>7</xdr:col>
          <xdr:colOff>28575</xdr:colOff>
          <xdr:row>9</xdr:row>
          <xdr:rowOff>28575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104775</xdr:rowOff>
    </xdr:from>
    <xdr:to>
      <xdr:col>3</xdr:col>
      <xdr:colOff>38100</xdr:colOff>
      <xdr:row>4</xdr:row>
      <xdr:rowOff>190499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485775"/>
          <a:ext cx="5610225" cy="46672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s-DO" sz="2400" b="1"/>
            <a:t>BUSCADOR</a:t>
          </a:r>
          <a:endParaRPr lang="es-DO" sz="4800" b="1" baseline="0"/>
        </a:p>
      </xdr:txBody>
    </xdr:sp>
    <xdr:clientData/>
  </xdr:twoCellAnchor>
  <xdr:twoCellAnchor>
    <xdr:from>
      <xdr:col>3</xdr:col>
      <xdr:colOff>276225</xdr:colOff>
      <xdr:row>1</xdr:row>
      <xdr:rowOff>142876</xdr:rowOff>
    </xdr:from>
    <xdr:to>
      <xdr:col>7</xdr:col>
      <xdr:colOff>9524</xdr:colOff>
      <xdr:row>4</xdr:row>
      <xdr:rowOff>95250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5848350" y="333376"/>
          <a:ext cx="4800599" cy="5238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 b="1"/>
            <a:t>REGISTRAR EXPEDIENTE</a:t>
          </a:r>
        </a:p>
      </xdr:txBody>
    </xdr:sp>
    <xdr:clientData/>
  </xdr:twoCellAnchor>
  <xdr:twoCellAnchor>
    <xdr:from>
      <xdr:col>0</xdr:col>
      <xdr:colOff>0</xdr:colOff>
      <xdr:row>6</xdr:row>
      <xdr:rowOff>85726</xdr:rowOff>
    </xdr:from>
    <xdr:to>
      <xdr:col>2</xdr:col>
      <xdr:colOff>790575</xdr:colOff>
      <xdr:row>9</xdr:row>
      <xdr:rowOff>161925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0" y="1390651"/>
          <a:ext cx="5562600" cy="704849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 b="1"/>
            <a:t>TABLA DEL</a:t>
          </a:r>
          <a:r>
            <a:rPr lang="es-DO" sz="2800" b="1" baseline="0"/>
            <a:t> AÑO ESCOLAR</a:t>
          </a:r>
          <a:endParaRPr lang="es-DO" sz="28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38100</xdr:rowOff>
        </xdr:from>
        <xdr:to>
          <xdr:col>2</xdr:col>
          <xdr:colOff>762000</xdr:colOff>
          <xdr:row>6</xdr:row>
          <xdr:rowOff>66675</xdr:rowOff>
        </xdr:to>
        <xdr:sp macro="" textlink="">
          <xdr:nvSpPr>
            <xdr:cNvPr id="16385" name="TextBox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7</xdr:row>
          <xdr:rowOff>9525</xdr:rowOff>
        </xdr:from>
        <xdr:to>
          <xdr:col>4</xdr:col>
          <xdr:colOff>2362200</xdr:colOff>
          <xdr:row>9</xdr:row>
          <xdr:rowOff>9525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8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2362200</xdr:colOff>
          <xdr:row>7</xdr:row>
          <xdr:rowOff>9525</xdr:rowOff>
        </xdr:from>
        <xdr:to>
          <xdr:col>6</xdr:col>
          <xdr:colOff>9525</xdr:colOff>
          <xdr:row>9</xdr:row>
          <xdr:rowOff>9525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8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BASE DE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9525</xdr:rowOff>
        </xdr:from>
        <xdr:to>
          <xdr:col>6</xdr:col>
          <xdr:colOff>752475</xdr:colOff>
          <xdr:row>9</xdr:row>
          <xdr:rowOff>9525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8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104775</xdr:rowOff>
    </xdr:from>
    <xdr:to>
      <xdr:col>2</xdr:col>
      <xdr:colOff>638175</xdr:colOff>
      <xdr:row>5</xdr:row>
      <xdr:rowOff>180974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0" y="676275"/>
          <a:ext cx="5372100" cy="466724"/>
        </a:xfrm>
        <a:prstGeom prst="roundRect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s-DO" sz="2400" b="1"/>
            <a:t>BUSCADOR</a:t>
          </a:r>
          <a:endParaRPr lang="es-DO" sz="4800" b="1" baseline="0"/>
        </a:p>
      </xdr:txBody>
    </xdr:sp>
    <xdr:clientData/>
  </xdr:twoCellAnchor>
  <xdr:twoCellAnchor>
    <xdr:from>
      <xdr:col>4</xdr:col>
      <xdr:colOff>1</xdr:colOff>
      <xdr:row>2</xdr:row>
      <xdr:rowOff>57151</xdr:rowOff>
    </xdr:from>
    <xdr:to>
      <xdr:col>6</xdr:col>
      <xdr:colOff>752475</xdr:colOff>
      <xdr:row>4</xdr:row>
      <xdr:rowOff>161925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5724526" y="438151"/>
          <a:ext cx="4924424" cy="485774"/>
        </a:xfrm>
        <a:prstGeom prst="roundRect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 b="1"/>
            <a:t>REGISTRAR EXPEDIENTE</a:t>
          </a:r>
        </a:p>
      </xdr:txBody>
    </xdr:sp>
    <xdr:clientData/>
  </xdr:twoCellAnchor>
  <xdr:twoCellAnchor>
    <xdr:from>
      <xdr:col>0</xdr:col>
      <xdr:colOff>0</xdr:colOff>
      <xdr:row>6</xdr:row>
      <xdr:rowOff>239426</xdr:rowOff>
    </xdr:from>
    <xdr:to>
      <xdr:col>3</xdr:col>
      <xdr:colOff>9525</xdr:colOff>
      <xdr:row>9</xdr:row>
      <xdr:rowOff>170151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0" y="1544351"/>
          <a:ext cx="5410200" cy="559375"/>
        </a:xfrm>
        <a:prstGeom prst="roundRect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 b="1"/>
            <a:t>TABLA DEL</a:t>
          </a:r>
          <a:r>
            <a:rPr lang="es-DO" sz="2800" b="1" baseline="0"/>
            <a:t> AÑO ESCOLAR</a:t>
          </a:r>
          <a:endParaRPr lang="es-DO" sz="28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200025</xdr:rowOff>
        </xdr:from>
        <xdr:to>
          <xdr:col>2</xdr:col>
          <xdr:colOff>657225</xdr:colOff>
          <xdr:row>6</xdr:row>
          <xdr:rowOff>228600</xdr:rowOff>
        </xdr:to>
        <xdr:sp macro="" textlink="">
          <xdr:nvSpPr>
            <xdr:cNvPr id="17409" name="TextBox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9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542925</xdr:colOff>
          <xdr:row>7</xdr:row>
          <xdr:rowOff>0</xdr:rowOff>
        </xdr:from>
        <xdr:to>
          <xdr:col>4</xdr:col>
          <xdr:colOff>2428875</xdr:colOff>
          <xdr:row>9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9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2438400</xdr:colOff>
          <xdr:row>7</xdr:row>
          <xdr:rowOff>9525</xdr:rowOff>
        </xdr:from>
        <xdr:to>
          <xdr:col>6</xdr:col>
          <xdr:colOff>19050</xdr:colOff>
          <xdr:row>9</xdr:row>
          <xdr:rowOff>9525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9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BASE DE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7</xdr:row>
          <xdr:rowOff>19050</xdr:rowOff>
        </xdr:from>
        <xdr:to>
          <xdr:col>7</xdr:col>
          <xdr:colOff>19050</xdr:colOff>
          <xdr:row>9</xdr:row>
          <xdr:rowOff>19050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9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152400</xdr:rowOff>
    </xdr:from>
    <xdr:to>
      <xdr:col>3</xdr:col>
      <xdr:colOff>0</xdr:colOff>
      <xdr:row>3</xdr:row>
      <xdr:rowOff>47624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0" y="152400"/>
          <a:ext cx="5543550" cy="466724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s-DO" sz="2400"/>
            <a:t>BUSCADOR</a:t>
          </a:r>
          <a:endParaRPr lang="es-DO" sz="4800" baseline="0"/>
        </a:p>
      </xdr:txBody>
    </xdr:sp>
    <xdr:clientData/>
  </xdr:twoCellAnchor>
  <xdr:twoCellAnchor>
    <xdr:from>
      <xdr:col>4</xdr:col>
      <xdr:colOff>0</xdr:colOff>
      <xdr:row>1</xdr:row>
      <xdr:rowOff>123826</xdr:rowOff>
    </xdr:from>
    <xdr:to>
      <xdr:col>7</xdr:col>
      <xdr:colOff>28574</xdr:colOff>
      <xdr:row>4</xdr:row>
      <xdr:rowOff>142875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5781675" y="314326"/>
          <a:ext cx="4819649" cy="590549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/>
            <a:t>REGISTRAR EXPEDIENTE</a:t>
          </a:r>
        </a:p>
      </xdr:txBody>
    </xdr:sp>
    <xdr:clientData/>
  </xdr:twoCellAnchor>
  <xdr:twoCellAnchor>
    <xdr:from>
      <xdr:col>0</xdr:col>
      <xdr:colOff>0</xdr:colOff>
      <xdr:row>6</xdr:row>
      <xdr:rowOff>76201</xdr:rowOff>
    </xdr:from>
    <xdr:to>
      <xdr:col>3</xdr:col>
      <xdr:colOff>57150</xdr:colOff>
      <xdr:row>9</xdr:row>
      <xdr:rowOff>180975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0" y="1381126"/>
          <a:ext cx="5172075" cy="733424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/>
            <a:t>TABLA DEL</a:t>
          </a:r>
          <a:r>
            <a:rPr lang="es-DO" sz="2800" baseline="0"/>
            <a:t> AÑO ESCOLAR</a:t>
          </a:r>
          <a:endParaRPr lang="es-DO" sz="2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4</xdr:col>
          <xdr:colOff>2428875</xdr:colOff>
          <xdr:row>9</xdr:row>
          <xdr:rowOff>28575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2419350</xdr:colOff>
          <xdr:row>7</xdr:row>
          <xdr:rowOff>19050</xdr:rowOff>
        </xdr:from>
        <xdr:to>
          <xdr:col>6</xdr:col>
          <xdr:colOff>19050</xdr:colOff>
          <xdr:row>9</xdr:row>
          <xdr:rowOff>38100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A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BASE DE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7</xdr:row>
          <xdr:rowOff>28575</xdr:rowOff>
        </xdr:from>
        <xdr:to>
          <xdr:col>7</xdr:col>
          <xdr:colOff>19050</xdr:colOff>
          <xdr:row>9</xdr:row>
          <xdr:rowOff>38100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A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19050</xdr:rowOff>
        </xdr:from>
        <xdr:to>
          <xdr:col>2</xdr:col>
          <xdr:colOff>895350</xdr:colOff>
          <xdr:row>5</xdr:row>
          <xdr:rowOff>190500</xdr:rowOff>
        </xdr:to>
        <xdr:sp macro="" textlink="">
          <xdr:nvSpPr>
            <xdr:cNvPr id="19460" name="TextBox1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A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2</xdr:col>
      <xdr:colOff>952500</xdr:colOff>
      <xdr:row>3</xdr:row>
      <xdr:rowOff>85724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0" y="190500"/>
          <a:ext cx="5715000" cy="466724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s-DO" sz="2400"/>
            <a:t>BUSCADOR</a:t>
          </a:r>
          <a:endParaRPr lang="es-DO" sz="4800" baseline="0"/>
        </a:p>
      </xdr:txBody>
    </xdr:sp>
    <xdr:clientData/>
  </xdr:twoCellAnchor>
  <xdr:twoCellAnchor>
    <xdr:from>
      <xdr:col>3</xdr:col>
      <xdr:colOff>419101</xdr:colOff>
      <xdr:row>1</xdr:row>
      <xdr:rowOff>38101</xdr:rowOff>
    </xdr:from>
    <xdr:to>
      <xdr:col>7</xdr:col>
      <xdr:colOff>0</xdr:colOff>
      <xdr:row>4</xdr:row>
      <xdr:rowOff>152401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6162676" y="228601"/>
          <a:ext cx="4733924" cy="68580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/>
            <a:t>REGISTRAR EXPEDIENTE</a:t>
          </a:r>
        </a:p>
      </xdr:txBody>
    </xdr:sp>
    <xdr:clientData/>
  </xdr:twoCellAnchor>
  <xdr:twoCellAnchor>
    <xdr:from>
      <xdr:col>0</xdr:col>
      <xdr:colOff>0</xdr:colOff>
      <xdr:row>6</xdr:row>
      <xdr:rowOff>66676</xdr:rowOff>
    </xdr:from>
    <xdr:to>
      <xdr:col>3</xdr:col>
      <xdr:colOff>28575</xdr:colOff>
      <xdr:row>9</xdr:row>
      <xdr:rowOff>28575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0" y="1371601"/>
          <a:ext cx="5772150" cy="590549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DO" sz="2800"/>
            <a:t>TABLA DEL</a:t>
          </a:r>
          <a:r>
            <a:rPr lang="es-DO" sz="2800" baseline="0"/>
            <a:t> AÑO ESCOLAR</a:t>
          </a:r>
          <a:endParaRPr lang="es-DO" sz="2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7</xdr:row>
          <xdr:rowOff>9525</xdr:rowOff>
        </xdr:from>
        <xdr:to>
          <xdr:col>5</xdr:col>
          <xdr:colOff>9525</xdr:colOff>
          <xdr:row>9</xdr:row>
          <xdr:rowOff>28575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B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7</xdr:row>
          <xdr:rowOff>9525</xdr:rowOff>
        </xdr:from>
        <xdr:to>
          <xdr:col>6</xdr:col>
          <xdr:colOff>0</xdr:colOff>
          <xdr:row>9</xdr:row>
          <xdr:rowOff>28575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B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BASE DE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9525</xdr:rowOff>
        </xdr:from>
        <xdr:to>
          <xdr:col>6</xdr:col>
          <xdr:colOff>752475</xdr:colOff>
          <xdr:row>9</xdr:row>
          <xdr:rowOff>9525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B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180975</xdr:rowOff>
        </xdr:from>
        <xdr:to>
          <xdr:col>2</xdr:col>
          <xdr:colOff>923925</xdr:colOff>
          <xdr:row>5</xdr:row>
          <xdr:rowOff>161925</xdr:rowOff>
        </xdr:to>
        <xdr:sp macro="" textlink="">
          <xdr:nvSpPr>
            <xdr:cNvPr id="20484" name="TextBox1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B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28575</xdr:rowOff>
    </xdr:from>
    <xdr:to>
      <xdr:col>6</xdr:col>
      <xdr:colOff>0</xdr:colOff>
      <xdr:row>2</xdr:row>
      <xdr:rowOff>180975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257425" y="28575"/>
          <a:ext cx="4695825" cy="533400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DO" sz="2800"/>
            <a:t>BASE DE DATOS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1009650</xdr:colOff>
          <xdr:row>3</xdr:row>
          <xdr:rowOff>9525</xdr:rowOff>
        </xdr:from>
        <xdr:to>
          <xdr:col>6</xdr:col>
          <xdr:colOff>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171450</xdr:rowOff>
        </xdr:from>
        <xdr:to>
          <xdr:col>4</xdr:col>
          <xdr:colOff>1000125</xdr:colOff>
          <xdr:row>4</xdr:row>
          <xdr:rowOff>161925</xdr:rowOff>
        </xdr:to>
        <xdr:sp macro="" textlink="">
          <xdr:nvSpPr>
            <xdr:cNvPr id="1027" name="Text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2CC5E1D-D955-4788-9AF4-BBB082B39C63}" name="TABLA2011" displayName="TABLA2011" ref="A11:C13" totalsRowCount="1" headerRowDxfId="100" dataDxfId="99">
  <autoFilter ref="A11:C12" xr:uid="{72CC5E1D-D955-4788-9AF4-BBB082B39C63}">
    <filterColumn colId="0">
      <customFilters>
        <customFilter val="**"/>
      </customFilters>
    </filterColumn>
  </autoFilter>
  <tableColumns count="3">
    <tableColumn id="1" xr3:uid="{CA5A2BFE-6D89-4828-91F8-38AB65A33A48}" name="NOMBRE COMPLETO" totalsRowLabel="Total" dataDxfId="98" totalsRowDxfId="97"/>
    <tableColumn id="2" xr3:uid="{F41B5D3F-5D79-40C7-B7A4-95A2861E8157}" name="AÑO ESCOLAR" dataDxfId="96" totalsRowDxfId="95"/>
    <tableColumn id="3" xr3:uid="{934BC9AD-0697-45F9-B298-88243202CC9A}" name="FICHA" totalsRowFunction="count" dataDxfId="94" totalsRowDxfId="93"/>
  </tableColumns>
  <tableStyleInfo name="TableStyleMedium2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B0320B8-495D-443E-86E6-135BE6363C52}" name="TABLA2014" displayName="TABLA2014" ref="A11:C13" totalsRowCount="1" headerRowDxfId="92" dataDxfId="91" totalsRowDxfId="90">
  <autoFilter ref="A11:C12" xr:uid="{6B0320B8-495D-443E-86E6-135BE6363C52}">
    <filterColumn colId="0">
      <customFilters>
        <customFilter val="**"/>
      </customFilters>
    </filterColumn>
  </autoFilter>
  <tableColumns count="3">
    <tableColumn id="1" xr3:uid="{E415FD36-2B52-46D6-AA5C-AB369A941B52}" name="NOMBRE" totalsRowLabel="TOTAL" dataDxfId="89" totalsRowDxfId="88"/>
    <tableColumn id="2" xr3:uid="{80C8B963-C031-40E7-88FF-CF05911539A9}" name="AÑO ESCOLAR" dataDxfId="87" totalsRowDxfId="86"/>
    <tableColumn id="3" xr3:uid="{76659C96-C7F1-4987-AC22-E1BAC00B0555}" name="FICHA" totalsRowFunction="count" dataDxfId="85" totalsRowDxfId="8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9F0E4B1-07EF-4910-890C-853FEBFF76F4}" name="AÑO2016" displayName="AÑO2016" ref="A11:C16" totalsRowCount="1" headerRowDxfId="83" dataDxfId="81" totalsRowDxfId="79" headerRowBorderDxfId="82" tableBorderDxfId="80">
  <tableColumns count="3">
    <tableColumn id="1" xr3:uid="{5EF0E8FB-25EB-4707-A796-735494BA380C}" name="NOMBRE" totalsRowLabel="TOTAL" dataDxfId="78" totalsRowDxfId="77"/>
    <tableColumn id="2" xr3:uid="{DC977F1B-C3AE-49CD-80E0-358D9AABA742}" name="AÑO ESCOLAR" dataDxfId="76" totalsRowDxfId="75"/>
    <tableColumn id="3" xr3:uid="{C37A584B-578F-484B-BF9F-935DF0FAF5A5}" name="FICHA" totalsRowFunction="count" dataDxfId="74" totalsRowDxfId="7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A4A502B-AC12-41A2-AD9E-B781E102B3BB}" name="AÑO2017" displayName="AÑO2017" ref="A11:C14" totalsRowCount="1" headerRowDxfId="72" dataDxfId="71" totalsRowDxfId="69" tableBorderDxfId="70">
  <autoFilter ref="A11:C13" xr:uid="{AA4A502B-AC12-41A2-AD9E-B781E102B3BB}"/>
  <tableColumns count="3">
    <tableColumn id="1" xr3:uid="{DA4BF2E2-4C0A-43D0-AC71-CE4018D7D99B}" name="NOMBRE" totalsRowLabel="Total" dataDxfId="68" totalsRowDxfId="67"/>
    <tableColumn id="2" xr3:uid="{15D25289-EF93-438D-80A6-7CEA3F2A9012}" name="AÑO ESCOLAR" dataDxfId="66" totalsRowDxfId="65"/>
    <tableColumn id="3" xr3:uid="{4E3B06FD-A7A5-47CF-9D6D-A60644A8C644}" name="FICHA" totalsRowFunction="count" dataDxfId="64" totalsRowDxfId="63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693BCC-E08F-4B89-8D07-DE86D145AF19}" name="TABLAÑO2018" displayName="TABLAÑO2018" ref="A10:C18" totalsRowCount="1" headerRowDxfId="62" dataDxfId="61" totalsRowDxfId="59" tableBorderDxfId="60">
  <autoFilter ref="A10:C17" xr:uid="{C2693BCC-E08F-4B89-8D07-DE86D145AF19}">
    <filterColumn colId="0">
      <customFilters>
        <customFilter val="**"/>
      </customFilters>
    </filterColumn>
  </autoFilter>
  <sortState xmlns:xlrd2="http://schemas.microsoft.com/office/spreadsheetml/2017/richdata2" ref="A11:C17">
    <sortCondition ref="A11:A17"/>
  </sortState>
  <tableColumns count="3">
    <tableColumn id="1" xr3:uid="{FD34914B-2A56-44CA-8609-8B6BCC65D763}" name="NOMBRE" totalsRowLabel="TOTAL" dataDxfId="58" totalsRowDxfId="57"/>
    <tableColumn id="2" xr3:uid="{366C3A35-A695-49F2-BB17-D118C576F4B4}" name="AÑO ESCOLAR" dataDxfId="56" totalsRowDxfId="55"/>
    <tableColumn id="3" xr3:uid="{1162CC95-351D-4093-91DA-CE962183F91A}" name="FICHA" totalsRowFunction="count" dataDxfId="54" totalsRowDxfId="5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5E65FF4-A365-4890-A4FA-3D92481AD515}" name="TABLAAÑO2019" displayName="TABLAAÑO2019" ref="A11:C16" totalsRowCount="1" headerRowDxfId="52" dataDxfId="51" totalsRowDxfId="49" tableBorderDxfId="50">
  <autoFilter ref="A11:C15" xr:uid="{F5E65FF4-A365-4890-A4FA-3D92481AD515}">
    <filterColumn colId="0">
      <customFilters>
        <customFilter val="**"/>
      </customFilters>
    </filterColumn>
  </autoFilter>
  <sortState xmlns:xlrd2="http://schemas.microsoft.com/office/spreadsheetml/2017/richdata2" ref="A12:C15">
    <sortCondition ref="A12:A15"/>
  </sortState>
  <tableColumns count="3">
    <tableColumn id="1" xr3:uid="{E0DBE584-9180-4DCE-AE80-65FD152A1EE6}" name="NOMBRE" totalsRowLabel="TOTAL" dataDxfId="48" totalsRowDxfId="47"/>
    <tableColumn id="2" xr3:uid="{3CCD2212-8063-4E09-A6B7-DA6D003431E9}" name="AÑO ESCOLAR" dataDxfId="46" totalsRowDxfId="45"/>
    <tableColumn id="3" xr3:uid="{B0854990-FCA9-45C5-A257-3D50163B8E27}" name="FICHA" totalsRowFunction="count" dataDxfId="44" totalsRowDxfId="43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008E55-389A-42FC-8A31-E9BD8864697E}" name="Tabla4" displayName="Tabla4" ref="A11:C38" totalsRowCount="1" headerRowDxfId="42" dataDxfId="41">
  <autoFilter ref="A11:C37" xr:uid="{CC008E55-389A-42FC-8A31-E9BD8864697E}">
    <filterColumn colId="0">
      <customFilters>
        <customFilter val="**"/>
      </customFilters>
    </filterColumn>
  </autoFilter>
  <sortState xmlns:xlrd2="http://schemas.microsoft.com/office/spreadsheetml/2017/richdata2" ref="A12:C37">
    <sortCondition ref="A12:A37"/>
  </sortState>
  <tableColumns count="3">
    <tableColumn id="1" xr3:uid="{35453BF2-08FB-49A1-B016-F57FC3ECA866}" name="NOMBRE" totalsRowLabel="Total" dataDxfId="40" totalsRowDxfId="39"/>
    <tableColumn id="2" xr3:uid="{5A872302-1D23-4D24-AE8D-82E1B1E832EE}" name="AÑO ESCOLAR" dataDxfId="38" totalsRowDxfId="37"/>
    <tableColumn id="3" xr3:uid="{BDF9A3DE-9456-430B-A5B8-7C14489B06EE}" name="FICHA" totalsRowFunction="count" dataDxfId="36" totalsRowDxfId="3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362E89D-3E74-488F-BC8A-56FF628A46CB}" name="TABLAAÑO2021" displayName="TABLAAÑO2021" ref="A11:C71" totalsRowCount="1" headerRowDxfId="34" dataDxfId="33" totalsRowDxfId="31" tableBorderDxfId="32">
  <autoFilter ref="A11:C70" xr:uid="{E362E89D-3E74-488F-BC8A-56FF628A46CB}">
    <filterColumn colId="0">
      <customFilters>
        <customFilter val="**"/>
      </customFilters>
    </filterColumn>
  </autoFilter>
  <sortState xmlns:xlrd2="http://schemas.microsoft.com/office/spreadsheetml/2017/richdata2" ref="A12:C70">
    <sortCondition ref="A12:A70"/>
  </sortState>
  <tableColumns count="3">
    <tableColumn id="1" xr3:uid="{355B47C2-D497-4757-A2A3-939F1CC54673}" name="NOMBRE" totalsRowLabel="Total" dataDxfId="30" totalsRowDxfId="29"/>
    <tableColumn id="2" xr3:uid="{26E9E45C-BB72-45D9-B86A-C7C3DD580DA6}" name="AÑO ESCOLAR" dataDxfId="28" totalsRowDxfId="27"/>
    <tableColumn id="3" xr3:uid="{EF6968EE-177F-41EA-8345-28790A08718A}" name="FICHA" totalsRowFunction="count" dataDxfId="26" totalsRowDxfId="25"/>
  </tableColumns>
  <tableStyleInfo name="TableStyleMedium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9CA7A5C-C271-470D-AE35-7ED69DC7F3DF}" name="TABLAAÑO2022" displayName="TABLAAÑO2022" ref="A11:C113" totalsRowCount="1" headerRowDxfId="24" dataDxfId="23">
  <autoFilter ref="A11:C112" xr:uid="{79CA7A5C-C271-470D-AE35-7ED69DC7F3DF}">
    <filterColumn colId="0">
      <customFilters>
        <customFilter val="**"/>
      </customFilters>
    </filterColumn>
  </autoFilter>
  <sortState xmlns:xlrd2="http://schemas.microsoft.com/office/spreadsheetml/2017/richdata2" ref="A12:C112">
    <sortCondition ref="C12:C112"/>
  </sortState>
  <tableColumns count="3">
    <tableColumn id="1" xr3:uid="{9E22C528-34EF-42F4-A822-F2E55AD2589F}" name="NOMBRE" totalsRowLabel="TOTAL" dataDxfId="22" totalsRowDxfId="21"/>
    <tableColumn id="2" xr3:uid="{95560A19-C138-4DAC-BF4A-8B9E9E079CE5}" name="AÑO ESCOLAR" dataDxfId="20" totalsRowDxfId="19"/>
    <tableColumn id="3" xr3:uid="{76FD8DB8-1970-46EB-830E-B04CA75B60B8}" name="FICHA" totalsRowFunction="custom" dataDxfId="18" totalsRowDxfId="17">
      <totalsRowFormula>B28:C113=SUBTOTAL(103,TABLAAÑO2022[FICHA])</totalsRow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BFA5BA0-FE72-4DEF-B1C6-E023D0959819}" name="TABLAAÑO2023" displayName="TABLAAÑO2023" ref="A11:C27" totalsRowCount="1" headerRowDxfId="16" dataDxfId="15">
  <autoFilter ref="A11:C26" xr:uid="{3BFA5BA0-FE72-4DEF-B1C6-E023D0959819}"/>
  <sortState xmlns:xlrd2="http://schemas.microsoft.com/office/spreadsheetml/2017/richdata2" ref="A12:C26">
    <sortCondition ref="C12:C26"/>
  </sortState>
  <tableColumns count="3">
    <tableColumn id="1" xr3:uid="{DD41506E-3B79-4010-8D41-D10FD97CC4DA}" name="NOMBRE" totalsRowLabel="Total" dataDxfId="14" totalsRowDxfId="13"/>
    <tableColumn id="2" xr3:uid="{D2E9FD96-31D0-401A-B48E-FCF1CF3F70F2}" name="AÑO ESCOLAR" dataDxfId="12" totalsRowDxfId="11"/>
    <tableColumn id="3" xr3:uid="{2AE6C90F-064E-4CC3-996D-0750478D27BD}" name="FICHA" totalsRowFunction="count" dataDxfId="10" totalsRowDxfId="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1527D15-7342-4C03-878E-01931668F9B6}" name="TABLAAÑO2024" displayName="TABLAAÑO2024" ref="A11:C119" totalsRowCount="1" headerRowDxfId="8" dataDxfId="7" totalsRowDxfId="6">
  <sortState xmlns:xlrd2="http://schemas.microsoft.com/office/spreadsheetml/2017/richdata2" ref="A12:C118">
    <sortCondition ref="C14:C118"/>
  </sortState>
  <tableColumns count="3">
    <tableColumn id="1" xr3:uid="{4A30BA20-7205-466D-8DA6-0DAB7045C428}" name="NOMBRE" totalsRowLabel="Total" dataDxfId="5" totalsRowDxfId="4"/>
    <tableColumn id="2" xr3:uid="{6F27B428-0FE5-4346-A393-A3A0D244755F}" name="AÑO ESCOLAR" dataDxfId="3" totalsRowDxfId="2"/>
    <tableColumn id="3" xr3:uid="{79C80C6D-BE88-42B3-81B3-A4C067DA3B1C}" name="FICHA" totalsRowFunction="count" dataDxfId="1" totalsRowDxfId="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BCCC09-2A6E-4A37-BA5F-D08416592290}" name="Tabla1" displayName="Tabla1" ref="D6:F878" totalsRowCount="1" headerRowDxfId="110" dataDxfId="109" totalsRowDxfId="107" tableBorderDxfId="108">
  <autoFilter ref="D6:F877" xr:uid="{8BBCCC09-2A6E-4A37-BA5F-D08416592290}">
    <filterColumn colId="0">
      <customFilters>
        <customFilter val="**"/>
      </customFilters>
    </filterColumn>
  </autoFilter>
  <tableColumns count="3">
    <tableColumn id="1" xr3:uid="{93225411-53A9-4244-95FD-8FF6A99BA7DE}" name="NOMBRE " totalsRowLabel="Total" dataDxfId="106" totalsRowDxfId="105"/>
    <tableColumn id="2" xr3:uid="{ED36F00D-CAAA-4E91-818F-084E5482FB62}" name="AÑO ESCOLAR" dataDxfId="104" totalsRowDxfId="103"/>
    <tableColumn id="3" xr3:uid="{811E48E1-30AC-4CBC-AACC-A937CA3D126A}" name="FICHA" totalsRowFunction="count" dataDxfId="102" totalsRowDxfId="101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ontrol" Target="../activeX/activeX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control" Target="../activeX/activeX2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ontrol" Target="../activeX/activeX3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ontrol" Target="../activeX/activeX4.xml"/><Relationship Id="rId7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control" Target="../activeX/activeX5.xml"/><Relationship Id="rId7" Type="http://schemas.openxmlformats.org/officeDocument/2006/relationships/ctrlProp" Target="../ctrlProps/ctrlProp2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control" Target="../activeX/activeX6.xml"/><Relationship Id="rId7" Type="http://schemas.openxmlformats.org/officeDocument/2006/relationships/ctrlProp" Target="../ctrlProps/ctrlProp3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image" Target="../media/image6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control" Target="../activeX/activeX7.xml"/><Relationship Id="rId7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image" Target="../media/image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control" Target="../activeX/activeX8.xml"/><Relationship Id="rId7" Type="http://schemas.openxmlformats.org/officeDocument/2006/relationships/ctrlProp" Target="../ctrlProps/ctrlProp3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image" Target="../media/image8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control" Target="../activeX/activeX9.xml"/><Relationship Id="rId7" Type="http://schemas.openxmlformats.org/officeDocument/2006/relationships/ctrlProp" Target="../ctrlProps/ctrlProp3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image" Target="../media/image9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control" Target="../activeX/activeX10.xml"/><Relationship Id="rId7" Type="http://schemas.openxmlformats.org/officeDocument/2006/relationships/ctrlProp" Target="../ctrlProps/ctrlProp4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image" Target="../media/image10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control" Target="../activeX/activeX11.xml"/><Relationship Id="rId7" Type="http://schemas.openxmlformats.org/officeDocument/2006/relationships/ctrlProp" Target="../ctrlProps/ctrlProp4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image" Target="../media/image11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table" Target="../tables/table12.xml"/><Relationship Id="rId5" Type="http://schemas.openxmlformats.org/officeDocument/2006/relationships/ctrlProp" Target="../ctrlProps/ctrlProp46.xml"/><Relationship Id="rId4" Type="http://schemas.openxmlformats.org/officeDocument/2006/relationships/image" Target="../media/image1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EED48-DC61-4444-89EC-78FB25B417E7}">
  <sheetPr codeName="Hoja6">
    <tabColor rgb="FF5943FB"/>
  </sheetPr>
  <dimension ref="A1:P646"/>
  <sheetViews>
    <sheetView zoomScale="90" zoomScaleNormal="90" workbookViewId="0">
      <selection activeCell="D62" sqref="D62"/>
    </sheetView>
  </sheetViews>
  <sheetFormatPr baseColWidth="10" defaultRowHeight="15" x14ac:dyDescent="0.25"/>
  <cols>
    <col min="4" max="4" width="33.7109375" customWidth="1"/>
    <col min="5" max="5" width="29" customWidth="1"/>
    <col min="11" max="11" width="7.7109375" customWidth="1"/>
  </cols>
  <sheetData>
    <row r="1" spans="1:16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</row>
    <row r="2" spans="1:16" x14ac:dyDescent="0.2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</row>
    <row r="3" spans="1:16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</row>
    <row r="4" spans="1:16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</row>
    <row r="5" spans="1:16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</row>
    <row r="6" spans="1:16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</row>
    <row r="7" spans="1:16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</row>
    <row r="8" spans="1:16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</row>
    <row r="9" spans="1:16" x14ac:dyDescent="0.2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</row>
    <row r="10" spans="1:16" x14ac:dyDescent="0.2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</row>
    <row r="11" spans="1:16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</row>
    <row r="12" spans="1:16" x14ac:dyDescent="0.2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</row>
    <row r="13" spans="1:16" x14ac:dyDescent="0.2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</row>
    <row r="14" spans="1:16" x14ac:dyDescent="0.2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</row>
    <row r="15" spans="1:16" x14ac:dyDescent="0.2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</row>
    <row r="16" spans="1:16" x14ac:dyDescent="0.25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</row>
    <row r="17" spans="1:16" x14ac:dyDescent="0.2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</row>
    <row r="18" spans="1:16" x14ac:dyDescent="0.2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</row>
    <row r="19" spans="1:16" x14ac:dyDescent="0.25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</row>
    <row r="20" spans="1:16" x14ac:dyDescent="0.2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</row>
    <row r="21" spans="1:16" x14ac:dyDescent="0.2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</row>
    <row r="22" spans="1:16" x14ac:dyDescent="0.2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</row>
    <row r="23" spans="1:16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</row>
    <row r="24" spans="1:16" x14ac:dyDescent="0.2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</row>
    <row r="25" spans="1:16" x14ac:dyDescent="0.2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</row>
    <row r="26" spans="1:16" x14ac:dyDescent="0.2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</row>
    <row r="27" spans="1:16" x14ac:dyDescent="0.2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</row>
    <row r="28" spans="1:16" x14ac:dyDescent="0.2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</row>
    <row r="29" spans="1:16" x14ac:dyDescent="0.2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</row>
    <row r="30" spans="1:16" x14ac:dyDescent="0.2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</row>
    <row r="31" spans="1:16" x14ac:dyDescent="0.2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</row>
    <row r="32" spans="1:16" x14ac:dyDescent="0.2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</row>
    <row r="33" spans="1:16" x14ac:dyDescent="0.2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</row>
    <row r="34" spans="1:16" x14ac:dyDescent="0.2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</row>
    <row r="35" spans="1:16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</row>
    <row r="36" spans="1:16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</row>
    <row r="37" spans="1:16" x14ac:dyDescent="0.2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</row>
    <row r="38" spans="1:16" x14ac:dyDescent="0.2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</row>
    <row r="39" spans="1:16" x14ac:dyDescent="0.25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</row>
    <row r="40" spans="1:16" x14ac:dyDescent="0.25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</row>
    <row r="41" spans="1:16" x14ac:dyDescent="0.2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</row>
    <row r="42" spans="1:16" x14ac:dyDescent="0.2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</row>
    <row r="43" spans="1:16" x14ac:dyDescent="0.25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</row>
    <row r="44" spans="1:16" x14ac:dyDescent="0.25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</row>
    <row r="45" spans="1:16" x14ac:dyDescent="0.25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</row>
    <row r="46" spans="1:16" x14ac:dyDescent="0.25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</row>
    <row r="47" spans="1:16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</row>
    <row r="48" spans="1:16" x14ac:dyDescent="0.25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</row>
    <row r="49" spans="1:16" x14ac:dyDescent="0.25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</row>
    <row r="50" spans="1:16" x14ac:dyDescent="0.25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</row>
    <row r="51" spans="1:16" x14ac:dyDescent="0.25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</row>
    <row r="52" spans="1:16" x14ac:dyDescent="0.25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</row>
    <row r="53" spans="1:16" x14ac:dyDescent="0.25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</row>
    <row r="54" spans="1:16" x14ac:dyDescent="0.25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</row>
    <row r="55" spans="1:16" x14ac:dyDescent="0.25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</row>
    <row r="56" spans="1:16" x14ac:dyDescent="0.25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</row>
    <row r="57" spans="1:16" x14ac:dyDescent="0.25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</row>
    <row r="58" spans="1:16" x14ac:dyDescent="0.25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</row>
    <row r="59" spans="1:16" x14ac:dyDescent="0.25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</row>
    <row r="60" spans="1:16" x14ac:dyDescent="0.25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</row>
    <row r="61" spans="1:16" x14ac:dyDescent="0.25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</row>
    <row r="62" spans="1:16" x14ac:dyDescent="0.25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</row>
    <row r="63" spans="1:16" x14ac:dyDescent="0.25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</row>
    <row r="64" spans="1:16" x14ac:dyDescent="0.25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</row>
    <row r="65" spans="1:16" x14ac:dyDescent="0.25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</row>
    <row r="66" spans="1:16" x14ac:dyDescent="0.25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</row>
    <row r="67" spans="1:16" x14ac:dyDescent="0.25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</row>
    <row r="68" spans="1:16" x14ac:dyDescent="0.25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</row>
    <row r="69" spans="1:16" x14ac:dyDescent="0.25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</row>
    <row r="70" spans="1:16" x14ac:dyDescent="0.25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</row>
    <row r="71" spans="1:16" x14ac:dyDescent="0.25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</row>
    <row r="72" spans="1:16" x14ac:dyDescent="0.25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</row>
    <row r="73" spans="1:16" x14ac:dyDescent="0.25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</row>
    <row r="74" spans="1:16" x14ac:dyDescent="0.25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</row>
    <row r="75" spans="1:16" x14ac:dyDescent="0.25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</row>
    <row r="76" spans="1:16" x14ac:dyDescent="0.25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</row>
    <row r="77" spans="1:16" x14ac:dyDescent="0.25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</row>
    <row r="78" spans="1:16" x14ac:dyDescent="0.25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</row>
    <row r="79" spans="1:16" x14ac:dyDescent="0.25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</row>
    <row r="80" spans="1:16" x14ac:dyDescent="0.25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</row>
    <row r="81" spans="1:16" x14ac:dyDescent="0.25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</row>
    <row r="82" spans="1:16" x14ac:dyDescent="0.25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</row>
    <row r="83" spans="1:16" x14ac:dyDescent="0.25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</row>
    <row r="84" spans="1:16" x14ac:dyDescent="0.25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</row>
    <row r="85" spans="1:16" x14ac:dyDescent="0.25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</row>
    <row r="86" spans="1:16" x14ac:dyDescent="0.25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</row>
    <row r="87" spans="1:16" x14ac:dyDescent="0.25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</row>
    <row r="88" spans="1:16" x14ac:dyDescent="0.25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</row>
    <row r="89" spans="1:16" x14ac:dyDescent="0.25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</row>
    <row r="90" spans="1:16" x14ac:dyDescent="0.25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</row>
    <row r="91" spans="1:16" x14ac:dyDescent="0.25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</row>
    <row r="92" spans="1:16" x14ac:dyDescent="0.25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</row>
    <row r="93" spans="1:16" x14ac:dyDescent="0.25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</row>
    <row r="94" spans="1:16" x14ac:dyDescent="0.25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</row>
    <row r="95" spans="1:16" x14ac:dyDescent="0.25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</row>
    <row r="96" spans="1:16" x14ac:dyDescent="0.25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</row>
    <row r="97" spans="1:16" x14ac:dyDescent="0.25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</row>
    <row r="98" spans="1:16" x14ac:dyDescent="0.25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</row>
    <row r="99" spans="1:16" x14ac:dyDescent="0.25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</row>
    <row r="100" spans="1:16" x14ac:dyDescent="0.25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</row>
    <row r="101" spans="1:16" x14ac:dyDescent="0.25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</row>
    <row r="102" spans="1:16" x14ac:dyDescent="0.25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</row>
    <row r="103" spans="1:16" x14ac:dyDescent="0.25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</row>
    <row r="104" spans="1:16" x14ac:dyDescent="0.25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</row>
    <row r="105" spans="1:16" x14ac:dyDescent="0.25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</row>
    <row r="106" spans="1:16" x14ac:dyDescent="0.25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</row>
    <row r="107" spans="1:16" x14ac:dyDescent="0.25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</row>
    <row r="108" spans="1:16" x14ac:dyDescent="0.25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</row>
    <row r="109" spans="1:16" x14ac:dyDescent="0.25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</row>
    <row r="110" spans="1:16" x14ac:dyDescent="0.25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</row>
    <row r="111" spans="1:16" x14ac:dyDescent="0.25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</row>
    <row r="112" spans="1:16" x14ac:dyDescent="0.25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</row>
    <row r="113" spans="1:16" x14ac:dyDescent="0.25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</row>
    <row r="114" spans="1:16" x14ac:dyDescent="0.25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</row>
    <row r="115" spans="1:16" x14ac:dyDescent="0.25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</row>
    <row r="116" spans="1:16" x14ac:dyDescent="0.25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</row>
    <row r="117" spans="1:16" x14ac:dyDescent="0.25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</row>
    <row r="118" spans="1:16" x14ac:dyDescent="0.25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</row>
    <row r="119" spans="1:16" x14ac:dyDescent="0.25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</row>
    <row r="120" spans="1:16" x14ac:dyDescent="0.25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</row>
    <row r="121" spans="1:16" x14ac:dyDescent="0.25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</row>
    <row r="122" spans="1:16" x14ac:dyDescent="0.25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</row>
    <row r="123" spans="1:16" x14ac:dyDescent="0.25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</row>
    <row r="124" spans="1:16" x14ac:dyDescent="0.25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</row>
    <row r="125" spans="1:16" x14ac:dyDescent="0.25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</row>
    <row r="126" spans="1:16" x14ac:dyDescent="0.25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</row>
    <row r="127" spans="1:16" x14ac:dyDescent="0.25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</row>
    <row r="128" spans="1:16" x14ac:dyDescent="0.25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</row>
    <row r="129" spans="1:16" x14ac:dyDescent="0.25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</row>
    <row r="130" spans="1:16" x14ac:dyDescent="0.25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</row>
    <row r="131" spans="1:16" x14ac:dyDescent="0.25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</row>
    <row r="132" spans="1:16" x14ac:dyDescent="0.25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</row>
    <row r="133" spans="1:16" x14ac:dyDescent="0.25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</row>
    <row r="134" spans="1:16" x14ac:dyDescent="0.25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</row>
    <row r="135" spans="1:16" x14ac:dyDescent="0.25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</row>
    <row r="136" spans="1:16" x14ac:dyDescent="0.25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</row>
    <row r="137" spans="1:16" x14ac:dyDescent="0.25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</row>
    <row r="138" spans="1:16" x14ac:dyDescent="0.25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</row>
    <row r="139" spans="1:16" x14ac:dyDescent="0.25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</row>
    <row r="140" spans="1:16" x14ac:dyDescent="0.25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</row>
    <row r="141" spans="1:16" x14ac:dyDescent="0.25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</row>
    <row r="142" spans="1:16" x14ac:dyDescent="0.25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</row>
    <row r="143" spans="1:16" x14ac:dyDescent="0.25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</row>
    <row r="144" spans="1:16" x14ac:dyDescent="0.25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</row>
    <row r="145" spans="1:16" x14ac:dyDescent="0.25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</row>
    <row r="146" spans="1:16" x14ac:dyDescent="0.25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</row>
    <row r="147" spans="1:16" x14ac:dyDescent="0.25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</row>
    <row r="148" spans="1:16" x14ac:dyDescent="0.25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</row>
    <row r="149" spans="1:16" x14ac:dyDescent="0.25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</row>
    <row r="150" spans="1:16" x14ac:dyDescent="0.25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</row>
    <row r="151" spans="1:16" x14ac:dyDescent="0.25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</row>
    <row r="152" spans="1:16" x14ac:dyDescent="0.25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</row>
    <row r="153" spans="1:16" x14ac:dyDescent="0.25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</row>
    <row r="154" spans="1:16" x14ac:dyDescent="0.25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</row>
    <row r="155" spans="1:16" x14ac:dyDescent="0.25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</row>
    <row r="156" spans="1:16" x14ac:dyDescent="0.25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</row>
    <row r="157" spans="1:16" x14ac:dyDescent="0.25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</row>
    <row r="158" spans="1:16" x14ac:dyDescent="0.25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</row>
    <row r="159" spans="1:16" x14ac:dyDescent="0.25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</row>
    <row r="160" spans="1:16" x14ac:dyDescent="0.25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</row>
    <row r="161" spans="1:16" x14ac:dyDescent="0.25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</row>
    <row r="162" spans="1:16" x14ac:dyDescent="0.25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</row>
    <row r="163" spans="1:16" x14ac:dyDescent="0.25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</row>
    <row r="164" spans="1:16" x14ac:dyDescent="0.25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</row>
    <row r="165" spans="1:16" x14ac:dyDescent="0.25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</row>
    <row r="166" spans="1:16" x14ac:dyDescent="0.25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</row>
    <row r="167" spans="1:16" x14ac:dyDescent="0.25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</row>
    <row r="168" spans="1:16" x14ac:dyDescent="0.25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</row>
    <row r="169" spans="1:16" x14ac:dyDescent="0.25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</row>
    <row r="170" spans="1:16" x14ac:dyDescent="0.25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</row>
    <row r="171" spans="1:16" x14ac:dyDescent="0.25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</row>
    <row r="172" spans="1:16" x14ac:dyDescent="0.25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</row>
    <row r="173" spans="1:16" x14ac:dyDescent="0.25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</row>
    <row r="174" spans="1:16" x14ac:dyDescent="0.25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</row>
    <row r="175" spans="1:16" x14ac:dyDescent="0.25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</row>
    <row r="176" spans="1:16" x14ac:dyDescent="0.25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</row>
    <row r="177" spans="1:16" x14ac:dyDescent="0.25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</row>
    <row r="178" spans="1:16" x14ac:dyDescent="0.25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</row>
    <row r="179" spans="1:16" x14ac:dyDescent="0.25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</row>
    <row r="180" spans="1:16" x14ac:dyDescent="0.25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</row>
    <row r="181" spans="1:16" x14ac:dyDescent="0.25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</row>
    <row r="182" spans="1:16" x14ac:dyDescent="0.25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</row>
    <row r="183" spans="1:16" x14ac:dyDescent="0.25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</row>
    <row r="184" spans="1:16" x14ac:dyDescent="0.25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</row>
    <row r="185" spans="1:16" x14ac:dyDescent="0.25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</row>
    <row r="186" spans="1:16" x14ac:dyDescent="0.25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</row>
    <row r="187" spans="1:16" x14ac:dyDescent="0.25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</row>
    <row r="188" spans="1:16" x14ac:dyDescent="0.25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</row>
    <row r="189" spans="1:16" x14ac:dyDescent="0.25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</row>
    <row r="190" spans="1:16" x14ac:dyDescent="0.25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</row>
    <row r="191" spans="1:16" x14ac:dyDescent="0.25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</row>
    <row r="192" spans="1:16" x14ac:dyDescent="0.25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</row>
    <row r="193" spans="1:16" x14ac:dyDescent="0.25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</row>
    <row r="194" spans="1:16" x14ac:dyDescent="0.25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</row>
    <row r="195" spans="1:16" x14ac:dyDescent="0.25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</row>
    <row r="196" spans="1:16" x14ac:dyDescent="0.25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</row>
    <row r="197" spans="1:16" x14ac:dyDescent="0.25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</row>
    <row r="198" spans="1:16" x14ac:dyDescent="0.25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</row>
    <row r="199" spans="1:16" x14ac:dyDescent="0.25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</row>
    <row r="200" spans="1:16" x14ac:dyDescent="0.25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</row>
    <row r="201" spans="1:16" x14ac:dyDescent="0.25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</row>
    <row r="202" spans="1:16" x14ac:dyDescent="0.25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</row>
    <row r="203" spans="1:16" x14ac:dyDescent="0.25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</row>
    <row r="204" spans="1:16" x14ac:dyDescent="0.25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</row>
    <row r="205" spans="1:16" x14ac:dyDescent="0.25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</row>
    <row r="206" spans="1:16" x14ac:dyDescent="0.25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</row>
    <row r="207" spans="1:16" x14ac:dyDescent="0.25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</row>
    <row r="208" spans="1:16" x14ac:dyDescent="0.25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</row>
    <row r="209" spans="1:16" x14ac:dyDescent="0.25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</row>
    <row r="210" spans="1:16" x14ac:dyDescent="0.25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</row>
    <row r="211" spans="1:16" x14ac:dyDescent="0.25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</row>
    <row r="212" spans="1:16" x14ac:dyDescent="0.25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</row>
    <row r="213" spans="1:16" x14ac:dyDescent="0.25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</row>
    <row r="214" spans="1:16" x14ac:dyDescent="0.25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</row>
    <row r="215" spans="1:16" x14ac:dyDescent="0.25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</row>
    <row r="216" spans="1:16" x14ac:dyDescent="0.25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</row>
    <row r="217" spans="1:16" x14ac:dyDescent="0.25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</row>
    <row r="218" spans="1:16" x14ac:dyDescent="0.25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</row>
    <row r="219" spans="1:16" x14ac:dyDescent="0.25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</row>
    <row r="220" spans="1:16" x14ac:dyDescent="0.25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</row>
    <row r="221" spans="1:16" x14ac:dyDescent="0.25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</row>
    <row r="222" spans="1:16" x14ac:dyDescent="0.25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</row>
    <row r="223" spans="1:16" x14ac:dyDescent="0.25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</row>
    <row r="224" spans="1:16" x14ac:dyDescent="0.25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</row>
    <row r="225" spans="1:16" x14ac:dyDescent="0.25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</row>
    <row r="226" spans="1:16" x14ac:dyDescent="0.25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</row>
    <row r="227" spans="1:16" x14ac:dyDescent="0.25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</row>
    <row r="228" spans="1:16" x14ac:dyDescent="0.25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</row>
    <row r="229" spans="1:16" x14ac:dyDescent="0.25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</row>
    <row r="230" spans="1:16" x14ac:dyDescent="0.25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</row>
    <row r="231" spans="1:16" x14ac:dyDescent="0.25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</row>
    <row r="232" spans="1:16" x14ac:dyDescent="0.25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</row>
    <row r="233" spans="1:16" x14ac:dyDescent="0.25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</row>
    <row r="234" spans="1:16" x14ac:dyDescent="0.25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</row>
    <row r="235" spans="1:16" x14ac:dyDescent="0.25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</row>
    <row r="236" spans="1:16" x14ac:dyDescent="0.25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</row>
    <row r="237" spans="1:16" x14ac:dyDescent="0.25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</row>
    <row r="238" spans="1:16" x14ac:dyDescent="0.25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</row>
    <row r="239" spans="1:16" x14ac:dyDescent="0.25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</row>
    <row r="240" spans="1:16" x14ac:dyDescent="0.25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</row>
    <row r="241" spans="1:16" x14ac:dyDescent="0.25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</row>
    <row r="242" spans="1:16" x14ac:dyDescent="0.25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</row>
    <row r="243" spans="1:16" x14ac:dyDescent="0.25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</row>
    <row r="244" spans="1:16" x14ac:dyDescent="0.25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</row>
    <row r="245" spans="1:16" x14ac:dyDescent="0.25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</row>
    <row r="246" spans="1:16" x14ac:dyDescent="0.25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</row>
    <row r="247" spans="1:16" x14ac:dyDescent="0.25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</row>
    <row r="248" spans="1:16" x14ac:dyDescent="0.25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</row>
    <row r="249" spans="1:16" x14ac:dyDescent="0.25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</row>
    <row r="250" spans="1:16" x14ac:dyDescent="0.25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</row>
    <row r="251" spans="1:16" x14ac:dyDescent="0.25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</row>
    <row r="252" spans="1:16" x14ac:dyDescent="0.25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</row>
    <row r="253" spans="1:16" x14ac:dyDescent="0.25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</row>
    <row r="254" spans="1:16" x14ac:dyDescent="0.25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</row>
    <row r="255" spans="1:16" x14ac:dyDescent="0.25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</row>
    <row r="256" spans="1:16" x14ac:dyDescent="0.25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</row>
    <row r="257" spans="1:16" x14ac:dyDescent="0.25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</row>
    <row r="258" spans="1:16" x14ac:dyDescent="0.25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</row>
    <row r="259" spans="1:16" x14ac:dyDescent="0.25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</row>
    <row r="260" spans="1:16" x14ac:dyDescent="0.25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</row>
    <row r="261" spans="1:16" x14ac:dyDescent="0.25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</row>
    <row r="262" spans="1:16" x14ac:dyDescent="0.25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</row>
    <row r="263" spans="1:16" x14ac:dyDescent="0.25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</row>
    <row r="264" spans="1:16" x14ac:dyDescent="0.25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</row>
    <row r="265" spans="1:16" x14ac:dyDescent="0.25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</row>
    <row r="266" spans="1:16" x14ac:dyDescent="0.25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</row>
    <row r="267" spans="1:16" x14ac:dyDescent="0.25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</row>
    <row r="268" spans="1:16" x14ac:dyDescent="0.25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</row>
    <row r="269" spans="1:16" x14ac:dyDescent="0.25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</row>
    <row r="270" spans="1:16" x14ac:dyDescent="0.25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</row>
    <row r="271" spans="1:16" x14ac:dyDescent="0.25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</row>
    <row r="272" spans="1:16" x14ac:dyDescent="0.25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</row>
    <row r="273" spans="1:16" x14ac:dyDescent="0.25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</row>
    <row r="274" spans="1:16" x14ac:dyDescent="0.25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</row>
    <row r="275" spans="1:16" x14ac:dyDescent="0.25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</row>
    <row r="276" spans="1:16" x14ac:dyDescent="0.25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</row>
    <row r="277" spans="1:16" x14ac:dyDescent="0.25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</row>
    <row r="278" spans="1:16" x14ac:dyDescent="0.25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</row>
    <row r="279" spans="1:16" x14ac:dyDescent="0.25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</row>
    <row r="280" spans="1:16" x14ac:dyDescent="0.25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</row>
    <row r="281" spans="1:16" x14ac:dyDescent="0.25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</row>
    <row r="282" spans="1:16" x14ac:dyDescent="0.25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</row>
    <row r="283" spans="1:16" x14ac:dyDescent="0.25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</row>
    <row r="284" spans="1:16" x14ac:dyDescent="0.25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</row>
    <row r="285" spans="1:16" x14ac:dyDescent="0.25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</row>
    <row r="286" spans="1:16" x14ac:dyDescent="0.25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</row>
    <row r="287" spans="1:16" x14ac:dyDescent="0.25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</row>
    <row r="288" spans="1:16" x14ac:dyDescent="0.25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</row>
    <row r="289" spans="1:16" x14ac:dyDescent="0.25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</row>
    <row r="290" spans="1:16" x14ac:dyDescent="0.25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</row>
    <row r="291" spans="1:16" x14ac:dyDescent="0.25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</row>
    <row r="292" spans="1:16" x14ac:dyDescent="0.25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</row>
    <row r="293" spans="1:16" x14ac:dyDescent="0.25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</row>
    <row r="294" spans="1:16" x14ac:dyDescent="0.25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</row>
    <row r="295" spans="1:16" x14ac:dyDescent="0.25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</row>
    <row r="296" spans="1:16" x14ac:dyDescent="0.25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</row>
    <row r="297" spans="1:16" x14ac:dyDescent="0.25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</row>
    <row r="298" spans="1:16" x14ac:dyDescent="0.25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</row>
    <row r="299" spans="1:16" x14ac:dyDescent="0.25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</row>
    <row r="300" spans="1:16" x14ac:dyDescent="0.25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</row>
    <row r="301" spans="1:16" x14ac:dyDescent="0.25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</row>
    <row r="302" spans="1:16" x14ac:dyDescent="0.25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</row>
    <row r="303" spans="1:16" x14ac:dyDescent="0.25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</row>
    <row r="304" spans="1:16" x14ac:dyDescent="0.25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</row>
    <row r="305" spans="1:16" x14ac:dyDescent="0.25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</row>
    <row r="306" spans="1:16" x14ac:dyDescent="0.25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</row>
    <row r="307" spans="1:16" x14ac:dyDescent="0.25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</row>
    <row r="308" spans="1:16" x14ac:dyDescent="0.25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</row>
    <row r="309" spans="1:16" x14ac:dyDescent="0.25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</row>
    <row r="310" spans="1:16" x14ac:dyDescent="0.25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</row>
    <row r="311" spans="1:16" x14ac:dyDescent="0.25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</row>
    <row r="312" spans="1:16" x14ac:dyDescent="0.25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</row>
    <row r="313" spans="1:16" x14ac:dyDescent="0.25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</row>
    <row r="314" spans="1:16" x14ac:dyDescent="0.25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</row>
    <row r="315" spans="1:16" x14ac:dyDescent="0.25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</row>
    <row r="316" spans="1:16" x14ac:dyDescent="0.25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</row>
    <row r="317" spans="1:16" x14ac:dyDescent="0.25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</row>
    <row r="318" spans="1:16" x14ac:dyDescent="0.25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</row>
    <row r="319" spans="1:16" x14ac:dyDescent="0.25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</row>
    <row r="320" spans="1:16" x14ac:dyDescent="0.25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</row>
    <row r="321" spans="1:16" x14ac:dyDescent="0.25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</row>
    <row r="322" spans="1:16" x14ac:dyDescent="0.25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</row>
    <row r="323" spans="1:16" x14ac:dyDescent="0.25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</row>
    <row r="324" spans="1:16" x14ac:dyDescent="0.25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</row>
    <row r="325" spans="1:16" x14ac:dyDescent="0.25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</row>
    <row r="326" spans="1:16" x14ac:dyDescent="0.25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</row>
    <row r="327" spans="1:16" x14ac:dyDescent="0.25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</row>
    <row r="328" spans="1:16" x14ac:dyDescent="0.25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</row>
    <row r="329" spans="1:16" x14ac:dyDescent="0.25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</row>
    <row r="330" spans="1:16" x14ac:dyDescent="0.25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</row>
    <row r="331" spans="1:16" x14ac:dyDescent="0.25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</row>
    <row r="332" spans="1:16" x14ac:dyDescent="0.25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</row>
    <row r="333" spans="1:16" x14ac:dyDescent="0.25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</row>
    <row r="334" spans="1:16" x14ac:dyDescent="0.25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</row>
    <row r="335" spans="1:16" x14ac:dyDescent="0.25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</row>
    <row r="336" spans="1:16" x14ac:dyDescent="0.25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</row>
    <row r="337" spans="1:16" x14ac:dyDescent="0.25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</row>
    <row r="338" spans="1:16" x14ac:dyDescent="0.25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</row>
    <row r="339" spans="1:16" x14ac:dyDescent="0.25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</row>
    <row r="340" spans="1:16" x14ac:dyDescent="0.25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</row>
    <row r="341" spans="1:16" x14ac:dyDescent="0.25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</row>
    <row r="342" spans="1:16" x14ac:dyDescent="0.25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</row>
    <row r="343" spans="1:16" x14ac:dyDescent="0.25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</row>
    <row r="344" spans="1:16" x14ac:dyDescent="0.25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</row>
    <row r="345" spans="1:16" x14ac:dyDescent="0.25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</row>
    <row r="346" spans="1:16" x14ac:dyDescent="0.25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</row>
    <row r="347" spans="1:16" x14ac:dyDescent="0.25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</row>
    <row r="348" spans="1:16" x14ac:dyDescent="0.25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</row>
    <row r="349" spans="1:16" x14ac:dyDescent="0.25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</row>
    <row r="350" spans="1:16" x14ac:dyDescent="0.25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</row>
    <row r="351" spans="1:16" x14ac:dyDescent="0.25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</row>
    <row r="352" spans="1:16" x14ac:dyDescent="0.25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</row>
    <row r="353" spans="1:16" x14ac:dyDescent="0.25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</row>
    <row r="354" spans="1:16" x14ac:dyDescent="0.25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</row>
    <row r="355" spans="1:16" x14ac:dyDescent="0.25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</row>
    <row r="356" spans="1:16" x14ac:dyDescent="0.25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</row>
    <row r="357" spans="1:16" x14ac:dyDescent="0.25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</row>
    <row r="358" spans="1:16" x14ac:dyDescent="0.25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</row>
    <row r="359" spans="1:16" x14ac:dyDescent="0.25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</row>
    <row r="360" spans="1:16" x14ac:dyDescent="0.25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</row>
    <row r="361" spans="1:16" x14ac:dyDescent="0.25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</row>
    <row r="362" spans="1:16" x14ac:dyDescent="0.25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</row>
    <row r="363" spans="1:16" x14ac:dyDescent="0.25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</row>
    <row r="364" spans="1:16" x14ac:dyDescent="0.25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</row>
    <row r="365" spans="1:16" x14ac:dyDescent="0.25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</row>
    <row r="366" spans="1:16" x14ac:dyDescent="0.25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</row>
    <row r="367" spans="1:16" x14ac:dyDescent="0.25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</row>
    <row r="368" spans="1:16" x14ac:dyDescent="0.25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</row>
    <row r="369" spans="1:16" x14ac:dyDescent="0.25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</row>
    <row r="370" spans="1:16" x14ac:dyDescent="0.25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</row>
    <row r="371" spans="1:16" x14ac:dyDescent="0.25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</row>
    <row r="372" spans="1:16" x14ac:dyDescent="0.25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</row>
    <row r="373" spans="1:16" x14ac:dyDescent="0.25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</row>
    <row r="374" spans="1:16" x14ac:dyDescent="0.25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</row>
    <row r="375" spans="1:16" x14ac:dyDescent="0.25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</row>
    <row r="376" spans="1:16" x14ac:dyDescent="0.25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</row>
    <row r="377" spans="1:16" x14ac:dyDescent="0.25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</row>
    <row r="378" spans="1:16" x14ac:dyDescent="0.25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</row>
    <row r="379" spans="1:16" x14ac:dyDescent="0.25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</row>
    <row r="380" spans="1:16" x14ac:dyDescent="0.25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</row>
    <row r="381" spans="1:16" x14ac:dyDescent="0.25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</row>
    <row r="382" spans="1:16" x14ac:dyDescent="0.25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</row>
    <row r="383" spans="1:16" x14ac:dyDescent="0.25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</row>
    <row r="384" spans="1:16" x14ac:dyDescent="0.25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</row>
    <row r="385" spans="1:16" x14ac:dyDescent="0.25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</row>
    <row r="386" spans="1:16" x14ac:dyDescent="0.25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</row>
    <row r="387" spans="1:16" x14ac:dyDescent="0.25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</row>
    <row r="388" spans="1:16" x14ac:dyDescent="0.25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</row>
    <row r="389" spans="1:16" x14ac:dyDescent="0.25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</row>
    <row r="390" spans="1:16" x14ac:dyDescent="0.25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</row>
    <row r="391" spans="1:16" x14ac:dyDescent="0.25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</row>
    <row r="392" spans="1:16" x14ac:dyDescent="0.25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</row>
    <row r="393" spans="1:16" x14ac:dyDescent="0.25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</row>
    <row r="394" spans="1:16" x14ac:dyDescent="0.25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</row>
    <row r="395" spans="1:16" x14ac:dyDescent="0.25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</row>
    <row r="396" spans="1:16" x14ac:dyDescent="0.25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</row>
    <row r="397" spans="1:16" x14ac:dyDescent="0.25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</row>
    <row r="398" spans="1:16" x14ac:dyDescent="0.25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</row>
    <row r="399" spans="1:16" x14ac:dyDescent="0.25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</row>
    <row r="400" spans="1:16" x14ac:dyDescent="0.25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</row>
    <row r="401" spans="1:16" x14ac:dyDescent="0.25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</row>
    <row r="402" spans="1:16" x14ac:dyDescent="0.25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</row>
    <row r="403" spans="1:16" x14ac:dyDescent="0.25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</row>
    <row r="404" spans="1:16" x14ac:dyDescent="0.25">
      <c r="A404" s="8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</row>
    <row r="405" spans="1:16" x14ac:dyDescent="0.25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</row>
    <row r="406" spans="1:16" x14ac:dyDescent="0.25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</row>
    <row r="407" spans="1:16" x14ac:dyDescent="0.25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</row>
    <row r="408" spans="1:16" x14ac:dyDescent="0.25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</row>
    <row r="409" spans="1:16" x14ac:dyDescent="0.25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</row>
    <row r="410" spans="1:16" x14ac:dyDescent="0.25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</row>
    <row r="411" spans="1:16" x14ac:dyDescent="0.25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</row>
    <row r="412" spans="1:16" x14ac:dyDescent="0.25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</row>
    <row r="413" spans="1:16" x14ac:dyDescent="0.25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</row>
    <row r="414" spans="1:16" x14ac:dyDescent="0.25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</row>
    <row r="415" spans="1:16" x14ac:dyDescent="0.25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</row>
    <row r="416" spans="1:16" x14ac:dyDescent="0.25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</row>
    <row r="417" spans="1:16" x14ac:dyDescent="0.25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</row>
    <row r="418" spans="1:16" x14ac:dyDescent="0.25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</row>
    <row r="419" spans="1:16" x14ac:dyDescent="0.25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</row>
    <row r="420" spans="1:16" x14ac:dyDescent="0.25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</row>
    <row r="421" spans="1:16" x14ac:dyDescent="0.25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</row>
    <row r="422" spans="1:16" x14ac:dyDescent="0.25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</row>
    <row r="423" spans="1:16" x14ac:dyDescent="0.25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</row>
    <row r="424" spans="1:16" x14ac:dyDescent="0.25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</row>
    <row r="425" spans="1:16" x14ac:dyDescent="0.25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</row>
    <row r="426" spans="1:16" x14ac:dyDescent="0.25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</row>
    <row r="427" spans="1:16" x14ac:dyDescent="0.25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</row>
    <row r="428" spans="1:16" x14ac:dyDescent="0.25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</row>
    <row r="429" spans="1:16" x14ac:dyDescent="0.25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</row>
    <row r="430" spans="1:16" x14ac:dyDescent="0.25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</row>
    <row r="431" spans="1:16" x14ac:dyDescent="0.25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</row>
    <row r="432" spans="1:16" x14ac:dyDescent="0.25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</row>
    <row r="433" spans="1:16" x14ac:dyDescent="0.25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</row>
    <row r="434" spans="1:16" x14ac:dyDescent="0.25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</row>
    <row r="435" spans="1:16" x14ac:dyDescent="0.25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</row>
    <row r="436" spans="1:16" x14ac:dyDescent="0.25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</row>
    <row r="437" spans="1:16" x14ac:dyDescent="0.25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</row>
    <row r="438" spans="1:16" x14ac:dyDescent="0.25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</row>
    <row r="439" spans="1:16" x14ac:dyDescent="0.25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</row>
    <row r="440" spans="1:16" x14ac:dyDescent="0.25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</row>
    <row r="441" spans="1:16" x14ac:dyDescent="0.25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</row>
    <row r="442" spans="1:16" x14ac:dyDescent="0.25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</row>
    <row r="443" spans="1:16" x14ac:dyDescent="0.25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</row>
    <row r="444" spans="1:16" x14ac:dyDescent="0.25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</row>
    <row r="445" spans="1:16" x14ac:dyDescent="0.25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</row>
    <row r="446" spans="1:16" x14ac:dyDescent="0.25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</row>
    <row r="447" spans="1:16" x14ac:dyDescent="0.25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</row>
    <row r="448" spans="1:16" x14ac:dyDescent="0.25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</row>
    <row r="449" spans="1:16" x14ac:dyDescent="0.25">
      <c r="A449" s="8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</row>
    <row r="450" spans="1:16" x14ac:dyDescent="0.25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</row>
    <row r="451" spans="1:16" x14ac:dyDescent="0.25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</row>
    <row r="452" spans="1:16" x14ac:dyDescent="0.25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</row>
    <row r="453" spans="1:16" x14ac:dyDescent="0.25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</row>
    <row r="454" spans="1:16" x14ac:dyDescent="0.25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</row>
    <row r="455" spans="1:16" x14ac:dyDescent="0.25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</row>
    <row r="456" spans="1:16" x14ac:dyDescent="0.25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</row>
    <row r="457" spans="1:16" x14ac:dyDescent="0.25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</row>
    <row r="458" spans="1:16" x14ac:dyDescent="0.25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</row>
    <row r="459" spans="1:16" x14ac:dyDescent="0.25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</row>
    <row r="460" spans="1:16" x14ac:dyDescent="0.25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</row>
    <row r="461" spans="1:16" x14ac:dyDescent="0.25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</row>
    <row r="462" spans="1:16" x14ac:dyDescent="0.25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</row>
    <row r="463" spans="1:16" x14ac:dyDescent="0.25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</row>
    <row r="464" spans="1:16" x14ac:dyDescent="0.25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</row>
    <row r="465" spans="1:16" x14ac:dyDescent="0.25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</row>
    <row r="466" spans="1:16" x14ac:dyDescent="0.25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</row>
    <row r="467" spans="1:16" x14ac:dyDescent="0.25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</row>
    <row r="468" spans="1:16" x14ac:dyDescent="0.25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</row>
    <row r="469" spans="1:16" x14ac:dyDescent="0.25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</row>
    <row r="470" spans="1:16" x14ac:dyDescent="0.25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</row>
    <row r="471" spans="1:16" x14ac:dyDescent="0.25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</row>
    <row r="472" spans="1:16" x14ac:dyDescent="0.25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</row>
    <row r="473" spans="1:16" x14ac:dyDescent="0.25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</row>
    <row r="474" spans="1:16" x14ac:dyDescent="0.25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</row>
    <row r="475" spans="1:16" x14ac:dyDescent="0.25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</row>
    <row r="476" spans="1:16" x14ac:dyDescent="0.25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</row>
    <row r="477" spans="1:16" x14ac:dyDescent="0.25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</row>
    <row r="478" spans="1:16" x14ac:dyDescent="0.25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</row>
    <row r="479" spans="1:16" x14ac:dyDescent="0.25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</row>
    <row r="480" spans="1:16" x14ac:dyDescent="0.25">
      <c r="A480" s="8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</row>
    <row r="481" spans="1:16" x14ac:dyDescent="0.25">
      <c r="A481" s="8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</row>
    <row r="482" spans="1:16" x14ac:dyDescent="0.25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</row>
    <row r="483" spans="1:16" x14ac:dyDescent="0.25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</row>
    <row r="484" spans="1:16" x14ac:dyDescent="0.25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</row>
    <row r="485" spans="1:16" x14ac:dyDescent="0.25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</row>
    <row r="486" spans="1:16" x14ac:dyDescent="0.25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</row>
    <row r="487" spans="1:16" x14ac:dyDescent="0.25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</row>
    <row r="488" spans="1:16" x14ac:dyDescent="0.25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</row>
    <row r="489" spans="1:16" x14ac:dyDescent="0.25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</row>
    <row r="490" spans="1:16" x14ac:dyDescent="0.25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</row>
    <row r="491" spans="1:16" x14ac:dyDescent="0.25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</row>
    <row r="492" spans="1:16" x14ac:dyDescent="0.25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</row>
    <row r="493" spans="1:16" x14ac:dyDescent="0.25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</row>
    <row r="494" spans="1:16" x14ac:dyDescent="0.25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</row>
    <row r="495" spans="1:16" x14ac:dyDescent="0.25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</row>
    <row r="496" spans="1:16" x14ac:dyDescent="0.25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</row>
    <row r="497" spans="1:16" x14ac:dyDescent="0.25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</row>
    <row r="498" spans="1:16" x14ac:dyDescent="0.25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</row>
    <row r="499" spans="1:16" x14ac:dyDescent="0.25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</row>
    <row r="500" spans="1:16" x14ac:dyDescent="0.25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</row>
    <row r="501" spans="1:16" x14ac:dyDescent="0.25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</row>
    <row r="502" spans="1:16" x14ac:dyDescent="0.25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</row>
    <row r="503" spans="1:16" x14ac:dyDescent="0.25">
      <c r="A503" s="8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</row>
    <row r="504" spans="1:16" x14ac:dyDescent="0.25">
      <c r="A504" s="8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</row>
    <row r="505" spans="1:16" x14ac:dyDescent="0.25">
      <c r="A505" s="8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</row>
    <row r="506" spans="1:16" x14ac:dyDescent="0.25">
      <c r="A506" s="8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</row>
    <row r="507" spans="1:16" x14ac:dyDescent="0.25">
      <c r="A507" s="8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</row>
    <row r="508" spans="1:16" x14ac:dyDescent="0.25">
      <c r="A508" s="8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</row>
    <row r="509" spans="1:16" x14ac:dyDescent="0.25">
      <c r="A509" s="8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</row>
    <row r="510" spans="1:16" x14ac:dyDescent="0.25">
      <c r="A510" s="8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</row>
    <row r="511" spans="1:16" x14ac:dyDescent="0.25">
      <c r="A511" s="8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</row>
    <row r="512" spans="1:16" x14ac:dyDescent="0.25">
      <c r="A512" s="8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</row>
    <row r="513" spans="1:16" x14ac:dyDescent="0.25">
      <c r="A513" s="8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</row>
    <row r="514" spans="1:16" x14ac:dyDescent="0.25">
      <c r="A514" s="8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</row>
    <row r="515" spans="1:16" x14ac:dyDescent="0.25">
      <c r="A515" s="8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</row>
    <row r="516" spans="1:16" x14ac:dyDescent="0.25">
      <c r="A516" s="8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</row>
    <row r="517" spans="1:16" x14ac:dyDescent="0.25">
      <c r="A517" s="8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</row>
    <row r="518" spans="1:16" x14ac:dyDescent="0.25">
      <c r="A518" s="8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</row>
    <row r="519" spans="1:16" x14ac:dyDescent="0.25">
      <c r="A519" s="8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</row>
    <row r="520" spans="1:16" x14ac:dyDescent="0.25">
      <c r="A520" s="8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</row>
    <row r="521" spans="1:16" x14ac:dyDescent="0.25">
      <c r="A521" s="8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</row>
    <row r="522" spans="1:16" x14ac:dyDescent="0.25">
      <c r="A522" s="8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</row>
    <row r="523" spans="1:16" x14ac:dyDescent="0.25">
      <c r="A523" s="8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</row>
    <row r="524" spans="1:16" x14ac:dyDescent="0.25">
      <c r="A524" s="8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</row>
    <row r="525" spans="1:16" x14ac:dyDescent="0.25">
      <c r="A525" s="8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</row>
    <row r="526" spans="1:16" x14ac:dyDescent="0.25">
      <c r="A526" s="8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</row>
    <row r="527" spans="1:16" x14ac:dyDescent="0.25">
      <c r="A527" s="8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</row>
    <row r="528" spans="1:16" x14ac:dyDescent="0.25">
      <c r="A528" s="8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</row>
    <row r="529" spans="1:16" x14ac:dyDescent="0.25">
      <c r="A529" s="8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</row>
    <row r="530" spans="1:16" x14ac:dyDescent="0.25">
      <c r="A530" s="8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</row>
    <row r="531" spans="1:16" x14ac:dyDescent="0.25">
      <c r="A531" s="8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</row>
    <row r="532" spans="1:16" x14ac:dyDescent="0.25">
      <c r="A532" s="8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</row>
    <row r="533" spans="1:16" x14ac:dyDescent="0.25">
      <c r="A533" s="8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</row>
    <row r="534" spans="1:16" x14ac:dyDescent="0.25">
      <c r="A534" s="8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</row>
    <row r="535" spans="1:16" x14ac:dyDescent="0.25">
      <c r="A535" s="8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</row>
    <row r="536" spans="1:16" x14ac:dyDescent="0.25">
      <c r="A536" s="8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</row>
    <row r="537" spans="1:16" x14ac:dyDescent="0.25">
      <c r="A537" s="8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</row>
    <row r="538" spans="1:16" x14ac:dyDescent="0.25">
      <c r="A538" s="8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</row>
    <row r="539" spans="1:16" x14ac:dyDescent="0.25">
      <c r="A539" s="8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</row>
    <row r="540" spans="1:16" x14ac:dyDescent="0.25">
      <c r="A540" s="8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</row>
    <row r="541" spans="1:16" x14ac:dyDescent="0.25">
      <c r="A541" s="8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</row>
    <row r="542" spans="1:16" x14ac:dyDescent="0.25">
      <c r="A542" s="8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</row>
    <row r="543" spans="1:16" x14ac:dyDescent="0.25">
      <c r="A543" s="8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</row>
    <row r="544" spans="1:16" x14ac:dyDescent="0.25">
      <c r="A544" s="8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</row>
    <row r="545" spans="1:16" x14ac:dyDescent="0.25">
      <c r="A545" s="8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</row>
    <row r="546" spans="1:16" x14ac:dyDescent="0.25">
      <c r="A546" s="8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</row>
    <row r="547" spans="1:16" x14ac:dyDescent="0.25">
      <c r="A547" s="8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</row>
    <row r="548" spans="1:16" x14ac:dyDescent="0.25">
      <c r="A548" s="8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</row>
    <row r="549" spans="1:16" x14ac:dyDescent="0.25">
      <c r="A549" s="8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</row>
    <row r="550" spans="1:16" x14ac:dyDescent="0.25">
      <c r="A550" s="8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</row>
    <row r="551" spans="1:16" x14ac:dyDescent="0.25">
      <c r="A551" s="8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</row>
    <row r="552" spans="1:16" x14ac:dyDescent="0.25">
      <c r="A552" s="8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</row>
    <row r="553" spans="1:16" x14ac:dyDescent="0.25">
      <c r="A553" s="8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</row>
    <row r="554" spans="1:16" x14ac:dyDescent="0.25">
      <c r="A554" s="8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</row>
    <row r="555" spans="1:16" x14ac:dyDescent="0.25">
      <c r="A555" s="8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</row>
    <row r="556" spans="1:16" x14ac:dyDescent="0.25">
      <c r="A556" s="8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</row>
    <row r="557" spans="1:16" x14ac:dyDescent="0.25">
      <c r="A557" s="8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</row>
    <row r="558" spans="1:16" x14ac:dyDescent="0.25">
      <c r="A558" s="8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</row>
    <row r="559" spans="1:16" x14ac:dyDescent="0.25">
      <c r="A559" s="8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</row>
    <row r="560" spans="1:16" x14ac:dyDescent="0.25">
      <c r="A560" s="8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</row>
    <row r="561" spans="1:16" x14ac:dyDescent="0.25">
      <c r="A561" s="8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</row>
    <row r="562" spans="1:16" x14ac:dyDescent="0.25">
      <c r="A562" s="8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</row>
    <row r="563" spans="1:16" x14ac:dyDescent="0.25">
      <c r="A563" s="8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</row>
    <row r="564" spans="1:16" x14ac:dyDescent="0.25">
      <c r="A564" s="8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</row>
    <row r="565" spans="1:16" x14ac:dyDescent="0.25">
      <c r="A565" s="8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</row>
    <row r="566" spans="1:16" x14ac:dyDescent="0.25">
      <c r="A566" s="8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</row>
    <row r="567" spans="1:16" x14ac:dyDescent="0.25">
      <c r="A567" s="8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</row>
    <row r="568" spans="1:16" x14ac:dyDescent="0.25">
      <c r="A568" s="8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</row>
    <row r="569" spans="1:16" x14ac:dyDescent="0.25">
      <c r="A569" s="8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</row>
    <row r="570" spans="1:16" x14ac:dyDescent="0.25">
      <c r="A570" s="8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</row>
    <row r="571" spans="1:16" x14ac:dyDescent="0.25">
      <c r="A571" s="8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</row>
    <row r="572" spans="1:16" x14ac:dyDescent="0.25">
      <c r="A572" s="8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</row>
    <row r="573" spans="1:16" x14ac:dyDescent="0.25">
      <c r="A573" s="8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</row>
    <row r="574" spans="1:16" x14ac:dyDescent="0.25">
      <c r="A574" s="8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</row>
    <row r="575" spans="1:16" x14ac:dyDescent="0.25">
      <c r="A575" s="8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</row>
    <row r="576" spans="1:16" x14ac:dyDescent="0.25">
      <c r="A576" s="8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</row>
    <row r="577" spans="1:16" x14ac:dyDescent="0.25">
      <c r="A577" s="8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</row>
    <row r="578" spans="1:16" x14ac:dyDescent="0.25">
      <c r="A578" s="8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</row>
    <row r="579" spans="1:16" x14ac:dyDescent="0.25">
      <c r="A579" s="8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</row>
    <row r="580" spans="1:16" x14ac:dyDescent="0.25">
      <c r="A580" s="8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</row>
    <row r="581" spans="1:16" x14ac:dyDescent="0.25">
      <c r="A581" s="8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</row>
    <row r="582" spans="1:16" x14ac:dyDescent="0.25">
      <c r="A582" s="8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</row>
    <row r="583" spans="1:16" x14ac:dyDescent="0.25">
      <c r="A583" s="8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</row>
    <row r="584" spans="1:16" x14ac:dyDescent="0.25">
      <c r="A584" s="8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</row>
    <row r="585" spans="1:16" x14ac:dyDescent="0.25">
      <c r="A585" s="8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</row>
    <row r="586" spans="1:16" x14ac:dyDescent="0.25">
      <c r="A586" s="8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</row>
    <row r="587" spans="1:16" x14ac:dyDescent="0.25">
      <c r="A587" s="8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</row>
    <row r="588" spans="1:16" x14ac:dyDescent="0.25">
      <c r="A588" s="8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</row>
    <row r="589" spans="1:16" x14ac:dyDescent="0.25">
      <c r="A589" s="8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</row>
    <row r="590" spans="1:16" x14ac:dyDescent="0.25">
      <c r="A590" s="8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</row>
    <row r="591" spans="1:16" x14ac:dyDescent="0.25">
      <c r="A591" s="8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</row>
    <row r="592" spans="1:16" x14ac:dyDescent="0.25">
      <c r="A592" s="8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</row>
    <row r="593" spans="1:16" x14ac:dyDescent="0.25">
      <c r="A593" s="8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</row>
    <row r="594" spans="1:16" x14ac:dyDescent="0.25">
      <c r="A594" s="8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</row>
    <row r="595" spans="1:16" x14ac:dyDescent="0.25">
      <c r="A595" s="8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</row>
    <row r="596" spans="1:16" x14ac:dyDescent="0.25">
      <c r="A596" s="8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</row>
    <row r="597" spans="1:16" x14ac:dyDescent="0.25">
      <c r="A597" s="8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</row>
    <row r="598" spans="1:16" x14ac:dyDescent="0.25">
      <c r="A598" s="8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</row>
    <row r="599" spans="1:16" x14ac:dyDescent="0.25">
      <c r="A599" s="8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</row>
    <row r="600" spans="1:16" x14ac:dyDescent="0.25">
      <c r="A600" s="8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</row>
    <row r="601" spans="1:16" x14ac:dyDescent="0.25">
      <c r="A601" s="8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</row>
    <row r="602" spans="1:16" x14ac:dyDescent="0.25">
      <c r="A602" s="8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</row>
    <row r="603" spans="1:16" x14ac:dyDescent="0.25">
      <c r="A603" s="8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</row>
    <row r="604" spans="1:16" x14ac:dyDescent="0.25">
      <c r="A604" s="8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</row>
    <row r="605" spans="1:16" x14ac:dyDescent="0.25">
      <c r="A605" s="8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</row>
    <row r="606" spans="1:16" x14ac:dyDescent="0.25">
      <c r="A606" s="8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</row>
    <row r="607" spans="1:16" x14ac:dyDescent="0.25">
      <c r="A607" s="8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</row>
    <row r="608" spans="1:16" x14ac:dyDescent="0.25">
      <c r="A608" s="8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</row>
    <row r="609" spans="1:16" x14ac:dyDescent="0.25">
      <c r="A609" s="8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</row>
    <row r="610" spans="1:16" x14ac:dyDescent="0.25">
      <c r="A610" s="8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</row>
    <row r="611" spans="1:16" x14ac:dyDescent="0.25">
      <c r="A611" s="8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</row>
    <row r="612" spans="1:16" x14ac:dyDescent="0.25">
      <c r="A612" s="8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</row>
    <row r="613" spans="1:16" x14ac:dyDescent="0.25">
      <c r="A613" s="8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</row>
    <row r="614" spans="1:16" x14ac:dyDescent="0.25">
      <c r="A614" s="8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</row>
    <row r="615" spans="1:16" x14ac:dyDescent="0.25">
      <c r="A615" s="8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</row>
    <row r="616" spans="1:16" x14ac:dyDescent="0.25">
      <c r="A616" s="8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</row>
    <row r="617" spans="1:16" x14ac:dyDescent="0.25">
      <c r="A617" s="8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</row>
    <row r="618" spans="1:16" x14ac:dyDescent="0.25">
      <c r="A618" s="8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</row>
    <row r="619" spans="1:16" x14ac:dyDescent="0.25">
      <c r="A619" s="8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</row>
    <row r="620" spans="1:16" x14ac:dyDescent="0.25">
      <c r="A620" s="8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</row>
    <row r="621" spans="1:16" x14ac:dyDescent="0.25">
      <c r="A621" s="8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</row>
    <row r="622" spans="1:16" x14ac:dyDescent="0.25">
      <c r="A622" s="8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</row>
    <row r="623" spans="1:16" x14ac:dyDescent="0.25">
      <c r="A623" s="8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</row>
    <row r="624" spans="1:16" x14ac:dyDescent="0.25">
      <c r="A624" s="8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</row>
    <row r="625" spans="1:16" x14ac:dyDescent="0.25">
      <c r="A625" s="8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</row>
    <row r="626" spans="1:16" x14ac:dyDescent="0.25">
      <c r="A626" s="8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</row>
    <row r="627" spans="1:16" x14ac:dyDescent="0.25">
      <c r="A627" s="8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</row>
    <row r="628" spans="1:16" x14ac:dyDescent="0.25">
      <c r="A628" s="8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</row>
    <row r="629" spans="1:16" x14ac:dyDescent="0.25">
      <c r="A629" s="8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</row>
    <row r="630" spans="1:16" x14ac:dyDescent="0.25">
      <c r="A630" s="8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</row>
    <row r="631" spans="1:16" x14ac:dyDescent="0.25">
      <c r="A631" s="8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</row>
    <row r="632" spans="1:16" x14ac:dyDescent="0.25">
      <c r="A632" s="8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</row>
    <row r="633" spans="1:16" x14ac:dyDescent="0.25">
      <c r="A633" s="8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</row>
    <row r="634" spans="1:16" x14ac:dyDescent="0.25">
      <c r="A634" s="8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</row>
    <row r="635" spans="1:16" x14ac:dyDescent="0.25">
      <c r="A635" s="8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</row>
    <row r="636" spans="1:16" x14ac:dyDescent="0.25">
      <c r="A636" s="8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</row>
    <row r="637" spans="1:16" x14ac:dyDescent="0.25">
      <c r="A637" s="8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</row>
    <row r="638" spans="1:16" x14ac:dyDescent="0.25">
      <c r="A638" s="8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</row>
    <row r="639" spans="1:16" x14ac:dyDescent="0.25">
      <c r="A639" s="8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</row>
    <row r="640" spans="1:16" x14ac:dyDescent="0.25">
      <c r="A640" s="8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</row>
    <row r="641" spans="1:16" x14ac:dyDescent="0.25">
      <c r="A641" s="8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</row>
    <row r="642" spans="1:16" x14ac:dyDescent="0.25">
      <c r="A642" s="8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</row>
    <row r="643" spans="1:16" x14ac:dyDescent="0.25">
      <c r="A643" s="8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</row>
    <row r="644" spans="1:16" x14ac:dyDescent="0.25">
      <c r="A644" s="8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</row>
    <row r="645" spans="1:16" x14ac:dyDescent="0.25">
      <c r="A645" s="8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8"/>
    </row>
    <row r="646" spans="1:16" x14ac:dyDescent="0.25">
      <c r="A646" s="8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HOJA2011">
                <anchor moveWithCells="1" sizeWithCells="1">
                  <from>
                    <xdr:col>1</xdr:col>
                    <xdr:colOff>123825</xdr:colOff>
                    <xdr:row>5</xdr:row>
                    <xdr:rowOff>133350</xdr:rowOff>
                  </from>
                  <to>
                    <xdr:col>3</xdr:col>
                    <xdr:colOff>857250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AÑO2014">
                <anchor moveWithCells="1" sizeWithCells="1">
                  <from>
                    <xdr:col>3</xdr:col>
                    <xdr:colOff>1066800</xdr:colOff>
                    <xdr:row>5</xdr:row>
                    <xdr:rowOff>133350</xdr:rowOff>
                  </from>
                  <to>
                    <xdr:col>4</xdr:col>
                    <xdr:colOff>1104900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AÑO16">
                <anchor moveWithCells="1" sizeWithCells="1">
                  <from>
                    <xdr:col>4</xdr:col>
                    <xdr:colOff>1314450</xdr:colOff>
                    <xdr:row>5</xdr:row>
                    <xdr:rowOff>142875</xdr:rowOff>
                  </from>
                  <to>
                    <xdr:col>7</xdr:col>
                    <xdr:colOff>142875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7" name="Button 7">
              <controlPr defaultSize="0" print="0" autoFill="0" autoPict="0" macro="[0]!AÑO17">
                <anchor moveWithCells="1" sizeWithCells="1">
                  <from>
                    <xdr:col>7</xdr:col>
                    <xdr:colOff>390525</xdr:colOff>
                    <xdr:row>5</xdr:row>
                    <xdr:rowOff>142875</xdr:rowOff>
                  </from>
                  <to>
                    <xdr:col>10</xdr:col>
                    <xdr:colOff>390525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AÑO2018">
                <anchor moveWithCells="1" sizeWithCells="1">
                  <from>
                    <xdr:col>1</xdr:col>
                    <xdr:colOff>85725</xdr:colOff>
                    <xdr:row>16</xdr:row>
                    <xdr:rowOff>38100</xdr:rowOff>
                  </from>
                  <to>
                    <xdr:col>3</xdr:col>
                    <xdr:colOff>847725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AÑO2019">
                <anchor moveWithCells="1" sizeWithCells="1">
                  <from>
                    <xdr:col>3</xdr:col>
                    <xdr:colOff>1066800</xdr:colOff>
                    <xdr:row>16</xdr:row>
                    <xdr:rowOff>47625</xdr:rowOff>
                  </from>
                  <to>
                    <xdr:col>4</xdr:col>
                    <xdr:colOff>1104900</xdr:colOff>
                    <xdr:row>25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0" name="Button 10">
              <controlPr defaultSize="0" print="0" autoFill="0" autoPict="0" macro="[0]!AÑO2020">
                <anchor moveWithCells="1" sizeWithCells="1">
                  <from>
                    <xdr:col>4</xdr:col>
                    <xdr:colOff>1333500</xdr:colOff>
                    <xdr:row>16</xdr:row>
                    <xdr:rowOff>47625</xdr:rowOff>
                  </from>
                  <to>
                    <xdr:col>7</xdr:col>
                    <xdr:colOff>161925</xdr:colOff>
                    <xdr:row>25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1" name="Button 11">
              <controlPr defaultSize="0" print="0" autoFill="0" autoPict="0" macro="[0]!AÑO2021">
                <anchor moveWithCells="1" sizeWithCells="1">
                  <from>
                    <xdr:col>7</xdr:col>
                    <xdr:colOff>428625</xdr:colOff>
                    <xdr:row>16</xdr:row>
                    <xdr:rowOff>38100</xdr:rowOff>
                  </from>
                  <to>
                    <xdr:col>10</xdr:col>
                    <xdr:colOff>428625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2" name="Button 12">
              <controlPr defaultSize="0" print="0" autoFill="0" autoPict="0" macro="[0]!AÑO2022">
                <anchor moveWithCells="1" sizeWithCells="1">
                  <from>
                    <xdr:col>1</xdr:col>
                    <xdr:colOff>76200</xdr:colOff>
                    <xdr:row>26</xdr:row>
                    <xdr:rowOff>85725</xdr:rowOff>
                  </from>
                  <to>
                    <xdr:col>3</xdr:col>
                    <xdr:colOff>838200</xdr:colOff>
                    <xdr:row>35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3" name="Button 13">
              <controlPr defaultSize="0" print="0" autoFill="0" autoPict="0" macro="[0]!EREREE">
                <anchor moveWithCells="1" sizeWithCells="1">
                  <from>
                    <xdr:col>3</xdr:col>
                    <xdr:colOff>1076325</xdr:colOff>
                    <xdr:row>26</xdr:row>
                    <xdr:rowOff>95250</xdr:rowOff>
                  </from>
                  <to>
                    <xdr:col>4</xdr:col>
                    <xdr:colOff>1114425</xdr:colOff>
                    <xdr:row>35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4" name="Button 14">
              <controlPr defaultSize="0" print="0" autoFill="0" autoPict="0" macro="[0]!JHBGBJ">
                <anchor moveWithCells="1" sizeWithCells="1">
                  <from>
                    <xdr:col>4</xdr:col>
                    <xdr:colOff>1352550</xdr:colOff>
                    <xdr:row>26</xdr:row>
                    <xdr:rowOff>104775</xdr:rowOff>
                  </from>
                  <to>
                    <xdr:col>7</xdr:col>
                    <xdr:colOff>180975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5" name="Button 15">
              <controlPr defaultSize="0" print="0" autoFill="0" autoPict="0" macro="[0]!_xlnm.Database">
                <anchor moveWithCells="1" sizeWithCells="1">
                  <from>
                    <xdr:col>7</xdr:col>
                    <xdr:colOff>447675</xdr:colOff>
                    <xdr:row>26</xdr:row>
                    <xdr:rowOff>104775</xdr:rowOff>
                  </from>
                  <to>
                    <xdr:col>10</xdr:col>
                    <xdr:colOff>447675</xdr:colOff>
                    <xdr:row>35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77D5F-4443-4D12-8AA8-826F1D3C472B}">
  <sheetPr codeName="Hoja1">
    <tabColor theme="8" tint="0.39997558519241921"/>
  </sheetPr>
  <dimension ref="A1:P637"/>
  <sheetViews>
    <sheetView workbookViewId="0">
      <selection activeCell="B22" sqref="B22"/>
    </sheetView>
  </sheetViews>
  <sheetFormatPr baseColWidth="10" defaultRowHeight="15" x14ac:dyDescent="0.25"/>
  <cols>
    <col min="1" max="1" width="42" customWidth="1"/>
    <col min="2" max="2" width="24.28515625" customWidth="1"/>
    <col min="3" max="3" width="12" customWidth="1"/>
    <col min="4" max="4" width="6.85546875" customWidth="1"/>
    <col min="5" max="5" width="37" customWidth="1"/>
    <col min="6" max="6" width="24.140625" customWidth="1"/>
    <col min="7" max="7" width="12" customWidth="1"/>
    <col min="8" max="10" width="11.42578125" customWidth="1"/>
  </cols>
  <sheetData>
    <row r="1" spans="1:16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ht="19.5" customHeight="1" x14ac:dyDescent="0.25">
      <c r="A3" s="2"/>
      <c r="B3" s="2"/>
      <c r="C3" s="2"/>
      <c r="D3" s="2"/>
      <c r="E3" s="5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ht="15" customHeight="1" x14ac:dyDescent="0.4">
      <c r="A4" s="2"/>
      <c r="B4" s="2"/>
      <c r="C4" s="2"/>
      <c r="D4" s="2"/>
      <c r="E4" s="2"/>
      <c r="F4" s="2"/>
      <c r="G4" s="2"/>
      <c r="H4" s="6"/>
      <c r="I4" s="2"/>
      <c r="J4" s="2"/>
      <c r="K4" s="2"/>
      <c r="L4" s="2"/>
      <c r="M4" s="2"/>
      <c r="N4" s="2"/>
      <c r="O4" s="2"/>
      <c r="P4" s="2"/>
    </row>
    <row r="5" spans="1:16" ht="15" customHeight="1" thickBot="1" x14ac:dyDescent="0.3">
      <c r="A5" s="2"/>
      <c r="B5" s="2"/>
      <c r="C5" s="2"/>
      <c r="D5" s="2"/>
      <c r="E5" s="2"/>
      <c r="F5" s="2"/>
      <c r="G5" s="2"/>
      <c r="H5" s="5"/>
      <c r="I5" s="2"/>
      <c r="J5" s="2"/>
      <c r="K5" s="2"/>
      <c r="L5" s="2"/>
      <c r="M5" s="2"/>
      <c r="N5" s="2"/>
      <c r="O5" s="2"/>
      <c r="P5" s="2"/>
    </row>
    <row r="6" spans="1:16" ht="27" thickBot="1" x14ac:dyDescent="0.45">
      <c r="A6" s="2"/>
      <c r="B6" s="2"/>
      <c r="C6" s="2"/>
      <c r="D6" s="2"/>
      <c r="E6" s="44" t="s">
        <v>3</v>
      </c>
      <c r="F6" s="4" t="s">
        <v>1</v>
      </c>
      <c r="G6" s="41" t="s">
        <v>2</v>
      </c>
      <c r="H6" s="2"/>
      <c r="I6" s="2"/>
      <c r="J6" s="2"/>
      <c r="K6" s="2"/>
      <c r="L6" s="2"/>
      <c r="M6" s="2"/>
      <c r="N6" s="2"/>
      <c r="O6" s="2"/>
      <c r="P6" s="2"/>
    </row>
    <row r="7" spans="1:16" ht="19.5" thickBot="1" x14ac:dyDescent="0.35">
      <c r="A7" s="2"/>
      <c r="B7" s="2"/>
      <c r="C7" s="2"/>
      <c r="D7" s="2"/>
      <c r="E7" s="17"/>
      <c r="F7" s="18" t="s">
        <v>5</v>
      </c>
      <c r="G7" s="26" t="s">
        <v>443</v>
      </c>
      <c r="H7" s="2"/>
      <c r="I7" s="2"/>
      <c r="J7" s="2"/>
      <c r="K7" s="2"/>
      <c r="L7" s="2"/>
      <c r="M7" s="2"/>
      <c r="N7" s="2"/>
      <c r="O7" s="2"/>
      <c r="P7" s="2"/>
    </row>
    <row r="8" spans="1:16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spans="1:16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spans="1:16" ht="15.75" thickBot="1" x14ac:dyDescent="0.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1:16" ht="18.75" customHeight="1" thickBot="1" x14ac:dyDescent="0.35">
      <c r="A11" s="45" t="s">
        <v>3</v>
      </c>
      <c r="B11" s="46" t="s">
        <v>1</v>
      </c>
      <c r="C11" s="47" t="s">
        <v>2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spans="1:16" ht="19.5" thickBot="1" x14ac:dyDescent="0.35">
      <c r="A12" s="17" t="s">
        <v>6</v>
      </c>
      <c r="B12" s="18" t="s">
        <v>5</v>
      </c>
      <c r="C12" s="43" t="s">
        <v>118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spans="1:16" ht="19.5" thickBot="1" x14ac:dyDescent="0.35">
      <c r="A13" s="18" t="s">
        <v>9</v>
      </c>
      <c r="B13" s="30"/>
      <c r="C13" s="18">
        <f>SUBTOTAL(103,TABLA2011[FICHA])</f>
        <v>1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spans="1:1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spans="1:1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 x14ac:dyDescent="0.25">
      <c r="A17" s="2"/>
      <c r="B17" s="2"/>
      <c r="C17" s="2"/>
      <c r="D17" s="5"/>
      <c r="E17" s="5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 x14ac:dyDescent="0.25">
      <c r="A18" s="2"/>
      <c r="B18" s="2"/>
      <c r="C18" s="5"/>
      <c r="D18" s="5"/>
      <c r="E18" s="5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 x14ac:dyDescent="0.25">
      <c r="A19" s="2"/>
      <c r="B19" s="2"/>
      <c r="C19" s="5"/>
      <c r="D19" s="5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16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spans="1:16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spans="1:16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spans="1:16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spans="1:16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38" spans="1:16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</row>
    <row r="39" spans="1:16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</row>
    <row r="40" spans="1:16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</row>
    <row r="41" spans="1:16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</row>
    <row r="42" spans="1:16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</row>
    <row r="43" spans="1:16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</row>
    <row r="44" spans="1:16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</row>
    <row r="45" spans="1:16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1:16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</row>
    <row r="47" spans="1:1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  <row r="49" spans="1:1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</row>
    <row r="50" spans="1:1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</row>
    <row r="51" spans="1:1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</row>
    <row r="52" spans="1:1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</row>
    <row r="53" spans="1:1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</row>
    <row r="54" spans="1:1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</row>
    <row r="55" spans="1:1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</row>
    <row r="56" spans="1:1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1:1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</row>
    <row r="58" spans="1:1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</row>
    <row r="59" spans="1:1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</row>
    <row r="60" spans="1:1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</row>
    <row r="61" spans="1:1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</row>
    <row r="62" spans="1:1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</row>
    <row r="63" spans="1:1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</row>
    <row r="64" spans="1:1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</row>
    <row r="65" spans="1:1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</row>
    <row r="66" spans="1:1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</row>
    <row r="67" spans="1:1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</row>
    <row r="68" spans="1:1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</row>
    <row r="69" spans="1:1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</row>
    <row r="70" spans="1:1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</row>
    <row r="71" spans="1:1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</row>
    <row r="72" spans="1:1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</row>
    <row r="73" spans="1:1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</row>
    <row r="74" spans="1:1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</row>
    <row r="75" spans="1:1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</row>
    <row r="76" spans="1:1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</row>
    <row r="77" spans="1:1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</row>
    <row r="78" spans="1:1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</row>
    <row r="79" spans="1:1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</row>
    <row r="80" spans="1:1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</row>
    <row r="81" spans="1:1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</row>
    <row r="82" spans="1:1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</row>
    <row r="83" spans="1:1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</row>
    <row r="84" spans="1:1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</row>
    <row r="85" spans="1:16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</row>
    <row r="86" spans="1:16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</row>
    <row r="87" spans="1:16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</row>
    <row r="88" spans="1:16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</row>
    <row r="89" spans="1:16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</row>
    <row r="90" spans="1:16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</row>
    <row r="91" spans="1:16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</row>
    <row r="92" spans="1:16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</row>
    <row r="93" spans="1:16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</row>
    <row r="94" spans="1:16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</row>
    <row r="95" spans="1:16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</row>
    <row r="96" spans="1:16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</row>
    <row r="97" spans="1:16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</row>
    <row r="98" spans="1:16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</row>
    <row r="99" spans="1:16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</row>
    <row r="100" spans="1:16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</row>
    <row r="101" spans="1:16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</row>
    <row r="102" spans="1:16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</row>
    <row r="103" spans="1:16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</row>
    <row r="104" spans="1:16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</row>
    <row r="105" spans="1:16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</row>
    <row r="106" spans="1:16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</row>
    <row r="107" spans="1:16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</row>
    <row r="108" spans="1:16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</row>
    <row r="109" spans="1:16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</row>
    <row r="110" spans="1:16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</row>
    <row r="111" spans="1:16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</row>
    <row r="112" spans="1:16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</row>
    <row r="113" spans="1:16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</row>
    <row r="114" spans="1:16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</row>
    <row r="115" spans="1:16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</row>
    <row r="116" spans="1:16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</row>
    <row r="117" spans="1:16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</row>
    <row r="118" spans="1:16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</row>
    <row r="119" spans="1:16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</row>
    <row r="120" spans="1:16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</row>
    <row r="121" spans="1:16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</row>
    <row r="122" spans="1:16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</row>
    <row r="123" spans="1:16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</row>
    <row r="124" spans="1:16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</row>
    <row r="125" spans="1:16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</row>
    <row r="126" spans="1:16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</row>
    <row r="127" spans="1:16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</row>
    <row r="128" spans="1:16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</row>
    <row r="129" spans="1:16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</row>
    <row r="130" spans="1:16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</row>
    <row r="131" spans="1:16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</row>
    <row r="132" spans="1:16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</row>
    <row r="133" spans="1:16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</row>
    <row r="134" spans="1:16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</row>
    <row r="135" spans="1:16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</row>
    <row r="136" spans="1:16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</row>
    <row r="137" spans="1:16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</row>
    <row r="138" spans="1:16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</row>
    <row r="139" spans="1:16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</row>
    <row r="140" spans="1:16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</row>
    <row r="141" spans="1:16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</row>
    <row r="142" spans="1:16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</row>
    <row r="143" spans="1:16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</row>
    <row r="144" spans="1:16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</row>
    <row r="145" spans="1:16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</row>
    <row r="146" spans="1:16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</row>
    <row r="147" spans="1:16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</row>
    <row r="148" spans="1:16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</row>
    <row r="149" spans="1:16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</row>
    <row r="150" spans="1:16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</row>
    <row r="151" spans="1:16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</row>
    <row r="152" spans="1:16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</row>
    <row r="153" spans="1:16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</row>
    <row r="154" spans="1:16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</row>
    <row r="155" spans="1:16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</row>
    <row r="156" spans="1:16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</row>
    <row r="157" spans="1:16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</row>
    <row r="158" spans="1:16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</row>
    <row r="159" spans="1:16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</row>
    <row r="160" spans="1:16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</row>
    <row r="161" spans="1:16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</row>
    <row r="162" spans="1:16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</row>
    <row r="163" spans="1:16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</row>
    <row r="164" spans="1:16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</row>
    <row r="165" spans="1:16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</row>
    <row r="166" spans="1:16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</row>
    <row r="167" spans="1:16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</row>
    <row r="168" spans="1:16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</row>
    <row r="169" spans="1:16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</row>
    <row r="170" spans="1:16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</row>
    <row r="171" spans="1:16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</row>
    <row r="172" spans="1:16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</row>
    <row r="173" spans="1:16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</row>
    <row r="174" spans="1:16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</row>
    <row r="175" spans="1:16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</row>
    <row r="176" spans="1:16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</row>
    <row r="177" spans="1:16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</row>
    <row r="178" spans="1:16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</row>
    <row r="179" spans="1:16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</row>
    <row r="180" spans="1:16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</row>
    <row r="181" spans="1:16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</row>
    <row r="182" spans="1:16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</row>
    <row r="183" spans="1:16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</row>
    <row r="184" spans="1:16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</row>
    <row r="185" spans="1:16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</row>
    <row r="186" spans="1:16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</row>
    <row r="187" spans="1:16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</row>
    <row r="188" spans="1:16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</row>
    <row r="189" spans="1:16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</row>
    <row r="190" spans="1:16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</row>
    <row r="191" spans="1:16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</row>
    <row r="192" spans="1:16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</row>
    <row r="193" spans="1:16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</row>
    <row r="194" spans="1:16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</row>
    <row r="195" spans="1:16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</row>
    <row r="196" spans="1:16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</row>
    <row r="197" spans="1:16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</row>
    <row r="198" spans="1:16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</row>
    <row r="199" spans="1:16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</row>
    <row r="200" spans="1:16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</row>
    <row r="201" spans="1:16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</row>
    <row r="202" spans="1:16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</row>
    <row r="203" spans="1:16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</row>
    <row r="204" spans="1:16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</row>
    <row r="205" spans="1:16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</row>
    <row r="206" spans="1:16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</row>
    <row r="207" spans="1:16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</row>
    <row r="208" spans="1:16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</row>
    <row r="209" spans="1:16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</row>
    <row r="210" spans="1:16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</row>
    <row r="211" spans="1:16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</row>
    <row r="212" spans="1:16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</row>
    <row r="213" spans="1:16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</row>
    <row r="214" spans="1:16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</row>
    <row r="215" spans="1:16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</row>
    <row r="216" spans="1:16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</row>
    <row r="217" spans="1:16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</row>
    <row r="218" spans="1:16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</row>
    <row r="219" spans="1:16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</row>
    <row r="220" spans="1:16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</row>
    <row r="221" spans="1:16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</row>
    <row r="222" spans="1:16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</row>
    <row r="223" spans="1:16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</row>
    <row r="224" spans="1:16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</row>
    <row r="225" spans="1:16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</row>
    <row r="226" spans="1:16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</row>
    <row r="227" spans="1:16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</row>
    <row r="228" spans="1:16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</row>
    <row r="229" spans="1:16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</row>
    <row r="230" spans="1:16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</row>
    <row r="231" spans="1:16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</row>
    <row r="232" spans="1:16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</row>
    <row r="233" spans="1:16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</row>
    <row r="234" spans="1:16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</row>
    <row r="235" spans="1:16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</row>
    <row r="236" spans="1:16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</row>
    <row r="237" spans="1:16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</row>
    <row r="238" spans="1:16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</row>
    <row r="239" spans="1:16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</row>
    <row r="240" spans="1:16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</row>
    <row r="241" spans="1:16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</row>
    <row r="242" spans="1:16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</row>
    <row r="243" spans="1:16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</row>
    <row r="244" spans="1:16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</row>
    <row r="245" spans="1:16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</row>
    <row r="246" spans="1:16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</row>
    <row r="247" spans="1:16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</row>
    <row r="248" spans="1:16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</row>
    <row r="249" spans="1:16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</row>
    <row r="250" spans="1:16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</row>
    <row r="251" spans="1:16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</row>
    <row r="252" spans="1:16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</row>
    <row r="253" spans="1:16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</row>
    <row r="254" spans="1:16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</row>
    <row r="255" spans="1:16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</row>
    <row r="256" spans="1:16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</row>
    <row r="257" spans="1:16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</row>
    <row r="258" spans="1:16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</row>
    <row r="259" spans="1:16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</row>
    <row r="260" spans="1:16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</row>
    <row r="261" spans="1:16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</row>
    <row r="262" spans="1:16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</row>
    <row r="263" spans="1:16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</row>
    <row r="264" spans="1:16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</row>
    <row r="265" spans="1:16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</row>
    <row r="266" spans="1:16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</row>
    <row r="267" spans="1:16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</row>
    <row r="268" spans="1:16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</row>
    <row r="269" spans="1:16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</row>
    <row r="270" spans="1:16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</row>
    <row r="271" spans="1:16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</row>
    <row r="272" spans="1:16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</row>
    <row r="273" spans="1:16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</row>
    <row r="274" spans="1:16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</row>
    <row r="275" spans="1:16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</row>
    <row r="276" spans="1:16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</row>
    <row r="277" spans="1:16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</row>
    <row r="278" spans="1:16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</row>
    <row r="279" spans="1:16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</row>
    <row r="280" spans="1:16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</row>
    <row r="281" spans="1:16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</row>
    <row r="282" spans="1:16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</row>
    <row r="283" spans="1:16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</row>
    <row r="284" spans="1:16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</row>
    <row r="285" spans="1:16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</row>
    <row r="286" spans="1:16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</row>
    <row r="287" spans="1:16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</row>
    <row r="288" spans="1:16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</row>
    <row r="289" spans="1:16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</row>
    <row r="290" spans="1:16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</row>
    <row r="291" spans="1:16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</row>
    <row r="292" spans="1:16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</row>
    <row r="293" spans="1:16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</row>
    <row r="294" spans="1:16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</row>
    <row r="295" spans="1:16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</row>
    <row r="296" spans="1:16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</row>
    <row r="297" spans="1:16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</row>
    <row r="298" spans="1:16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</row>
    <row r="299" spans="1:16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</row>
    <row r="300" spans="1:16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</row>
    <row r="301" spans="1:16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</row>
    <row r="302" spans="1:16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</row>
    <row r="303" spans="1:16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</row>
    <row r="304" spans="1:16" x14ac:dyDescent="0.2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</row>
    <row r="305" spans="1:16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</row>
    <row r="306" spans="1:16" x14ac:dyDescent="0.2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</row>
    <row r="307" spans="1:16" x14ac:dyDescent="0.2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</row>
    <row r="308" spans="1:16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</row>
    <row r="309" spans="1:16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</row>
    <row r="310" spans="1:16" x14ac:dyDescent="0.2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</row>
    <row r="311" spans="1:16" x14ac:dyDescent="0.2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</row>
    <row r="312" spans="1:16" x14ac:dyDescent="0.2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</row>
    <row r="313" spans="1:16" x14ac:dyDescent="0.2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</row>
    <row r="314" spans="1:16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</row>
    <row r="315" spans="1:16" x14ac:dyDescent="0.2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</row>
    <row r="316" spans="1:16" x14ac:dyDescent="0.2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</row>
    <row r="317" spans="1:16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</row>
    <row r="318" spans="1:16" x14ac:dyDescent="0.2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</row>
    <row r="319" spans="1:16" x14ac:dyDescent="0.2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</row>
    <row r="320" spans="1:16" x14ac:dyDescent="0.2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</row>
    <row r="321" spans="1:16" x14ac:dyDescent="0.2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</row>
    <row r="322" spans="1:16" x14ac:dyDescent="0.2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</row>
    <row r="323" spans="1:16" x14ac:dyDescent="0.2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</row>
    <row r="324" spans="1:16" x14ac:dyDescent="0.2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</row>
    <row r="325" spans="1:16" x14ac:dyDescent="0.2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</row>
    <row r="326" spans="1:16" x14ac:dyDescent="0.2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</row>
    <row r="327" spans="1:16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</row>
    <row r="328" spans="1:16" x14ac:dyDescent="0.2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</row>
    <row r="329" spans="1:16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</row>
    <row r="330" spans="1:16" x14ac:dyDescent="0.2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</row>
    <row r="331" spans="1:16" x14ac:dyDescent="0.2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</row>
    <row r="332" spans="1:16" x14ac:dyDescent="0.2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</row>
    <row r="333" spans="1:16" x14ac:dyDescent="0.2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</row>
    <row r="334" spans="1:16" x14ac:dyDescent="0.2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</row>
    <row r="335" spans="1:16" x14ac:dyDescent="0.2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</row>
    <row r="336" spans="1:16" x14ac:dyDescent="0.2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</row>
    <row r="337" spans="1:16" x14ac:dyDescent="0.2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</row>
    <row r="338" spans="1:16" x14ac:dyDescent="0.2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</row>
    <row r="339" spans="1:16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</row>
    <row r="340" spans="1:16" x14ac:dyDescent="0.2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</row>
    <row r="341" spans="1:16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</row>
    <row r="342" spans="1:16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</row>
    <row r="343" spans="1:16" x14ac:dyDescent="0.2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</row>
    <row r="344" spans="1:16" x14ac:dyDescent="0.2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</row>
    <row r="345" spans="1:16" x14ac:dyDescent="0.2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</row>
    <row r="346" spans="1:16" x14ac:dyDescent="0.2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</row>
    <row r="347" spans="1:16" x14ac:dyDescent="0.2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</row>
    <row r="348" spans="1:16" x14ac:dyDescent="0.2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</row>
    <row r="349" spans="1:16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</row>
    <row r="350" spans="1:16" x14ac:dyDescent="0.2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</row>
    <row r="351" spans="1:16" x14ac:dyDescent="0.2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</row>
    <row r="352" spans="1:16" x14ac:dyDescent="0.2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</row>
    <row r="353" spans="1:16" x14ac:dyDescent="0.2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</row>
    <row r="354" spans="1:16" x14ac:dyDescent="0.2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</row>
    <row r="355" spans="1:16" x14ac:dyDescent="0.2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</row>
    <row r="356" spans="1:16" x14ac:dyDescent="0.2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</row>
    <row r="357" spans="1:16" x14ac:dyDescent="0.2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</row>
    <row r="358" spans="1:16" x14ac:dyDescent="0.2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</row>
    <row r="359" spans="1:16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</row>
    <row r="360" spans="1:16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</row>
    <row r="361" spans="1:16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</row>
    <row r="362" spans="1:16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</row>
    <row r="363" spans="1:16" x14ac:dyDescent="0.2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</row>
    <row r="364" spans="1:16" x14ac:dyDescent="0.2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</row>
    <row r="365" spans="1:16" x14ac:dyDescent="0.2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</row>
    <row r="366" spans="1:16" x14ac:dyDescent="0.2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</row>
    <row r="367" spans="1:16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</row>
    <row r="368" spans="1:16" x14ac:dyDescent="0.2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</row>
    <row r="369" spans="1:16" x14ac:dyDescent="0.2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</row>
    <row r="370" spans="1:16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</row>
    <row r="371" spans="1:16" x14ac:dyDescent="0.2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</row>
    <row r="372" spans="1:16" x14ac:dyDescent="0.2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</row>
    <row r="373" spans="1:16" x14ac:dyDescent="0.2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</row>
    <row r="374" spans="1:16" x14ac:dyDescent="0.2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</row>
    <row r="375" spans="1:16" x14ac:dyDescent="0.2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</row>
    <row r="376" spans="1:16" x14ac:dyDescent="0.2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</row>
    <row r="377" spans="1:16" x14ac:dyDescent="0.2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</row>
    <row r="378" spans="1:16" x14ac:dyDescent="0.2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</row>
    <row r="379" spans="1:16" x14ac:dyDescent="0.2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</row>
    <row r="380" spans="1:16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</row>
    <row r="381" spans="1:16" x14ac:dyDescent="0.2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</row>
    <row r="382" spans="1:16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</row>
    <row r="383" spans="1:16" x14ac:dyDescent="0.2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</row>
    <row r="384" spans="1:16" x14ac:dyDescent="0.2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</row>
    <row r="385" spans="1:16" x14ac:dyDescent="0.2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</row>
    <row r="386" spans="1:16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</row>
    <row r="387" spans="1:16" x14ac:dyDescent="0.2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</row>
    <row r="388" spans="1:16" x14ac:dyDescent="0.2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</row>
    <row r="389" spans="1:16" x14ac:dyDescent="0.2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</row>
    <row r="390" spans="1:16" x14ac:dyDescent="0.2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</row>
    <row r="391" spans="1:16" x14ac:dyDescent="0.2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</row>
    <row r="392" spans="1:16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</row>
    <row r="393" spans="1:16" x14ac:dyDescent="0.2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</row>
    <row r="394" spans="1:16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</row>
    <row r="395" spans="1:16" x14ac:dyDescent="0.2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</row>
    <row r="396" spans="1:16" x14ac:dyDescent="0.2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</row>
    <row r="397" spans="1:16" x14ac:dyDescent="0.2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</row>
    <row r="398" spans="1:16" x14ac:dyDescent="0.2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</row>
    <row r="399" spans="1:16" x14ac:dyDescent="0.2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</row>
    <row r="400" spans="1:16" x14ac:dyDescent="0.2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</row>
    <row r="401" spans="1:16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</row>
    <row r="402" spans="1:16" x14ac:dyDescent="0.2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</row>
    <row r="403" spans="1:16" x14ac:dyDescent="0.2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</row>
    <row r="404" spans="1:16" x14ac:dyDescent="0.2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</row>
    <row r="405" spans="1:16" x14ac:dyDescent="0.2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</row>
    <row r="406" spans="1:16" x14ac:dyDescent="0.2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</row>
    <row r="407" spans="1:16" x14ac:dyDescent="0.2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</row>
    <row r="408" spans="1:16" x14ac:dyDescent="0.2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</row>
    <row r="409" spans="1:16" x14ac:dyDescent="0.2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</row>
    <row r="410" spans="1:16" x14ac:dyDescent="0.2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</row>
    <row r="411" spans="1:16" x14ac:dyDescent="0.2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</row>
    <row r="412" spans="1:16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</row>
    <row r="413" spans="1:16" x14ac:dyDescent="0.2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</row>
    <row r="414" spans="1:16" x14ac:dyDescent="0.2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</row>
    <row r="415" spans="1:16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</row>
    <row r="416" spans="1:16" x14ac:dyDescent="0.2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</row>
    <row r="417" spans="1:16" x14ac:dyDescent="0.2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</row>
    <row r="418" spans="1:16" x14ac:dyDescent="0.2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</row>
    <row r="419" spans="1:16" x14ac:dyDescent="0.2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</row>
    <row r="420" spans="1:16" x14ac:dyDescent="0.2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</row>
    <row r="421" spans="1:16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</row>
    <row r="422" spans="1:16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</row>
    <row r="423" spans="1:16" x14ac:dyDescent="0.2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</row>
    <row r="424" spans="1:16" x14ac:dyDescent="0.2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</row>
    <row r="425" spans="1:16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</row>
    <row r="426" spans="1:16" x14ac:dyDescent="0.2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</row>
    <row r="427" spans="1:16" x14ac:dyDescent="0.2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</row>
    <row r="428" spans="1:16" x14ac:dyDescent="0.2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</row>
    <row r="429" spans="1:16" x14ac:dyDescent="0.2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</row>
    <row r="430" spans="1:16" x14ac:dyDescent="0.2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</row>
    <row r="431" spans="1:16" x14ac:dyDescent="0.2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</row>
    <row r="432" spans="1:16" x14ac:dyDescent="0.2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</row>
    <row r="433" spans="1:16" x14ac:dyDescent="0.2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</row>
    <row r="434" spans="1:16" x14ac:dyDescent="0.2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</row>
    <row r="435" spans="1:16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</row>
    <row r="436" spans="1:16" x14ac:dyDescent="0.2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</row>
    <row r="437" spans="1:16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</row>
    <row r="438" spans="1:16" x14ac:dyDescent="0.2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</row>
    <row r="439" spans="1:16" x14ac:dyDescent="0.2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</row>
    <row r="440" spans="1:16" x14ac:dyDescent="0.2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</row>
    <row r="441" spans="1:16" x14ac:dyDescent="0.2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</row>
    <row r="442" spans="1:16" x14ac:dyDescent="0.2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</row>
    <row r="443" spans="1:16" x14ac:dyDescent="0.2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</row>
    <row r="444" spans="1:16" x14ac:dyDescent="0.2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</row>
    <row r="445" spans="1:16" x14ac:dyDescent="0.2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</row>
    <row r="446" spans="1:16" x14ac:dyDescent="0.2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</row>
    <row r="447" spans="1:16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</row>
    <row r="448" spans="1:16" x14ac:dyDescent="0.2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</row>
    <row r="449" spans="1:16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</row>
    <row r="450" spans="1:16" x14ac:dyDescent="0.2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</row>
    <row r="451" spans="1:16" x14ac:dyDescent="0.2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</row>
    <row r="452" spans="1:16" x14ac:dyDescent="0.2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</row>
    <row r="453" spans="1:16" x14ac:dyDescent="0.2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</row>
    <row r="454" spans="1:16" x14ac:dyDescent="0.2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</row>
    <row r="455" spans="1:16" x14ac:dyDescent="0.2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</row>
    <row r="456" spans="1:16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</row>
    <row r="457" spans="1:16" x14ac:dyDescent="0.2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</row>
    <row r="458" spans="1:16" x14ac:dyDescent="0.2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</row>
    <row r="459" spans="1:16" x14ac:dyDescent="0.2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</row>
    <row r="460" spans="1:16" x14ac:dyDescent="0.2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</row>
    <row r="461" spans="1:16" x14ac:dyDescent="0.2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</row>
    <row r="462" spans="1:16" x14ac:dyDescent="0.2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</row>
    <row r="463" spans="1:16" x14ac:dyDescent="0.2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</row>
    <row r="464" spans="1:16" x14ac:dyDescent="0.2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</row>
    <row r="465" spans="1:16" x14ac:dyDescent="0.2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</row>
    <row r="466" spans="1:16" x14ac:dyDescent="0.2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</row>
    <row r="467" spans="1:16" x14ac:dyDescent="0.2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</row>
    <row r="468" spans="1:16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</row>
    <row r="469" spans="1:16" x14ac:dyDescent="0.2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</row>
    <row r="470" spans="1:16" x14ac:dyDescent="0.2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</row>
    <row r="471" spans="1:16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</row>
    <row r="472" spans="1:16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</row>
    <row r="473" spans="1:16" x14ac:dyDescent="0.2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</row>
    <row r="474" spans="1:16" x14ac:dyDescent="0.2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</row>
    <row r="475" spans="1:16" x14ac:dyDescent="0.2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</row>
    <row r="476" spans="1:16" x14ac:dyDescent="0.2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</row>
    <row r="477" spans="1:16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</row>
    <row r="478" spans="1:16" x14ac:dyDescent="0.2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</row>
    <row r="479" spans="1:16" x14ac:dyDescent="0.2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</row>
    <row r="480" spans="1:16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</row>
    <row r="481" spans="1:16" x14ac:dyDescent="0.2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</row>
    <row r="482" spans="1:16" x14ac:dyDescent="0.2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</row>
    <row r="483" spans="1:16" x14ac:dyDescent="0.2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</row>
    <row r="484" spans="1:16" x14ac:dyDescent="0.2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</row>
    <row r="485" spans="1:16" x14ac:dyDescent="0.2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</row>
    <row r="486" spans="1:16" x14ac:dyDescent="0.2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</row>
    <row r="487" spans="1:16" x14ac:dyDescent="0.2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</row>
    <row r="488" spans="1:16" x14ac:dyDescent="0.2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</row>
    <row r="489" spans="1:16" x14ac:dyDescent="0.2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</row>
    <row r="490" spans="1:16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</row>
    <row r="491" spans="1:16" x14ac:dyDescent="0.2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</row>
    <row r="492" spans="1:16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</row>
    <row r="493" spans="1:16" x14ac:dyDescent="0.2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</row>
    <row r="494" spans="1:16" x14ac:dyDescent="0.2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</row>
    <row r="495" spans="1:16" x14ac:dyDescent="0.2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</row>
    <row r="496" spans="1:16" x14ac:dyDescent="0.2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</row>
    <row r="497" spans="1:16" x14ac:dyDescent="0.2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</row>
    <row r="498" spans="1:16" x14ac:dyDescent="0.2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</row>
    <row r="499" spans="1:16" x14ac:dyDescent="0.2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</row>
    <row r="500" spans="1:16" x14ac:dyDescent="0.2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</row>
    <row r="501" spans="1:16" x14ac:dyDescent="0.2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</row>
    <row r="502" spans="1:16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</row>
    <row r="503" spans="1:16" x14ac:dyDescent="0.2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</row>
    <row r="504" spans="1:16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</row>
    <row r="505" spans="1:16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</row>
    <row r="506" spans="1:16" x14ac:dyDescent="0.2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</row>
    <row r="507" spans="1:16" x14ac:dyDescent="0.2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</row>
    <row r="508" spans="1:16" x14ac:dyDescent="0.2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</row>
    <row r="509" spans="1:16" x14ac:dyDescent="0.2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</row>
    <row r="510" spans="1:16" x14ac:dyDescent="0.2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</row>
    <row r="511" spans="1:16" x14ac:dyDescent="0.2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</row>
    <row r="512" spans="1:16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</row>
    <row r="513" spans="1:16" x14ac:dyDescent="0.2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</row>
    <row r="514" spans="1:16" x14ac:dyDescent="0.2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</row>
    <row r="515" spans="1:16" x14ac:dyDescent="0.2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</row>
    <row r="516" spans="1:16" x14ac:dyDescent="0.2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</row>
    <row r="517" spans="1:16" x14ac:dyDescent="0.2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</row>
    <row r="518" spans="1:16" x14ac:dyDescent="0.2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</row>
    <row r="519" spans="1:16" x14ac:dyDescent="0.2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</row>
    <row r="520" spans="1:16" x14ac:dyDescent="0.2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</row>
    <row r="521" spans="1:16" x14ac:dyDescent="0.2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</row>
    <row r="522" spans="1:16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</row>
    <row r="523" spans="1:16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</row>
    <row r="524" spans="1:16" x14ac:dyDescent="0.2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</row>
    <row r="525" spans="1:16" x14ac:dyDescent="0.2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</row>
    <row r="526" spans="1:16" x14ac:dyDescent="0.2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</row>
    <row r="527" spans="1:16" x14ac:dyDescent="0.2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</row>
    <row r="528" spans="1:16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</row>
    <row r="529" spans="1:16" x14ac:dyDescent="0.2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</row>
    <row r="530" spans="1:16" x14ac:dyDescent="0.2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</row>
    <row r="531" spans="1:16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</row>
    <row r="532" spans="1:16" x14ac:dyDescent="0.2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</row>
    <row r="533" spans="1:16" x14ac:dyDescent="0.2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</row>
    <row r="534" spans="1:16" x14ac:dyDescent="0.2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</row>
    <row r="535" spans="1:16" x14ac:dyDescent="0.2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</row>
    <row r="536" spans="1:16" x14ac:dyDescent="0.2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</row>
    <row r="537" spans="1:16" x14ac:dyDescent="0.2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</row>
    <row r="538" spans="1:16" x14ac:dyDescent="0.2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</row>
    <row r="539" spans="1:16" x14ac:dyDescent="0.2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</row>
    <row r="540" spans="1:16" x14ac:dyDescent="0.2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</row>
    <row r="541" spans="1:16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</row>
    <row r="542" spans="1:16" x14ac:dyDescent="0.2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</row>
    <row r="543" spans="1:16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</row>
    <row r="544" spans="1:16" x14ac:dyDescent="0.2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</row>
    <row r="545" spans="1:16" x14ac:dyDescent="0.2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</row>
    <row r="546" spans="1:16" x14ac:dyDescent="0.2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</row>
    <row r="547" spans="1:16" x14ac:dyDescent="0.2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</row>
    <row r="548" spans="1:16" x14ac:dyDescent="0.2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</row>
    <row r="549" spans="1:16" x14ac:dyDescent="0.2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</row>
    <row r="550" spans="1:16" x14ac:dyDescent="0.2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</row>
    <row r="551" spans="1:16" x14ac:dyDescent="0.2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</row>
    <row r="552" spans="1:16" x14ac:dyDescent="0.2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</row>
    <row r="553" spans="1:16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</row>
    <row r="554" spans="1:16" x14ac:dyDescent="0.2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</row>
    <row r="555" spans="1:16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</row>
    <row r="556" spans="1:16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</row>
    <row r="557" spans="1:16" x14ac:dyDescent="0.2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</row>
    <row r="558" spans="1:16" x14ac:dyDescent="0.2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</row>
    <row r="559" spans="1:16" x14ac:dyDescent="0.2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</row>
    <row r="560" spans="1:16" x14ac:dyDescent="0.2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</row>
    <row r="561" spans="1:16" x14ac:dyDescent="0.2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</row>
    <row r="562" spans="1:16" x14ac:dyDescent="0.2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</row>
    <row r="563" spans="1:16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</row>
    <row r="564" spans="1:16" x14ac:dyDescent="0.2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</row>
    <row r="565" spans="1:16" x14ac:dyDescent="0.2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</row>
    <row r="566" spans="1:16" x14ac:dyDescent="0.2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</row>
    <row r="567" spans="1:16" x14ac:dyDescent="0.2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</row>
    <row r="568" spans="1:16" x14ac:dyDescent="0.2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</row>
    <row r="569" spans="1:16" x14ac:dyDescent="0.2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</row>
    <row r="570" spans="1:16" x14ac:dyDescent="0.2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</row>
    <row r="571" spans="1:16" x14ac:dyDescent="0.2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</row>
    <row r="572" spans="1:16" x14ac:dyDescent="0.2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</row>
    <row r="573" spans="1:16" x14ac:dyDescent="0.2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</row>
    <row r="574" spans="1:16" x14ac:dyDescent="0.2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</row>
    <row r="575" spans="1:16" x14ac:dyDescent="0.2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</row>
    <row r="576" spans="1:16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</row>
    <row r="577" spans="1:16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</row>
    <row r="578" spans="1:16" x14ac:dyDescent="0.2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</row>
    <row r="579" spans="1:16" x14ac:dyDescent="0.2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</row>
    <row r="580" spans="1:16" x14ac:dyDescent="0.2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</row>
    <row r="581" spans="1:16" x14ac:dyDescent="0.2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</row>
    <row r="582" spans="1:16" x14ac:dyDescent="0.2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</row>
    <row r="583" spans="1:16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</row>
    <row r="584" spans="1:16" x14ac:dyDescent="0.2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</row>
    <row r="585" spans="1:16" x14ac:dyDescent="0.2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</row>
    <row r="586" spans="1:16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</row>
    <row r="587" spans="1:16" x14ac:dyDescent="0.2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</row>
    <row r="588" spans="1:16" x14ac:dyDescent="0.2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</row>
    <row r="589" spans="1:16" x14ac:dyDescent="0.2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</row>
    <row r="590" spans="1:16" x14ac:dyDescent="0.2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</row>
    <row r="591" spans="1:16" x14ac:dyDescent="0.2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</row>
    <row r="592" spans="1:16" x14ac:dyDescent="0.2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</row>
    <row r="593" spans="1:16" x14ac:dyDescent="0.2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</row>
    <row r="594" spans="1:16" x14ac:dyDescent="0.2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</row>
    <row r="595" spans="1:16" x14ac:dyDescent="0.2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</row>
    <row r="596" spans="1:16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</row>
    <row r="597" spans="1:16" x14ac:dyDescent="0.2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</row>
    <row r="598" spans="1:16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</row>
    <row r="599" spans="1:16" x14ac:dyDescent="0.2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</row>
    <row r="600" spans="1:16" x14ac:dyDescent="0.2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</row>
    <row r="601" spans="1:16" x14ac:dyDescent="0.2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</row>
    <row r="602" spans="1:16" x14ac:dyDescent="0.2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</row>
    <row r="603" spans="1:16" x14ac:dyDescent="0.2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</row>
    <row r="604" spans="1:16" x14ac:dyDescent="0.2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</row>
    <row r="605" spans="1:16" x14ac:dyDescent="0.2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</row>
    <row r="606" spans="1:16" x14ac:dyDescent="0.2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</row>
    <row r="607" spans="1:16" x14ac:dyDescent="0.2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</row>
    <row r="608" spans="1:16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</row>
    <row r="609" spans="1:16" x14ac:dyDescent="0.2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</row>
    <row r="610" spans="1:16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</row>
    <row r="611" spans="1:16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</row>
    <row r="612" spans="1:16" x14ac:dyDescent="0.2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</row>
    <row r="613" spans="1:16" x14ac:dyDescent="0.2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</row>
    <row r="614" spans="1:16" x14ac:dyDescent="0.2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</row>
    <row r="615" spans="1:16" x14ac:dyDescent="0.2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</row>
    <row r="616" spans="1:16" x14ac:dyDescent="0.2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</row>
    <row r="617" spans="1:16" x14ac:dyDescent="0.2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</row>
    <row r="618" spans="1:16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</row>
    <row r="619" spans="1:16" x14ac:dyDescent="0.2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</row>
    <row r="620" spans="1:16" x14ac:dyDescent="0.2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</row>
    <row r="621" spans="1:16" x14ac:dyDescent="0.2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</row>
    <row r="622" spans="1:16" x14ac:dyDescent="0.2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</row>
    <row r="623" spans="1:16" x14ac:dyDescent="0.2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</row>
    <row r="624" spans="1:16" x14ac:dyDescent="0.2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</row>
    <row r="625" spans="1:16" x14ac:dyDescent="0.2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</row>
    <row r="626" spans="1:16" x14ac:dyDescent="0.2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</row>
    <row r="627" spans="1:16" x14ac:dyDescent="0.2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</row>
    <row r="628" spans="1:16" x14ac:dyDescent="0.2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</row>
    <row r="629" spans="1:16" x14ac:dyDescent="0.2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</row>
    <row r="630" spans="1:16" x14ac:dyDescent="0.2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</row>
    <row r="631" spans="1:16" x14ac:dyDescent="0.2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</row>
    <row r="632" spans="1:16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</row>
    <row r="633" spans="1:16" x14ac:dyDescent="0.2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</row>
    <row r="634" spans="1:16" x14ac:dyDescent="0.2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</row>
    <row r="635" spans="1:16" x14ac:dyDescent="0.2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</row>
    <row r="636" spans="1:16" x14ac:dyDescent="0.2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</row>
    <row r="637" spans="1:16" x14ac:dyDescent="0.25"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1" r:id="rId3" name="TextBox1">
          <controlPr defaultSize="0" autoLine="0" autoPict="0" r:id="rId4">
            <anchor moveWithCells="1">
              <from>
                <xdr:col>0</xdr:col>
                <xdr:colOff>47625</xdr:colOff>
                <xdr:row>5</xdr:row>
                <xdr:rowOff>123825</xdr:rowOff>
              </from>
              <to>
                <xdr:col>2</xdr:col>
                <xdr:colOff>790575</xdr:colOff>
                <xdr:row>6</xdr:row>
                <xdr:rowOff>152400</xdr:rowOff>
              </to>
            </anchor>
          </controlPr>
        </control>
      </mc:Choice>
      <mc:Fallback>
        <control shapeId="6161" r:id="rId3" name="TextBox1"/>
      </mc:Fallback>
    </mc:AlternateContent>
    <mc:AlternateContent xmlns:mc="http://schemas.openxmlformats.org/markup-compatibility/2006">
      <mc:Choice Requires="x14">
        <control shapeId="6159" r:id="rId5" name="Button 15">
          <controlPr defaultSize="0" print="0" autoFill="0" autoPict="0" macro="[0]!AÑO2011GUARDAR">
            <anchor moveWithCells="1" sizeWithCells="1">
              <from>
                <xdr:col>4</xdr:col>
                <xdr:colOff>9525</xdr:colOff>
                <xdr:row>7</xdr:row>
                <xdr:rowOff>19050</xdr:rowOff>
              </from>
              <to>
                <xdr:col>5</xdr:col>
                <xdr:colOff>0</xdr:colOff>
                <xdr:row>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60" r:id="rId6" name="Button 16">
          <controlPr defaultSize="0" print="0" autoFill="0" autoPict="0" macro="[0]!_xlnm.Database">
            <anchor moveWithCells="1" sizeWithCells="1">
              <from>
                <xdr:col>5</xdr:col>
                <xdr:colOff>19050</xdr:colOff>
                <xdr:row>7</xdr:row>
                <xdr:rowOff>19050</xdr:rowOff>
              </from>
              <to>
                <xdr:col>6</xdr:col>
                <xdr:colOff>9525</xdr:colOff>
                <xdr:row>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62" r:id="rId7" name="Button 18">
          <controlPr defaultSize="0" print="0" autoFill="0" autoPict="0" macro="[0]!MENU">
            <anchor moveWithCells="1" sizeWithCells="1">
              <from>
                <xdr:col>6</xdr:col>
                <xdr:colOff>19050</xdr:colOff>
                <xdr:row>7</xdr:row>
                <xdr:rowOff>19050</xdr:rowOff>
              </from>
              <to>
                <xdr:col>7</xdr:col>
                <xdr:colOff>9525</xdr:colOff>
                <xdr:row>9</xdr:row>
                <xdr:rowOff>114300</xdr:rowOff>
              </to>
            </anchor>
          </controlPr>
        </control>
      </mc:Choice>
    </mc:AlternateContent>
  </controls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8EC09-157C-420D-829C-CBF460ACB970}">
  <sheetPr codeName="Hoja2">
    <tabColor rgb="FF92D050"/>
  </sheetPr>
  <dimension ref="A5:G18"/>
  <sheetViews>
    <sheetView workbookViewId="0">
      <selection activeCell="C16" sqref="C16"/>
    </sheetView>
  </sheetViews>
  <sheetFormatPr baseColWidth="10" defaultRowHeight="15" x14ac:dyDescent="0.25"/>
  <cols>
    <col min="1" max="1" width="40.28515625" style="48" customWidth="1"/>
    <col min="2" max="2" width="19" style="48" customWidth="1"/>
    <col min="3" max="3" width="14.42578125" style="48" customWidth="1"/>
    <col min="4" max="4" width="3.7109375" style="48" customWidth="1"/>
    <col min="5" max="5" width="36.85546875" style="48" customWidth="1"/>
    <col min="6" max="6" width="26.85546875" style="48" customWidth="1"/>
    <col min="7" max="16384" width="11.42578125" style="48"/>
  </cols>
  <sheetData>
    <row r="5" spans="1:7" ht="15.75" thickBot="1" x14ac:dyDescent="0.3"/>
    <row r="6" spans="1:7" ht="31.5" customHeight="1" thickBot="1" x14ac:dyDescent="0.5">
      <c r="E6" s="84" t="s">
        <v>3</v>
      </c>
      <c r="F6" s="85" t="s">
        <v>1</v>
      </c>
      <c r="G6" s="85" t="s">
        <v>2</v>
      </c>
    </row>
    <row r="7" spans="1:7" ht="19.5" thickBot="1" x14ac:dyDescent="0.35">
      <c r="E7" s="19"/>
      <c r="F7" s="26" t="s">
        <v>7</v>
      </c>
      <c r="G7" s="26" t="s">
        <v>443</v>
      </c>
    </row>
    <row r="11" spans="1:7" ht="19.5" thickBot="1" x14ac:dyDescent="0.35">
      <c r="A11" s="90" t="s">
        <v>4</v>
      </c>
      <c r="B11" s="90" t="s">
        <v>1</v>
      </c>
      <c r="C11" s="90" t="s">
        <v>2</v>
      </c>
    </row>
    <row r="12" spans="1:7" ht="19.5" thickBot="1" x14ac:dyDescent="0.35">
      <c r="A12" s="19" t="s">
        <v>8</v>
      </c>
      <c r="B12" s="20" t="s">
        <v>7</v>
      </c>
      <c r="C12" s="21" t="s">
        <v>118</v>
      </c>
    </row>
    <row r="13" spans="1:7" ht="19.5" thickBot="1" x14ac:dyDescent="0.35">
      <c r="A13" s="26" t="s">
        <v>356</v>
      </c>
      <c r="B13" s="26"/>
      <c r="C13" s="26">
        <f>SUBTOTAL(103,TABLA2014[FICHA])</f>
        <v>1</v>
      </c>
    </row>
    <row r="17" spans="6:7" ht="26.25" x14ac:dyDescent="0.4">
      <c r="F17" s="49"/>
      <c r="G17" s="49"/>
    </row>
    <row r="18" spans="6:7" ht="18.75" x14ac:dyDescent="0.3">
      <c r="F18" s="50"/>
      <c r="G18" s="50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9" r:id="rId3" name="TextBox1">
          <controlPr defaultSize="0" autoLine="0" r:id="rId4">
            <anchor moveWithCells="1">
              <from>
                <xdr:col>0</xdr:col>
                <xdr:colOff>47625</xdr:colOff>
                <xdr:row>5</xdr:row>
                <xdr:rowOff>142875</xdr:rowOff>
              </from>
              <to>
                <xdr:col>2</xdr:col>
                <xdr:colOff>847725</xdr:colOff>
                <xdr:row>6</xdr:row>
                <xdr:rowOff>114300</xdr:rowOff>
              </to>
            </anchor>
          </controlPr>
        </control>
      </mc:Choice>
      <mc:Fallback>
        <control shapeId="8199" r:id="rId3" name="TextBox1"/>
      </mc:Fallback>
    </mc:AlternateContent>
    <mc:AlternateContent xmlns:mc="http://schemas.openxmlformats.org/markup-compatibility/2006">
      <mc:Choice Requires="x14">
        <control shapeId="8196" r:id="rId5" name="Button 4">
          <controlPr defaultSize="0" print="0" autoFill="0" autoPict="0" macro="[0]!AÑO2014GUARDAR">
            <anchor moveWithCells="1" sizeWithCells="1">
              <from>
                <xdr:col>4</xdr:col>
                <xdr:colOff>0</xdr:colOff>
                <xdr:row>7</xdr:row>
                <xdr:rowOff>19050</xdr:rowOff>
              </from>
              <to>
                <xdr:col>4</xdr:col>
                <xdr:colOff>2457450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6" name="Button 5">
          <controlPr defaultSize="0" print="0" autoFill="0" autoPict="0" macro="[0]!_xlnm.Database">
            <anchor moveWithCells="1" sizeWithCells="1">
              <from>
                <xdr:col>5</xdr:col>
                <xdr:colOff>0</xdr:colOff>
                <xdr:row>7</xdr:row>
                <xdr:rowOff>19050</xdr:rowOff>
              </from>
              <to>
                <xdr:col>6</xdr:col>
                <xdr:colOff>0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7" name="Button 6">
          <controlPr defaultSize="0" print="0" autoFill="0" autoPict="0" macro="[0]!MENU">
            <anchor moveWithCells="1" siz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0</xdr:colOff>
                <xdr:row>9</xdr:row>
                <xdr:rowOff>19050</xdr:rowOff>
              </to>
            </anchor>
          </controlPr>
        </control>
      </mc:Choice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DE60E-6E94-4B65-990A-CAB2E40F489A}">
  <sheetPr codeName="Hoja4">
    <tabColor rgb="FF00B0F0"/>
  </sheetPr>
  <dimension ref="A1:T1042"/>
  <sheetViews>
    <sheetView workbookViewId="0">
      <selection activeCell="E20" sqref="E20"/>
    </sheetView>
  </sheetViews>
  <sheetFormatPr baseColWidth="10" defaultRowHeight="15" x14ac:dyDescent="0.25"/>
  <cols>
    <col min="1" max="1" width="43.5703125" customWidth="1"/>
    <col min="2" max="2" width="18.140625" customWidth="1"/>
    <col min="3" max="3" width="12" customWidth="1"/>
    <col min="4" max="4" width="4.28515625" customWidth="1"/>
    <col min="5" max="5" width="36.5703125" customWidth="1"/>
    <col min="6" max="6" width="24" customWidth="1"/>
  </cols>
  <sheetData>
    <row r="1" spans="1:20" s="59" customFormat="1" x14ac:dyDescent="0.25"/>
    <row r="2" spans="1:20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3" spans="1:20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</row>
    <row r="4" spans="1:20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</row>
    <row r="5" spans="1:20" ht="15.75" thickBot="1" x14ac:dyDescent="0.3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</row>
    <row r="6" spans="1:20" ht="27" thickBot="1" x14ac:dyDescent="0.45">
      <c r="A6" s="7"/>
      <c r="B6" s="7"/>
      <c r="C6" s="7"/>
      <c r="D6" s="7"/>
      <c r="E6" s="86" t="s">
        <v>3</v>
      </c>
      <c r="F6" s="87" t="s">
        <v>1</v>
      </c>
      <c r="G6" s="88" t="s">
        <v>2</v>
      </c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</row>
    <row r="7" spans="1:20" ht="19.5" thickBot="1" x14ac:dyDescent="0.35">
      <c r="A7" s="7"/>
      <c r="B7" s="7"/>
      <c r="C7" s="7"/>
      <c r="D7" s="7"/>
      <c r="E7" s="55"/>
      <c r="F7" s="54" t="s">
        <v>11</v>
      </c>
      <c r="G7" s="24" t="s">
        <v>122</v>
      </c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</row>
    <row r="8" spans="1:20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20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</row>
    <row r="10" spans="1:20" ht="15.75" thickBot="1" x14ac:dyDescent="0.3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</row>
    <row r="11" spans="1:20" ht="19.5" thickBot="1" x14ac:dyDescent="0.35">
      <c r="A11" s="89" t="s">
        <v>4</v>
      </c>
      <c r="B11" s="89" t="s">
        <v>1</v>
      </c>
      <c r="C11" s="89" t="s">
        <v>2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</row>
    <row r="12" spans="1:20" ht="19.5" thickBot="1" x14ac:dyDescent="0.35">
      <c r="A12" s="23" t="s">
        <v>14</v>
      </c>
      <c r="B12" s="38" t="s">
        <v>11</v>
      </c>
      <c r="C12" s="39" t="s">
        <v>118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</row>
    <row r="13" spans="1:20" ht="19.5" thickBot="1" x14ac:dyDescent="0.35">
      <c r="A13" s="23" t="s">
        <v>12</v>
      </c>
      <c r="B13" s="38" t="s">
        <v>11</v>
      </c>
      <c r="C13" s="39" t="s">
        <v>119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0" ht="19.5" thickBot="1" x14ac:dyDescent="0.35">
      <c r="A14" s="23" t="s">
        <v>13</v>
      </c>
      <c r="B14" s="38" t="s">
        <v>11</v>
      </c>
      <c r="C14" s="39" t="s">
        <v>120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0" ht="19.5" thickBot="1" x14ac:dyDescent="0.35">
      <c r="A15" s="24" t="s">
        <v>10</v>
      </c>
      <c r="B15" s="38" t="s">
        <v>11</v>
      </c>
      <c r="C15" s="39" t="s">
        <v>121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9.5" thickBot="1" x14ac:dyDescent="0.35">
      <c r="A16" s="56" t="s">
        <v>356</v>
      </c>
      <c r="B16" s="56"/>
      <c r="C16" s="56">
        <f>SUBTOTAL(103,AÑO2016[FICHA])</f>
        <v>4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</row>
    <row r="51" spans="1:20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</row>
    <row r="52" spans="1:20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</row>
    <row r="53" spans="1:20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</row>
    <row r="54" spans="1:20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</row>
    <row r="55" spans="1:20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</row>
    <row r="56" spans="1:20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</row>
    <row r="57" spans="1:20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</row>
    <row r="58" spans="1:20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</row>
    <row r="59" spans="1:20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</row>
    <row r="60" spans="1:20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</row>
    <row r="61" spans="1:20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</row>
    <row r="62" spans="1:20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</row>
    <row r="63" spans="1:20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</row>
    <row r="64" spans="1:20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</row>
    <row r="65" spans="1:20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</row>
    <row r="66" spans="1:20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</row>
    <row r="67" spans="1:20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</row>
    <row r="68" spans="1:20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</row>
    <row r="69" spans="1:20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</row>
    <row r="70" spans="1:20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</row>
    <row r="71" spans="1:20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</row>
    <row r="72" spans="1:20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</row>
    <row r="73" spans="1:20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</row>
    <row r="74" spans="1:20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</row>
    <row r="75" spans="1:20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</row>
    <row r="76" spans="1:20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</row>
    <row r="77" spans="1:20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</row>
    <row r="78" spans="1:20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</row>
    <row r="79" spans="1:20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</row>
    <row r="80" spans="1:20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</row>
    <row r="81" spans="1:20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</row>
    <row r="82" spans="1:20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</row>
    <row r="83" spans="1:20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</row>
    <row r="84" spans="1:20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</row>
    <row r="85" spans="1:20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</row>
    <row r="86" spans="1:20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</row>
    <row r="87" spans="1:20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</row>
    <row r="88" spans="1:20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</row>
    <row r="89" spans="1:20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</row>
    <row r="90" spans="1:20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</row>
    <row r="91" spans="1:20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</row>
    <row r="92" spans="1:20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</row>
    <row r="93" spans="1:20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</row>
    <row r="94" spans="1:20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</row>
    <row r="95" spans="1:20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</row>
    <row r="96" spans="1:20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</row>
    <row r="97" spans="1:20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</row>
    <row r="98" spans="1:20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</row>
    <row r="99" spans="1:20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</row>
    <row r="100" spans="1:20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</row>
    <row r="101" spans="1:20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</row>
    <row r="102" spans="1:20" x14ac:dyDescent="0.2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</row>
    <row r="103" spans="1:20" x14ac:dyDescent="0.2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</row>
    <row r="104" spans="1:20" x14ac:dyDescent="0.2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</row>
    <row r="105" spans="1:20" x14ac:dyDescent="0.2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</row>
    <row r="106" spans="1:20" x14ac:dyDescent="0.2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</row>
    <row r="107" spans="1:20" x14ac:dyDescent="0.2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</row>
    <row r="108" spans="1:20" x14ac:dyDescent="0.2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</row>
    <row r="109" spans="1:20" x14ac:dyDescent="0.2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</row>
    <row r="110" spans="1:20" x14ac:dyDescent="0.2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</row>
    <row r="111" spans="1:20" x14ac:dyDescent="0.2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</row>
    <row r="112" spans="1:20" x14ac:dyDescent="0.2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</row>
    <row r="113" spans="1:20" x14ac:dyDescent="0.2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</row>
    <row r="114" spans="1:20" x14ac:dyDescent="0.2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</row>
    <row r="115" spans="1:20" x14ac:dyDescent="0.2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</row>
    <row r="116" spans="1:20" x14ac:dyDescent="0.2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</row>
    <row r="117" spans="1:20" x14ac:dyDescent="0.2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</row>
    <row r="118" spans="1:20" x14ac:dyDescent="0.2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</row>
    <row r="119" spans="1:20" x14ac:dyDescent="0.2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</row>
    <row r="120" spans="1:20" x14ac:dyDescent="0.2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</row>
    <row r="121" spans="1:20" x14ac:dyDescent="0.2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</row>
    <row r="122" spans="1:20" x14ac:dyDescent="0.2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</row>
    <row r="123" spans="1:20" x14ac:dyDescent="0.2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</row>
    <row r="124" spans="1:20" x14ac:dyDescent="0.2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</row>
    <row r="125" spans="1:20" x14ac:dyDescent="0.2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</row>
    <row r="126" spans="1:20" x14ac:dyDescent="0.2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</row>
    <row r="127" spans="1:20" x14ac:dyDescent="0.2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</row>
    <row r="128" spans="1:20" x14ac:dyDescent="0.2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</row>
    <row r="129" spans="1:20" x14ac:dyDescent="0.2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</row>
    <row r="130" spans="1:20" x14ac:dyDescent="0.2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</row>
    <row r="131" spans="1:20" x14ac:dyDescent="0.2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</row>
    <row r="132" spans="1:20" x14ac:dyDescent="0.2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</row>
    <row r="133" spans="1:20" x14ac:dyDescent="0.2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</row>
    <row r="134" spans="1:20" x14ac:dyDescent="0.2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</row>
    <row r="135" spans="1:20" x14ac:dyDescent="0.2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</row>
    <row r="136" spans="1:20" x14ac:dyDescent="0.2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</row>
    <row r="137" spans="1:20" x14ac:dyDescent="0.2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</row>
    <row r="138" spans="1:20" x14ac:dyDescent="0.2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</row>
    <row r="139" spans="1:20" x14ac:dyDescent="0.2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</row>
    <row r="140" spans="1:20" x14ac:dyDescent="0.2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</row>
    <row r="141" spans="1:20" x14ac:dyDescent="0.2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</row>
    <row r="142" spans="1:20" x14ac:dyDescent="0.2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</row>
    <row r="143" spans="1:20" x14ac:dyDescent="0.2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</row>
    <row r="144" spans="1:20" x14ac:dyDescent="0.2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</row>
    <row r="145" spans="1:20" x14ac:dyDescent="0.2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</row>
    <row r="146" spans="1:20" x14ac:dyDescent="0.2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</row>
    <row r="147" spans="1:20" x14ac:dyDescent="0.2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</row>
    <row r="148" spans="1:20" x14ac:dyDescent="0.2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</row>
    <row r="149" spans="1:20" x14ac:dyDescent="0.2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</row>
    <row r="150" spans="1:20" x14ac:dyDescent="0.2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</row>
    <row r="151" spans="1:20" x14ac:dyDescent="0.2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</row>
    <row r="152" spans="1:20" x14ac:dyDescent="0.2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</row>
    <row r="153" spans="1:20" x14ac:dyDescent="0.2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</row>
    <row r="154" spans="1:20" x14ac:dyDescent="0.2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</row>
    <row r="155" spans="1:20" x14ac:dyDescent="0.2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</row>
    <row r="156" spans="1:20" x14ac:dyDescent="0.2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</row>
    <row r="157" spans="1:20" x14ac:dyDescent="0.2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</row>
    <row r="158" spans="1:20" x14ac:dyDescent="0.2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</row>
    <row r="159" spans="1:20" x14ac:dyDescent="0.2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</row>
    <row r="160" spans="1:20" x14ac:dyDescent="0.2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</row>
    <row r="161" spans="1:20" x14ac:dyDescent="0.2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</row>
    <row r="162" spans="1:20" x14ac:dyDescent="0.2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</row>
    <row r="163" spans="1:20" x14ac:dyDescent="0.2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</row>
    <row r="164" spans="1:20" x14ac:dyDescent="0.2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</row>
    <row r="165" spans="1:20" x14ac:dyDescent="0.2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</row>
    <row r="166" spans="1:20" x14ac:dyDescent="0.2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</row>
    <row r="167" spans="1:20" x14ac:dyDescent="0.2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</row>
    <row r="168" spans="1:20" x14ac:dyDescent="0.2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</row>
    <row r="169" spans="1:20" x14ac:dyDescent="0.2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</row>
    <row r="170" spans="1:20" x14ac:dyDescent="0.2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</row>
    <row r="171" spans="1:20" x14ac:dyDescent="0.2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</row>
    <row r="172" spans="1:20" x14ac:dyDescent="0.2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</row>
    <row r="173" spans="1:20" x14ac:dyDescent="0.2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</row>
    <row r="174" spans="1:20" x14ac:dyDescent="0.2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</row>
    <row r="175" spans="1:20" x14ac:dyDescent="0.2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</row>
    <row r="176" spans="1:20" x14ac:dyDescent="0.2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</row>
    <row r="177" spans="1:20" x14ac:dyDescent="0.2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</row>
    <row r="178" spans="1:20" x14ac:dyDescent="0.2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</row>
    <row r="179" spans="1:20" x14ac:dyDescent="0.2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</row>
    <row r="180" spans="1:20" x14ac:dyDescent="0.2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</row>
    <row r="181" spans="1:20" x14ac:dyDescent="0.2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</row>
    <row r="182" spans="1:20" x14ac:dyDescent="0.2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</row>
    <row r="183" spans="1:20" x14ac:dyDescent="0.2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</row>
    <row r="184" spans="1:20" x14ac:dyDescent="0.2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</row>
    <row r="185" spans="1:20" x14ac:dyDescent="0.2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</row>
    <row r="186" spans="1:20" x14ac:dyDescent="0.2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</row>
    <row r="187" spans="1:20" x14ac:dyDescent="0.2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</row>
    <row r="188" spans="1:20" x14ac:dyDescent="0.2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</row>
    <row r="189" spans="1:20" x14ac:dyDescent="0.2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</row>
    <row r="190" spans="1:20" x14ac:dyDescent="0.2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</row>
    <row r="191" spans="1:20" x14ac:dyDescent="0.2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</row>
    <row r="192" spans="1:20" x14ac:dyDescent="0.2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</row>
    <row r="193" spans="1:20" x14ac:dyDescent="0.2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</row>
    <row r="194" spans="1:20" x14ac:dyDescent="0.2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</row>
    <row r="195" spans="1:20" x14ac:dyDescent="0.2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</row>
    <row r="196" spans="1:20" x14ac:dyDescent="0.2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</row>
    <row r="197" spans="1:20" x14ac:dyDescent="0.25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</row>
    <row r="198" spans="1:20" x14ac:dyDescent="0.25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</row>
    <row r="199" spans="1:20" x14ac:dyDescent="0.25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</row>
    <row r="200" spans="1:20" x14ac:dyDescent="0.25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</row>
    <row r="201" spans="1:20" x14ac:dyDescent="0.25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</row>
    <row r="202" spans="1:20" x14ac:dyDescent="0.25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</row>
    <row r="203" spans="1:20" x14ac:dyDescent="0.25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</row>
    <row r="204" spans="1:20" x14ac:dyDescent="0.25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</row>
    <row r="205" spans="1:20" x14ac:dyDescent="0.25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</row>
    <row r="206" spans="1:20" x14ac:dyDescent="0.25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</row>
    <row r="207" spans="1:20" x14ac:dyDescent="0.25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</row>
    <row r="208" spans="1:20" x14ac:dyDescent="0.25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</row>
    <row r="209" spans="1:20" x14ac:dyDescent="0.25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</row>
    <row r="210" spans="1:20" x14ac:dyDescent="0.25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</row>
    <row r="211" spans="1:20" x14ac:dyDescent="0.25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</row>
    <row r="212" spans="1:20" x14ac:dyDescent="0.25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</row>
    <row r="213" spans="1:20" x14ac:dyDescent="0.25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</row>
    <row r="214" spans="1:20" x14ac:dyDescent="0.25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</row>
    <row r="215" spans="1:20" x14ac:dyDescent="0.25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</row>
    <row r="216" spans="1:20" x14ac:dyDescent="0.25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</row>
    <row r="217" spans="1:20" x14ac:dyDescent="0.25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</row>
    <row r="218" spans="1:20" x14ac:dyDescent="0.25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</row>
    <row r="219" spans="1:20" x14ac:dyDescent="0.25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</row>
    <row r="220" spans="1:20" x14ac:dyDescent="0.25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</row>
    <row r="221" spans="1:20" x14ac:dyDescent="0.25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</row>
    <row r="222" spans="1:20" x14ac:dyDescent="0.25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</row>
    <row r="223" spans="1:20" x14ac:dyDescent="0.25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</row>
    <row r="224" spans="1:20" x14ac:dyDescent="0.25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</row>
    <row r="225" spans="1:20" x14ac:dyDescent="0.25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</row>
    <row r="226" spans="1:20" x14ac:dyDescent="0.25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</row>
    <row r="227" spans="1:20" x14ac:dyDescent="0.25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</row>
    <row r="228" spans="1:20" x14ac:dyDescent="0.25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</row>
    <row r="229" spans="1:20" x14ac:dyDescent="0.25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</row>
    <row r="230" spans="1:20" x14ac:dyDescent="0.25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</row>
    <row r="231" spans="1:20" x14ac:dyDescent="0.25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</row>
    <row r="232" spans="1:20" x14ac:dyDescent="0.25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</row>
    <row r="233" spans="1:20" x14ac:dyDescent="0.25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</row>
    <row r="234" spans="1:20" x14ac:dyDescent="0.25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</row>
    <row r="235" spans="1:20" x14ac:dyDescent="0.25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</row>
    <row r="236" spans="1:20" x14ac:dyDescent="0.25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</row>
    <row r="237" spans="1:20" x14ac:dyDescent="0.25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</row>
    <row r="238" spans="1:20" x14ac:dyDescent="0.25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</row>
    <row r="239" spans="1:20" x14ac:dyDescent="0.25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</row>
    <row r="240" spans="1:20" x14ac:dyDescent="0.25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</row>
    <row r="241" spans="1:20" x14ac:dyDescent="0.25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</row>
    <row r="242" spans="1:20" x14ac:dyDescent="0.25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</row>
    <row r="243" spans="1:20" x14ac:dyDescent="0.25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</row>
    <row r="244" spans="1:20" x14ac:dyDescent="0.25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</row>
    <row r="245" spans="1:20" x14ac:dyDescent="0.25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</row>
    <row r="246" spans="1:20" x14ac:dyDescent="0.25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</row>
    <row r="247" spans="1:20" x14ac:dyDescent="0.25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</row>
    <row r="248" spans="1:20" x14ac:dyDescent="0.25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</row>
    <row r="249" spans="1:20" x14ac:dyDescent="0.25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</row>
    <row r="250" spans="1:20" x14ac:dyDescent="0.25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</row>
    <row r="251" spans="1:20" x14ac:dyDescent="0.25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</row>
    <row r="252" spans="1:20" x14ac:dyDescent="0.25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</row>
    <row r="253" spans="1:20" x14ac:dyDescent="0.25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</row>
    <row r="254" spans="1:20" x14ac:dyDescent="0.25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</row>
    <row r="255" spans="1:20" x14ac:dyDescent="0.25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</row>
    <row r="256" spans="1:20" x14ac:dyDescent="0.25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</row>
    <row r="257" spans="1:20" x14ac:dyDescent="0.25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</row>
    <row r="258" spans="1:20" x14ac:dyDescent="0.25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</row>
    <row r="259" spans="1:20" x14ac:dyDescent="0.25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</row>
    <row r="260" spans="1:20" x14ac:dyDescent="0.25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</row>
    <row r="261" spans="1:20" x14ac:dyDescent="0.25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</row>
    <row r="262" spans="1:20" x14ac:dyDescent="0.25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</row>
    <row r="263" spans="1:20" x14ac:dyDescent="0.25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</row>
    <row r="264" spans="1:20" x14ac:dyDescent="0.25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</row>
    <row r="265" spans="1:20" x14ac:dyDescent="0.25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</row>
    <row r="266" spans="1:20" x14ac:dyDescent="0.25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</row>
    <row r="267" spans="1:20" x14ac:dyDescent="0.25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</row>
    <row r="268" spans="1:20" x14ac:dyDescent="0.25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</row>
    <row r="269" spans="1:20" x14ac:dyDescent="0.25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</row>
    <row r="270" spans="1:20" x14ac:dyDescent="0.25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</row>
    <row r="271" spans="1:20" x14ac:dyDescent="0.25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</row>
    <row r="272" spans="1:20" x14ac:dyDescent="0.25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</row>
    <row r="273" spans="1:20" x14ac:dyDescent="0.25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</row>
    <row r="274" spans="1:20" x14ac:dyDescent="0.25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</row>
    <row r="275" spans="1:20" x14ac:dyDescent="0.25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</row>
    <row r="276" spans="1:20" x14ac:dyDescent="0.25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</row>
    <row r="277" spans="1:20" x14ac:dyDescent="0.25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</row>
    <row r="278" spans="1:20" x14ac:dyDescent="0.25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</row>
    <row r="279" spans="1:20" x14ac:dyDescent="0.25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</row>
    <row r="280" spans="1:20" x14ac:dyDescent="0.25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</row>
    <row r="281" spans="1:20" x14ac:dyDescent="0.25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</row>
    <row r="282" spans="1:20" x14ac:dyDescent="0.25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</row>
    <row r="283" spans="1:20" x14ac:dyDescent="0.25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</row>
    <row r="284" spans="1:20" x14ac:dyDescent="0.25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</row>
    <row r="285" spans="1:20" x14ac:dyDescent="0.25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</row>
    <row r="286" spans="1:20" x14ac:dyDescent="0.25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</row>
    <row r="287" spans="1:20" x14ac:dyDescent="0.25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</row>
    <row r="288" spans="1:20" x14ac:dyDescent="0.25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</row>
    <row r="289" spans="1:20" x14ac:dyDescent="0.25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</row>
    <row r="290" spans="1:20" x14ac:dyDescent="0.25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</row>
    <row r="291" spans="1:20" x14ac:dyDescent="0.25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</row>
    <row r="292" spans="1:20" x14ac:dyDescent="0.25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</row>
    <row r="293" spans="1:20" x14ac:dyDescent="0.25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</row>
    <row r="294" spans="1:20" x14ac:dyDescent="0.25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</row>
    <row r="295" spans="1:20" x14ac:dyDescent="0.25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</row>
    <row r="296" spans="1:20" x14ac:dyDescent="0.25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</row>
    <row r="297" spans="1:20" x14ac:dyDescent="0.25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</row>
    <row r="298" spans="1:20" x14ac:dyDescent="0.25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</row>
    <row r="299" spans="1:20" x14ac:dyDescent="0.25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</row>
    <row r="300" spans="1:20" x14ac:dyDescent="0.25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</row>
    <row r="301" spans="1:20" x14ac:dyDescent="0.25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</row>
    <row r="302" spans="1:20" x14ac:dyDescent="0.25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</row>
    <row r="303" spans="1:20" x14ac:dyDescent="0.25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</row>
    <row r="304" spans="1:20" x14ac:dyDescent="0.25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</row>
    <row r="305" spans="1:20" x14ac:dyDescent="0.25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</row>
    <row r="306" spans="1:20" x14ac:dyDescent="0.25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</row>
    <row r="307" spans="1:20" x14ac:dyDescent="0.25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</row>
    <row r="308" spans="1:20" x14ac:dyDescent="0.25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</row>
    <row r="309" spans="1:20" x14ac:dyDescent="0.25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</row>
    <row r="310" spans="1:20" x14ac:dyDescent="0.25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</row>
    <row r="311" spans="1:20" x14ac:dyDescent="0.25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</row>
    <row r="312" spans="1:20" x14ac:dyDescent="0.25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</row>
    <row r="313" spans="1:20" x14ac:dyDescent="0.25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</row>
    <row r="314" spans="1:20" x14ac:dyDescent="0.25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</row>
    <row r="315" spans="1:20" x14ac:dyDescent="0.25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</row>
    <row r="316" spans="1:20" x14ac:dyDescent="0.25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</row>
    <row r="317" spans="1:20" x14ac:dyDescent="0.25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</row>
    <row r="318" spans="1:20" x14ac:dyDescent="0.25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</row>
    <row r="319" spans="1:20" x14ac:dyDescent="0.25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</row>
    <row r="320" spans="1:20" x14ac:dyDescent="0.25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</row>
    <row r="321" spans="1:20" x14ac:dyDescent="0.25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</row>
    <row r="322" spans="1:20" x14ac:dyDescent="0.25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</row>
    <row r="323" spans="1:20" x14ac:dyDescent="0.25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</row>
    <row r="324" spans="1:20" x14ac:dyDescent="0.25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</row>
    <row r="325" spans="1:20" x14ac:dyDescent="0.25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</row>
    <row r="326" spans="1:20" x14ac:dyDescent="0.25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</row>
    <row r="327" spans="1:20" x14ac:dyDescent="0.25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</row>
    <row r="328" spans="1:20" x14ac:dyDescent="0.25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</row>
    <row r="329" spans="1:20" x14ac:dyDescent="0.25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</row>
    <row r="330" spans="1:20" x14ac:dyDescent="0.25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</row>
    <row r="331" spans="1:20" x14ac:dyDescent="0.25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</row>
    <row r="332" spans="1:20" x14ac:dyDescent="0.25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</row>
    <row r="333" spans="1:20" x14ac:dyDescent="0.25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</row>
    <row r="334" spans="1:20" x14ac:dyDescent="0.25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</row>
    <row r="335" spans="1:20" x14ac:dyDescent="0.25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</row>
    <row r="336" spans="1:20" x14ac:dyDescent="0.25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</row>
    <row r="337" spans="1:20" x14ac:dyDescent="0.25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</row>
    <row r="338" spans="1:20" x14ac:dyDescent="0.25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</row>
    <row r="339" spans="1:20" x14ac:dyDescent="0.25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</row>
    <row r="340" spans="1:20" x14ac:dyDescent="0.25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</row>
    <row r="341" spans="1:20" x14ac:dyDescent="0.25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</row>
    <row r="342" spans="1:20" x14ac:dyDescent="0.25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</row>
    <row r="343" spans="1:20" x14ac:dyDescent="0.25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</row>
    <row r="344" spans="1:20" x14ac:dyDescent="0.25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</row>
    <row r="345" spans="1:20" x14ac:dyDescent="0.25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</row>
    <row r="346" spans="1:20" x14ac:dyDescent="0.25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</row>
    <row r="347" spans="1:20" x14ac:dyDescent="0.25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</row>
    <row r="348" spans="1:20" x14ac:dyDescent="0.25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</row>
    <row r="349" spans="1:20" x14ac:dyDescent="0.25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</row>
    <row r="350" spans="1:20" x14ac:dyDescent="0.25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</row>
    <row r="351" spans="1:20" x14ac:dyDescent="0.25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</row>
    <row r="352" spans="1:20" x14ac:dyDescent="0.25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</row>
    <row r="353" spans="1:20" x14ac:dyDescent="0.25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</row>
    <row r="354" spans="1:20" x14ac:dyDescent="0.25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</row>
    <row r="355" spans="1:20" x14ac:dyDescent="0.25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</row>
    <row r="356" spans="1:20" x14ac:dyDescent="0.25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</row>
    <row r="357" spans="1:20" x14ac:dyDescent="0.25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</row>
    <row r="358" spans="1:20" x14ac:dyDescent="0.25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</row>
    <row r="359" spans="1:20" x14ac:dyDescent="0.25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</row>
    <row r="360" spans="1:20" x14ac:dyDescent="0.25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</row>
    <row r="361" spans="1:20" x14ac:dyDescent="0.25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</row>
    <row r="362" spans="1:20" x14ac:dyDescent="0.25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</row>
    <row r="363" spans="1:20" x14ac:dyDescent="0.25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</row>
    <row r="364" spans="1:20" x14ac:dyDescent="0.25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</row>
    <row r="365" spans="1:20" x14ac:dyDescent="0.25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</row>
    <row r="366" spans="1:20" x14ac:dyDescent="0.25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</row>
    <row r="367" spans="1:20" x14ac:dyDescent="0.25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</row>
    <row r="368" spans="1:20" x14ac:dyDescent="0.25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</row>
    <row r="369" spans="1:20" x14ac:dyDescent="0.25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</row>
    <row r="370" spans="1:20" x14ac:dyDescent="0.25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</row>
    <row r="371" spans="1:20" x14ac:dyDescent="0.25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</row>
    <row r="372" spans="1:20" x14ac:dyDescent="0.25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</row>
    <row r="373" spans="1:20" x14ac:dyDescent="0.25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</row>
    <row r="374" spans="1:20" x14ac:dyDescent="0.25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</row>
    <row r="375" spans="1:20" x14ac:dyDescent="0.25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</row>
    <row r="376" spans="1:20" x14ac:dyDescent="0.25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</row>
    <row r="377" spans="1:20" x14ac:dyDescent="0.25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</row>
    <row r="378" spans="1:20" x14ac:dyDescent="0.25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</row>
    <row r="379" spans="1:20" x14ac:dyDescent="0.25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</row>
    <row r="380" spans="1:20" x14ac:dyDescent="0.25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</row>
    <row r="381" spans="1:20" x14ac:dyDescent="0.25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</row>
    <row r="382" spans="1:20" x14ac:dyDescent="0.25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</row>
    <row r="383" spans="1:20" x14ac:dyDescent="0.25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</row>
    <row r="384" spans="1:20" x14ac:dyDescent="0.25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</row>
    <row r="385" spans="1:20" x14ac:dyDescent="0.25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</row>
    <row r="386" spans="1:20" x14ac:dyDescent="0.25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</row>
    <row r="387" spans="1:20" x14ac:dyDescent="0.25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</row>
    <row r="388" spans="1:20" x14ac:dyDescent="0.25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</row>
    <row r="389" spans="1:20" x14ac:dyDescent="0.25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</row>
    <row r="390" spans="1:20" x14ac:dyDescent="0.25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</row>
    <row r="391" spans="1:20" x14ac:dyDescent="0.25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</row>
    <row r="392" spans="1:20" x14ac:dyDescent="0.25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</row>
    <row r="393" spans="1:20" x14ac:dyDescent="0.25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</row>
    <row r="394" spans="1:20" x14ac:dyDescent="0.25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</row>
    <row r="395" spans="1:20" x14ac:dyDescent="0.25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</row>
    <row r="396" spans="1:20" x14ac:dyDescent="0.25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</row>
    <row r="397" spans="1:20" x14ac:dyDescent="0.25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</row>
    <row r="398" spans="1:20" x14ac:dyDescent="0.25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</row>
    <row r="399" spans="1:20" x14ac:dyDescent="0.25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</row>
    <row r="400" spans="1:20" x14ac:dyDescent="0.25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</row>
    <row r="401" spans="1:20" x14ac:dyDescent="0.25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</row>
    <row r="402" spans="1:20" x14ac:dyDescent="0.25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</row>
    <row r="403" spans="1:20" x14ac:dyDescent="0.25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</row>
    <row r="404" spans="1:20" x14ac:dyDescent="0.25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</row>
    <row r="405" spans="1:20" x14ac:dyDescent="0.25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</row>
    <row r="406" spans="1:20" x14ac:dyDescent="0.25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</row>
    <row r="407" spans="1:20" x14ac:dyDescent="0.25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</row>
    <row r="408" spans="1:20" x14ac:dyDescent="0.25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</row>
    <row r="409" spans="1:20" x14ac:dyDescent="0.25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</row>
    <row r="410" spans="1:20" x14ac:dyDescent="0.25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</row>
    <row r="411" spans="1:20" x14ac:dyDescent="0.25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</row>
    <row r="412" spans="1:20" x14ac:dyDescent="0.25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</row>
    <row r="413" spans="1:20" x14ac:dyDescent="0.25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</row>
    <row r="414" spans="1:20" x14ac:dyDescent="0.25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</row>
    <row r="415" spans="1:20" x14ac:dyDescent="0.25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</row>
    <row r="416" spans="1:20" x14ac:dyDescent="0.25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</row>
    <row r="417" spans="1:20" x14ac:dyDescent="0.25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</row>
    <row r="418" spans="1:20" x14ac:dyDescent="0.25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</row>
    <row r="419" spans="1:20" x14ac:dyDescent="0.25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</row>
    <row r="420" spans="1:20" x14ac:dyDescent="0.25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</row>
    <row r="421" spans="1:20" x14ac:dyDescent="0.25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</row>
    <row r="422" spans="1:20" x14ac:dyDescent="0.25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</row>
    <row r="423" spans="1:20" x14ac:dyDescent="0.25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</row>
    <row r="424" spans="1:20" x14ac:dyDescent="0.25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</row>
    <row r="425" spans="1:20" x14ac:dyDescent="0.25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</row>
    <row r="426" spans="1:20" x14ac:dyDescent="0.25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</row>
    <row r="427" spans="1:20" x14ac:dyDescent="0.25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</row>
    <row r="428" spans="1:20" x14ac:dyDescent="0.25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</row>
    <row r="429" spans="1:20" x14ac:dyDescent="0.25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</row>
    <row r="430" spans="1:20" x14ac:dyDescent="0.25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</row>
    <row r="431" spans="1:20" x14ac:dyDescent="0.25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</row>
    <row r="432" spans="1:20" x14ac:dyDescent="0.25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</row>
    <row r="433" spans="1:20" x14ac:dyDescent="0.25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</row>
    <row r="434" spans="1:20" x14ac:dyDescent="0.25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</row>
    <row r="435" spans="1:20" x14ac:dyDescent="0.25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</row>
    <row r="436" spans="1:20" x14ac:dyDescent="0.25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</row>
    <row r="437" spans="1:20" x14ac:dyDescent="0.25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</row>
    <row r="438" spans="1:20" x14ac:dyDescent="0.25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</row>
    <row r="439" spans="1:20" x14ac:dyDescent="0.25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</row>
    <row r="440" spans="1:20" x14ac:dyDescent="0.25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</row>
    <row r="441" spans="1:20" x14ac:dyDescent="0.25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</row>
    <row r="442" spans="1:20" x14ac:dyDescent="0.25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</row>
    <row r="443" spans="1:20" x14ac:dyDescent="0.25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</row>
    <row r="444" spans="1:20" x14ac:dyDescent="0.25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</row>
    <row r="445" spans="1:20" x14ac:dyDescent="0.25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</row>
    <row r="446" spans="1:20" x14ac:dyDescent="0.25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</row>
    <row r="447" spans="1:20" x14ac:dyDescent="0.25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</row>
    <row r="448" spans="1:20" x14ac:dyDescent="0.25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</row>
    <row r="449" spans="1:20" x14ac:dyDescent="0.25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</row>
    <row r="450" spans="1:20" x14ac:dyDescent="0.25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</row>
    <row r="451" spans="1:20" x14ac:dyDescent="0.25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</row>
    <row r="452" spans="1:20" x14ac:dyDescent="0.25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</row>
    <row r="453" spans="1:20" x14ac:dyDescent="0.25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</row>
    <row r="454" spans="1:20" x14ac:dyDescent="0.25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</row>
    <row r="455" spans="1:20" x14ac:dyDescent="0.25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</row>
    <row r="456" spans="1:20" x14ac:dyDescent="0.25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</row>
    <row r="457" spans="1:20" x14ac:dyDescent="0.25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</row>
    <row r="458" spans="1:20" x14ac:dyDescent="0.25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</row>
    <row r="459" spans="1:20" x14ac:dyDescent="0.25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</row>
    <row r="460" spans="1:20" x14ac:dyDescent="0.25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</row>
    <row r="461" spans="1:20" x14ac:dyDescent="0.25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</row>
    <row r="462" spans="1:20" x14ac:dyDescent="0.25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</row>
    <row r="463" spans="1:20" x14ac:dyDescent="0.25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</row>
    <row r="464" spans="1:20" x14ac:dyDescent="0.25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</row>
    <row r="465" spans="1:20" x14ac:dyDescent="0.25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</row>
    <row r="466" spans="1:20" x14ac:dyDescent="0.25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</row>
    <row r="467" spans="1:20" x14ac:dyDescent="0.25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</row>
    <row r="468" spans="1:20" x14ac:dyDescent="0.25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</row>
    <row r="469" spans="1:20" x14ac:dyDescent="0.25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</row>
    <row r="470" spans="1:20" x14ac:dyDescent="0.25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</row>
    <row r="471" spans="1:20" x14ac:dyDescent="0.25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</row>
    <row r="472" spans="1:20" x14ac:dyDescent="0.25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</row>
    <row r="473" spans="1:20" x14ac:dyDescent="0.25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</row>
    <row r="474" spans="1:20" x14ac:dyDescent="0.25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</row>
    <row r="475" spans="1:20" x14ac:dyDescent="0.25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</row>
    <row r="476" spans="1:20" x14ac:dyDescent="0.25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</row>
    <row r="477" spans="1:20" x14ac:dyDescent="0.25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</row>
    <row r="478" spans="1:20" x14ac:dyDescent="0.25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</row>
    <row r="479" spans="1:20" x14ac:dyDescent="0.25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</row>
    <row r="480" spans="1:20" x14ac:dyDescent="0.25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</row>
    <row r="481" spans="1:20" x14ac:dyDescent="0.25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</row>
    <row r="482" spans="1:20" x14ac:dyDescent="0.25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</row>
    <row r="483" spans="1:20" x14ac:dyDescent="0.25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</row>
    <row r="484" spans="1:20" x14ac:dyDescent="0.25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</row>
    <row r="485" spans="1:20" x14ac:dyDescent="0.25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</row>
    <row r="486" spans="1:20" x14ac:dyDescent="0.25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</row>
    <row r="487" spans="1:20" x14ac:dyDescent="0.25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</row>
    <row r="488" spans="1:20" x14ac:dyDescent="0.25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</row>
    <row r="489" spans="1:20" x14ac:dyDescent="0.25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</row>
    <row r="490" spans="1:20" x14ac:dyDescent="0.25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</row>
    <row r="491" spans="1:20" x14ac:dyDescent="0.25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</row>
    <row r="492" spans="1:20" x14ac:dyDescent="0.25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</row>
    <row r="493" spans="1:20" x14ac:dyDescent="0.25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</row>
    <row r="494" spans="1:20" x14ac:dyDescent="0.25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</row>
    <row r="495" spans="1:20" x14ac:dyDescent="0.25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</row>
    <row r="496" spans="1:20" x14ac:dyDescent="0.25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</row>
    <row r="497" spans="1:20" x14ac:dyDescent="0.25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</row>
    <row r="498" spans="1:20" x14ac:dyDescent="0.25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</row>
    <row r="499" spans="1:20" x14ac:dyDescent="0.25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</row>
    <row r="500" spans="1:20" x14ac:dyDescent="0.25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</row>
    <row r="501" spans="1:20" x14ac:dyDescent="0.25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</row>
    <row r="502" spans="1:20" x14ac:dyDescent="0.25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</row>
    <row r="503" spans="1:20" x14ac:dyDescent="0.25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</row>
    <row r="504" spans="1:20" x14ac:dyDescent="0.25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</row>
    <row r="505" spans="1:20" x14ac:dyDescent="0.25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</row>
    <row r="506" spans="1:20" x14ac:dyDescent="0.25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</row>
    <row r="507" spans="1:20" x14ac:dyDescent="0.25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</row>
    <row r="508" spans="1:20" x14ac:dyDescent="0.25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</row>
    <row r="509" spans="1:20" x14ac:dyDescent="0.25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</row>
    <row r="510" spans="1:20" x14ac:dyDescent="0.25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</row>
    <row r="511" spans="1:20" x14ac:dyDescent="0.25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</row>
    <row r="512" spans="1:20" x14ac:dyDescent="0.25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</row>
    <row r="513" spans="1:20" x14ac:dyDescent="0.25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</row>
    <row r="514" spans="1:20" x14ac:dyDescent="0.25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</row>
    <row r="515" spans="1:20" x14ac:dyDescent="0.25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</row>
    <row r="516" spans="1:20" x14ac:dyDescent="0.25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</row>
    <row r="517" spans="1:20" x14ac:dyDescent="0.25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</row>
    <row r="518" spans="1:20" x14ac:dyDescent="0.25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</row>
    <row r="519" spans="1:20" x14ac:dyDescent="0.25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</row>
    <row r="520" spans="1:20" x14ac:dyDescent="0.25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</row>
    <row r="521" spans="1:20" x14ac:dyDescent="0.25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</row>
    <row r="522" spans="1:20" x14ac:dyDescent="0.25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</row>
    <row r="523" spans="1:20" x14ac:dyDescent="0.25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</row>
    <row r="524" spans="1:20" x14ac:dyDescent="0.25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</row>
    <row r="525" spans="1:20" x14ac:dyDescent="0.25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</row>
    <row r="526" spans="1:20" x14ac:dyDescent="0.25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</row>
    <row r="527" spans="1:20" x14ac:dyDescent="0.25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</row>
    <row r="528" spans="1:20" x14ac:dyDescent="0.25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</row>
    <row r="529" spans="1:20" x14ac:dyDescent="0.25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</row>
    <row r="530" spans="1:20" x14ac:dyDescent="0.25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</row>
    <row r="531" spans="1:20" x14ac:dyDescent="0.25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</row>
    <row r="532" spans="1:20" x14ac:dyDescent="0.25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</row>
    <row r="533" spans="1:20" x14ac:dyDescent="0.25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</row>
    <row r="534" spans="1:20" x14ac:dyDescent="0.25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</row>
    <row r="535" spans="1:20" x14ac:dyDescent="0.25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</row>
    <row r="536" spans="1:20" x14ac:dyDescent="0.25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</row>
    <row r="537" spans="1:20" x14ac:dyDescent="0.25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</row>
    <row r="538" spans="1:20" x14ac:dyDescent="0.25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</row>
    <row r="539" spans="1:20" x14ac:dyDescent="0.25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</row>
    <row r="540" spans="1:20" x14ac:dyDescent="0.25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</row>
    <row r="541" spans="1:20" x14ac:dyDescent="0.25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</row>
    <row r="542" spans="1:20" x14ac:dyDescent="0.25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</row>
    <row r="543" spans="1:20" x14ac:dyDescent="0.25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</row>
    <row r="544" spans="1:20" x14ac:dyDescent="0.25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</row>
    <row r="545" spans="1:20" x14ac:dyDescent="0.25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</row>
    <row r="546" spans="1:20" x14ac:dyDescent="0.25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</row>
    <row r="547" spans="1:20" x14ac:dyDescent="0.25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</row>
    <row r="548" spans="1:20" x14ac:dyDescent="0.25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</row>
    <row r="549" spans="1:20" x14ac:dyDescent="0.25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</row>
    <row r="550" spans="1:20" x14ac:dyDescent="0.25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</row>
    <row r="551" spans="1:20" x14ac:dyDescent="0.25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</row>
    <row r="552" spans="1:20" x14ac:dyDescent="0.25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</row>
    <row r="553" spans="1:20" x14ac:dyDescent="0.25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</row>
    <row r="554" spans="1:20" x14ac:dyDescent="0.25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</row>
    <row r="555" spans="1:20" x14ac:dyDescent="0.25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</row>
    <row r="556" spans="1:20" x14ac:dyDescent="0.25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</row>
    <row r="557" spans="1:20" x14ac:dyDescent="0.25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</row>
    <row r="558" spans="1:20" x14ac:dyDescent="0.25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</row>
    <row r="559" spans="1:20" x14ac:dyDescent="0.25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</row>
    <row r="560" spans="1:20" x14ac:dyDescent="0.25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</row>
    <row r="561" spans="1:20" x14ac:dyDescent="0.25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</row>
    <row r="562" spans="1:20" x14ac:dyDescent="0.25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</row>
    <row r="563" spans="1:20" x14ac:dyDescent="0.25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</row>
    <row r="564" spans="1:20" x14ac:dyDescent="0.25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</row>
    <row r="565" spans="1:20" x14ac:dyDescent="0.25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</row>
    <row r="566" spans="1:20" x14ac:dyDescent="0.25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</row>
    <row r="567" spans="1:20" x14ac:dyDescent="0.25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</row>
    <row r="568" spans="1:20" x14ac:dyDescent="0.25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</row>
    <row r="569" spans="1:20" x14ac:dyDescent="0.25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</row>
    <row r="570" spans="1:20" x14ac:dyDescent="0.25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</row>
    <row r="571" spans="1:20" x14ac:dyDescent="0.25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</row>
    <row r="572" spans="1:20" x14ac:dyDescent="0.25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</row>
    <row r="573" spans="1:20" x14ac:dyDescent="0.25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</row>
    <row r="574" spans="1:20" x14ac:dyDescent="0.25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</row>
    <row r="575" spans="1:20" x14ac:dyDescent="0.25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</row>
    <row r="576" spans="1:20" x14ac:dyDescent="0.25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</row>
    <row r="577" spans="1:20" x14ac:dyDescent="0.25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</row>
    <row r="578" spans="1:20" x14ac:dyDescent="0.25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</row>
    <row r="579" spans="1:20" x14ac:dyDescent="0.25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</row>
    <row r="580" spans="1:20" x14ac:dyDescent="0.25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</row>
    <row r="581" spans="1:20" x14ac:dyDescent="0.25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</row>
    <row r="582" spans="1:20" x14ac:dyDescent="0.25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</row>
    <row r="583" spans="1:20" x14ac:dyDescent="0.25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</row>
    <row r="584" spans="1:20" x14ac:dyDescent="0.25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</row>
    <row r="585" spans="1:20" x14ac:dyDescent="0.25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</row>
    <row r="586" spans="1:20" x14ac:dyDescent="0.25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</row>
    <row r="587" spans="1:20" x14ac:dyDescent="0.25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</row>
    <row r="588" spans="1:20" x14ac:dyDescent="0.25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</row>
    <row r="589" spans="1:20" x14ac:dyDescent="0.25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</row>
    <row r="590" spans="1:20" x14ac:dyDescent="0.25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</row>
    <row r="591" spans="1:20" x14ac:dyDescent="0.25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</row>
    <row r="592" spans="1:20" x14ac:dyDescent="0.25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</row>
    <row r="593" spans="1:20" x14ac:dyDescent="0.25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</row>
    <row r="594" spans="1:20" x14ac:dyDescent="0.25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</row>
    <row r="595" spans="1:20" x14ac:dyDescent="0.25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</row>
    <row r="596" spans="1:20" x14ac:dyDescent="0.25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</row>
    <row r="597" spans="1:20" x14ac:dyDescent="0.25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</row>
    <row r="598" spans="1:20" x14ac:dyDescent="0.25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</row>
    <row r="599" spans="1:20" x14ac:dyDescent="0.25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</row>
    <row r="600" spans="1:20" x14ac:dyDescent="0.25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</row>
    <row r="601" spans="1:20" x14ac:dyDescent="0.25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</row>
    <row r="602" spans="1:20" x14ac:dyDescent="0.25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</row>
    <row r="603" spans="1:20" x14ac:dyDescent="0.25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</row>
    <row r="604" spans="1:20" x14ac:dyDescent="0.25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</row>
    <row r="605" spans="1:20" x14ac:dyDescent="0.25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</row>
    <row r="606" spans="1:20" x14ac:dyDescent="0.25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</row>
    <row r="607" spans="1:20" x14ac:dyDescent="0.25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</row>
    <row r="608" spans="1:20" x14ac:dyDescent="0.25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</row>
    <row r="609" spans="1:20" x14ac:dyDescent="0.25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</row>
    <row r="610" spans="1:20" x14ac:dyDescent="0.25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</row>
    <row r="611" spans="1:20" x14ac:dyDescent="0.25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</row>
    <row r="612" spans="1:20" x14ac:dyDescent="0.25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</row>
    <row r="613" spans="1:20" x14ac:dyDescent="0.25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</row>
    <row r="614" spans="1:20" x14ac:dyDescent="0.25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</row>
    <row r="615" spans="1:20" x14ac:dyDescent="0.25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</row>
    <row r="616" spans="1:20" x14ac:dyDescent="0.25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</row>
    <row r="617" spans="1:20" x14ac:dyDescent="0.25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</row>
    <row r="618" spans="1:20" x14ac:dyDescent="0.25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</row>
    <row r="619" spans="1:20" x14ac:dyDescent="0.25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</row>
    <row r="620" spans="1:20" x14ac:dyDescent="0.25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</row>
    <row r="621" spans="1:20" x14ac:dyDescent="0.25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</row>
    <row r="622" spans="1:20" x14ac:dyDescent="0.25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</row>
    <row r="623" spans="1:20" x14ac:dyDescent="0.25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</row>
    <row r="624" spans="1:20" x14ac:dyDescent="0.25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</row>
    <row r="625" spans="1:20" x14ac:dyDescent="0.25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</row>
    <row r="626" spans="1:20" x14ac:dyDescent="0.25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</row>
    <row r="627" spans="1:20" x14ac:dyDescent="0.25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</row>
    <row r="628" spans="1:20" x14ac:dyDescent="0.25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</row>
    <row r="629" spans="1:20" x14ac:dyDescent="0.25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</row>
    <row r="630" spans="1:20" x14ac:dyDescent="0.25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</row>
    <row r="631" spans="1:20" x14ac:dyDescent="0.25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</row>
    <row r="632" spans="1:20" x14ac:dyDescent="0.25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</row>
    <row r="633" spans="1:20" x14ac:dyDescent="0.25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</row>
    <row r="634" spans="1:20" x14ac:dyDescent="0.25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</row>
    <row r="635" spans="1:20" x14ac:dyDescent="0.25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</row>
    <row r="636" spans="1:20" x14ac:dyDescent="0.25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</row>
    <row r="637" spans="1:20" x14ac:dyDescent="0.25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</row>
    <row r="638" spans="1:20" x14ac:dyDescent="0.25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</row>
    <row r="639" spans="1:20" x14ac:dyDescent="0.25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</row>
    <row r="640" spans="1:20" x14ac:dyDescent="0.25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</row>
    <row r="641" spans="1:20" x14ac:dyDescent="0.25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</row>
    <row r="642" spans="1:20" x14ac:dyDescent="0.25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</row>
    <row r="643" spans="1:20" x14ac:dyDescent="0.25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</row>
    <row r="644" spans="1:20" x14ac:dyDescent="0.25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</row>
    <row r="645" spans="1:20" x14ac:dyDescent="0.25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</row>
    <row r="646" spans="1:20" x14ac:dyDescent="0.25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</row>
    <row r="647" spans="1:20" x14ac:dyDescent="0.25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</row>
    <row r="648" spans="1:20" x14ac:dyDescent="0.25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</row>
    <row r="649" spans="1:20" x14ac:dyDescent="0.25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</row>
    <row r="650" spans="1:20" x14ac:dyDescent="0.25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</row>
    <row r="651" spans="1:20" x14ac:dyDescent="0.25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</row>
    <row r="652" spans="1:20" x14ac:dyDescent="0.25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</row>
    <row r="653" spans="1:20" x14ac:dyDescent="0.25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</row>
    <row r="654" spans="1:20" x14ac:dyDescent="0.25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</row>
    <row r="655" spans="1:20" x14ac:dyDescent="0.25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</row>
    <row r="656" spans="1:20" x14ac:dyDescent="0.25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</row>
    <row r="657" spans="1:20" x14ac:dyDescent="0.25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</row>
    <row r="658" spans="1:20" x14ac:dyDescent="0.25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</row>
    <row r="659" spans="1:20" x14ac:dyDescent="0.25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</row>
    <row r="660" spans="1:20" x14ac:dyDescent="0.25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</row>
    <row r="661" spans="1:20" x14ac:dyDescent="0.25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</row>
    <row r="662" spans="1:20" x14ac:dyDescent="0.25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</row>
    <row r="663" spans="1:20" x14ac:dyDescent="0.25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</row>
    <row r="664" spans="1:20" x14ac:dyDescent="0.25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</row>
    <row r="665" spans="1:20" x14ac:dyDescent="0.25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</row>
    <row r="666" spans="1:20" x14ac:dyDescent="0.25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</row>
    <row r="667" spans="1:20" x14ac:dyDescent="0.25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</row>
    <row r="668" spans="1:20" x14ac:dyDescent="0.25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</row>
    <row r="669" spans="1:20" x14ac:dyDescent="0.25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</row>
    <row r="670" spans="1:20" x14ac:dyDescent="0.25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</row>
    <row r="671" spans="1:20" x14ac:dyDescent="0.25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</row>
    <row r="672" spans="1:20" x14ac:dyDescent="0.25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</row>
    <row r="673" spans="1:20" x14ac:dyDescent="0.25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</row>
    <row r="674" spans="1:20" x14ac:dyDescent="0.25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</row>
    <row r="675" spans="1:20" x14ac:dyDescent="0.25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</row>
    <row r="676" spans="1:20" x14ac:dyDescent="0.25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</row>
    <row r="677" spans="1:20" x14ac:dyDescent="0.25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</row>
    <row r="678" spans="1:20" x14ac:dyDescent="0.25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</row>
    <row r="679" spans="1:20" x14ac:dyDescent="0.25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</row>
    <row r="680" spans="1:20" x14ac:dyDescent="0.25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</row>
    <row r="681" spans="1:20" x14ac:dyDescent="0.25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</row>
    <row r="682" spans="1:20" x14ac:dyDescent="0.25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</row>
    <row r="683" spans="1:20" x14ac:dyDescent="0.25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</row>
    <row r="684" spans="1:20" x14ac:dyDescent="0.25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</row>
    <row r="685" spans="1:20" x14ac:dyDescent="0.25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</row>
    <row r="686" spans="1:20" x14ac:dyDescent="0.25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</row>
    <row r="687" spans="1:20" x14ac:dyDescent="0.25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</row>
    <row r="688" spans="1:20" x14ac:dyDescent="0.25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</row>
    <row r="689" spans="1:20" x14ac:dyDescent="0.25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</row>
    <row r="690" spans="1:20" x14ac:dyDescent="0.25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</row>
    <row r="691" spans="1:20" x14ac:dyDescent="0.25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</row>
    <row r="692" spans="1:20" x14ac:dyDescent="0.25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</row>
    <row r="693" spans="1:20" x14ac:dyDescent="0.25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</row>
    <row r="694" spans="1:20" x14ac:dyDescent="0.25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</row>
    <row r="695" spans="1:20" x14ac:dyDescent="0.25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</row>
    <row r="696" spans="1:20" x14ac:dyDescent="0.25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</row>
    <row r="697" spans="1:20" x14ac:dyDescent="0.25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</row>
    <row r="698" spans="1:20" x14ac:dyDescent="0.25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</row>
    <row r="699" spans="1:20" x14ac:dyDescent="0.25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</row>
    <row r="700" spans="1:20" x14ac:dyDescent="0.25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</row>
    <row r="701" spans="1:20" x14ac:dyDescent="0.25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</row>
    <row r="702" spans="1:20" x14ac:dyDescent="0.25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</row>
    <row r="703" spans="1:20" x14ac:dyDescent="0.25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</row>
    <row r="704" spans="1:20" x14ac:dyDescent="0.25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</row>
    <row r="705" spans="1:20" x14ac:dyDescent="0.25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</row>
    <row r="706" spans="1:20" x14ac:dyDescent="0.25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</row>
    <row r="707" spans="1:20" x14ac:dyDescent="0.25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</row>
    <row r="708" spans="1:20" x14ac:dyDescent="0.25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</row>
    <row r="709" spans="1:20" x14ac:dyDescent="0.25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</row>
    <row r="710" spans="1:20" x14ac:dyDescent="0.25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</row>
    <row r="711" spans="1:20" x14ac:dyDescent="0.25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</row>
    <row r="712" spans="1:20" x14ac:dyDescent="0.25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</row>
    <row r="713" spans="1:20" x14ac:dyDescent="0.25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</row>
    <row r="714" spans="1:20" x14ac:dyDescent="0.25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</row>
    <row r="715" spans="1:20" x14ac:dyDescent="0.25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</row>
    <row r="716" spans="1:20" x14ac:dyDescent="0.25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</row>
    <row r="717" spans="1:20" x14ac:dyDescent="0.25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</row>
    <row r="718" spans="1:20" x14ac:dyDescent="0.25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</row>
    <row r="719" spans="1:20" x14ac:dyDescent="0.25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</row>
    <row r="720" spans="1:20" x14ac:dyDescent="0.25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</row>
    <row r="721" spans="1:20" x14ac:dyDescent="0.25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</row>
    <row r="722" spans="1:20" x14ac:dyDescent="0.25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</row>
    <row r="723" spans="1:20" x14ac:dyDescent="0.25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</row>
    <row r="724" spans="1:20" x14ac:dyDescent="0.25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</row>
    <row r="725" spans="1:20" x14ac:dyDescent="0.25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</row>
    <row r="726" spans="1:20" x14ac:dyDescent="0.25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</row>
    <row r="727" spans="1:20" x14ac:dyDescent="0.25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</row>
    <row r="728" spans="1:20" x14ac:dyDescent="0.25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</row>
    <row r="729" spans="1:20" x14ac:dyDescent="0.25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</row>
    <row r="730" spans="1:20" x14ac:dyDescent="0.25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</row>
    <row r="731" spans="1:20" x14ac:dyDescent="0.25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</row>
    <row r="732" spans="1:20" x14ac:dyDescent="0.25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</row>
    <row r="733" spans="1:20" x14ac:dyDescent="0.25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</row>
    <row r="734" spans="1:20" x14ac:dyDescent="0.25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</row>
    <row r="735" spans="1:20" x14ac:dyDescent="0.25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</row>
    <row r="736" spans="1:20" x14ac:dyDescent="0.25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</row>
    <row r="737" spans="1:20" x14ac:dyDescent="0.25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</row>
    <row r="738" spans="1:20" x14ac:dyDescent="0.25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</row>
    <row r="739" spans="1:20" x14ac:dyDescent="0.25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</row>
    <row r="740" spans="1:20" x14ac:dyDescent="0.25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</row>
    <row r="741" spans="1:20" x14ac:dyDescent="0.25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</row>
    <row r="742" spans="1:20" x14ac:dyDescent="0.25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</row>
    <row r="743" spans="1:20" x14ac:dyDescent="0.25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</row>
    <row r="744" spans="1:20" x14ac:dyDescent="0.25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</row>
    <row r="745" spans="1:20" x14ac:dyDescent="0.25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</row>
    <row r="746" spans="1:20" x14ac:dyDescent="0.25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</row>
    <row r="747" spans="1:20" x14ac:dyDescent="0.25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</row>
    <row r="748" spans="1:20" x14ac:dyDescent="0.25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</row>
    <row r="749" spans="1:20" x14ac:dyDescent="0.25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</row>
    <row r="750" spans="1:20" x14ac:dyDescent="0.25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</row>
    <row r="751" spans="1:20" x14ac:dyDescent="0.25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</row>
    <row r="752" spans="1:20" x14ac:dyDescent="0.25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</row>
    <row r="753" spans="1:20" x14ac:dyDescent="0.25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</row>
    <row r="754" spans="1:20" x14ac:dyDescent="0.25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</row>
    <row r="755" spans="1:20" x14ac:dyDescent="0.25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</row>
    <row r="756" spans="1:20" x14ac:dyDescent="0.25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</row>
    <row r="757" spans="1:20" x14ac:dyDescent="0.25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</row>
    <row r="758" spans="1:20" x14ac:dyDescent="0.25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</row>
    <row r="759" spans="1:20" x14ac:dyDescent="0.25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</row>
    <row r="760" spans="1:20" x14ac:dyDescent="0.25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</row>
    <row r="761" spans="1:20" x14ac:dyDescent="0.25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</row>
    <row r="762" spans="1:20" x14ac:dyDescent="0.25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</row>
    <row r="763" spans="1:20" x14ac:dyDescent="0.25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</row>
    <row r="764" spans="1:20" x14ac:dyDescent="0.25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</row>
    <row r="765" spans="1:20" x14ac:dyDescent="0.25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</row>
    <row r="766" spans="1:20" x14ac:dyDescent="0.25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</row>
    <row r="767" spans="1:20" x14ac:dyDescent="0.25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</row>
    <row r="768" spans="1:20" x14ac:dyDescent="0.25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</row>
    <row r="769" spans="1:20" x14ac:dyDescent="0.25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</row>
    <row r="770" spans="1:20" x14ac:dyDescent="0.25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</row>
    <row r="771" spans="1:20" x14ac:dyDescent="0.25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</row>
    <row r="772" spans="1:20" x14ac:dyDescent="0.25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</row>
    <row r="773" spans="1:20" x14ac:dyDescent="0.25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</row>
    <row r="774" spans="1:20" x14ac:dyDescent="0.25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</row>
    <row r="775" spans="1:20" x14ac:dyDescent="0.25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</row>
    <row r="776" spans="1:20" x14ac:dyDescent="0.25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</row>
    <row r="777" spans="1:20" x14ac:dyDescent="0.25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</row>
    <row r="778" spans="1:20" x14ac:dyDescent="0.25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</row>
    <row r="779" spans="1:20" x14ac:dyDescent="0.25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</row>
    <row r="780" spans="1:20" x14ac:dyDescent="0.25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</row>
    <row r="781" spans="1:20" x14ac:dyDescent="0.25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</row>
    <row r="782" spans="1:20" x14ac:dyDescent="0.25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</row>
    <row r="783" spans="1:20" x14ac:dyDescent="0.25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</row>
    <row r="784" spans="1:20" x14ac:dyDescent="0.25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</row>
    <row r="785" spans="1:20" x14ac:dyDescent="0.25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</row>
    <row r="786" spans="1:20" x14ac:dyDescent="0.25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</row>
    <row r="787" spans="1:20" x14ac:dyDescent="0.25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</row>
    <row r="788" spans="1:20" x14ac:dyDescent="0.25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</row>
    <row r="789" spans="1:20" x14ac:dyDescent="0.25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</row>
    <row r="790" spans="1:20" x14ac:dyDescent="0.25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</row>
    <row r="791" spans="1:20" x14ac:dyDescent="0.25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</row>
    <row r="792" spans="1:20" x14ac:dyDescent="0.25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</row>
    <row r="793" spans="1:20" x14ac:dyDescent="0.25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</row>
    <row r="794" spans="1:20" x14ac:dyDescent="0.25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</row>
    <row r="795" spans="1:20" x14ac:dyDescent="0.25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</row>
    <row r="796" spans="1:20" x14ac:dyDescent="0.25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</row>
    <row r="797" spans="1:20" x14ac:dyDescent="0.25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</row>
    <row r="798" spans="1:20" x14ac:dyDescent="0.25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</row>
    <row r="799" spans="1:20" x14ac:dyDescent="0.25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</row>
    <row r="800" spans="1:20" x14ac:dyDescent="0.25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</row>
    <row r="801" spans="1:20" x14ac:dyDescent="0.25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</row>
    <row r="802" spans="1:20" x14ac:dyDescent="0.25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</row>
    <row r="803" spans="1:20" x14ac:dyDescent="0.25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</row>
    <row r="804" spans="1:20" x14ac:dyDescent="0.25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</row>
    <row r="805" spans="1:20" x14ac:dyDescent="0.25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</row>
    <row r="806" spans="1:20" x14ac:dyDescent="0.25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</row>
    <row r="807" spans="1:20" x14ac:dyDescent="0.25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</row>
    <row r="808" spans="1:20" x14ac:dyDescent="0.25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</row>
    <row r="809" spans="1:20" x14ac:dyDescent="0.25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</row>
    <row r="810" spans="1:20" x14ac:dyDescent="0.25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</row>
    <row r="811" spans="1:20" x14ac:dyDescent="0.25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</row>
    <row r="812" spans="1:20" x14ac:dyDescent="0.25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</row>
    <row r="813" spans="1:20" x14ac:dyDescent="0.25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</row>
    <row r="814" spans="1:20" x14ac:dyDescent="0.25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</row>
    <row r="815" spans="1:20" x14ac:dyDescent="0.25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</row>
    <row r="816" spans="1:20" x14ac:dyDescent="0.25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</row>
    <row r="817" spans="1:20" x14ac:dyDescent="0.25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</row>
    <row r="818" spans="1:20" x14ac:dyDescent="0.25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</row>
    <row r="819" spans="1:20" x14ac:dyDescent="0.25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</row>
    <row r="820" spans="1:20" x14ac:dyDescent="0.25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</row>
    <row r="821" spans="1:20" x14ac:dyDescent="0.25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</row>
    <row r="822" spans="1:20" x14ac:dyDescent="0.25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</row>
    <row r="823" spans="1:20" x14ac:dyDescent="0.25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</row>
    <row r="824" spans="1:20" x14ac:dyDescent="0.25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</row>
    <row r="825" spans="1:20" x14ac:dyDescent="0.25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</row>
    <row r="826" spans="1:20" x14ac:dyDescent="0.25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</row>
    <row r="827" spans="1:20" x14ac:dyDescent="0.25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</row>
    <row r="828" spans="1:20" x14ac:dyDescent="0.25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</row>
    <row r="829" spans="1:20" x14ac:dyDescent="0.25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</row>
    <row r="830" spans="1:20" x14ac:dyDescent="0.25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</row>
    <row r="831" spans="1:20" x14ac:dyDescent="0.25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</row>
    <row r="832" spans="1:20" x14ac:dyDescent="0.25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</row>
    <row r="833" spans="1:20" x14ac:dyDescent="0.25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</row>
    <row r="834" spans="1:20" x14ac:dyDescent="0.25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</row>
    <row r="835" spans="1:20" x14ac:dyDescent="0.25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</row>
    <row r="836" spans="1:20" x14ac:dyDescent="0.25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</row>
    <row r="837" spans="1:20" x14ac:dyDescent="0.25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</row>
    <row r="838" spans="1:20" x14ac:dyDescent="0.25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</row>
    <row r="839" spans="1:20" x14ac:dyDescent="0.25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</row>
    <row r="840" spans="1:20" x14ac:dyDescent="0.25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</row>
    <row r="841" spans="1:20" x14ac:dyDescent="0.25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</row>
    <row r="842" spans="1:20" x14ac:dyDescent="0.25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</row>
    <row r="843" spans="1:20" x14ac:dyDescent="0.25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</row>
    <row r="844" spans="1:20" x14ac:dyDescent="0.25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</row>
    <row r="845" spans="1:20" x14ac:dyDescent="0.25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</row>
    <row r="846" spans="1:20" x14ac:dyDescent="0.25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</row>
    <row r="847" spans="1:20" x14ac:dyDescent="0.25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</row>
    <row r="848" spans="1:20" x14ac:dyDescent="0.25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</row>
    <row r="849" spans="1:20" x14ac:dyDescent="0.25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</row>
    <row r="850" spans="1:20" x14ac:dyDescent="0.25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</row>
    <row r="851" spans="1:20" x14ac:dyDescent="0.25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</row>
    <row r="852" spans="1:20" x14ac:dyDescent="0.25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</row>
    <row r="853" spans="1:20" x14ac:dyDescent="0.25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</row>
    <row r="854" spans="1:20" x14ac:dyDescent="0.25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</row>
    <row r="855" spans="1:20" x14ac:dyDescent="0.25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</row>
    <row r="856" spans="1:20" x14ac:dyDescent="0.25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</row>
    <row r="857" spans="1:20" x14ac:dyDescent="0.25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</row>
    <row r="858" spans="1:20" x14ac:dyDescent="0.25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</row>
    <row r="859" spans="1:20" x14ac:dyDescent="0.25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</row>
    <row r="860" spans="1:20" x14ac:dyDescent="0.25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</row>
    <row r="861" spans="1:20" x14ac:dyDescent="0.25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</row>
    <row r="862" spans="1:20" x14ac:dyDescent="0.25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</row>
    <row r="863" spans="1:20" x14ac:dyDescent="0.25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</row>
    <row r="864" spans="1:20" x14ac:dyDescent="0.25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</row>
    <row r="865" spans="1:20" x14ac:dyDescent="0.25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</row>
    <row r="866" spans="1:20" x14ac:dyDescent="0.25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</row>
    <row r="867" spans="1:20" x14ac:dyDescent="0.25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</row>
    <row r="868" spans="1:20" x14ac:dyDescent="0.25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</row>
    <row r="869" spans="1:20" x14ac:dyDescent="0.25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</row>
    <row r="870" spans="1:20" x14ac:dyDescent="0.25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</row>
    <row r="871" spans="1:20" x14ac:dyDescent="0.25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</row>
    <row r="872" spans="1:20" x14ac:dyDescent="0.25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</row>
    <row r="873" spans="1:20" x14ac:dyDescent="0.25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</row>
    <row r="874" spans="1:20" x14ac:dyDescent="0.25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</row>
    <row r="875" spans="1:20" x14ac:dyDescent="0.25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</row>
    <row r="876" spans="1:20" x14ac:dyDescent="0.25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</row>
    <row r="877" spans="1:20" x14ac:dyDescent="0.25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</row>
    <row r="878" spans="1:20" x14ac:dyDescent="0.25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</row>
    <row r="879" spans="1:20" x14ac:dyDescent="0.25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</row>
    <row r="880" spans="1:20" x14ac:dyDescent="0.25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</row>
    <row r="881" spans="1:20" x14ac:dyDescent="0.25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</row>
    <row r="882" spans="1:20" x14ac:dyDescent="0.25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</row>
    <row r="883" spans="1:20" x14ac:dyDescent="0.25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</row>
    <row r="884" spans="1:20" x14ac:dyDescent="0.25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</row>
    <row r="885" spans="1:20" x14ac:dyDescent="0.25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</row>
    <row r="886" spans="1:20" x14ac:dyDescent="0.25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</row>
    <row r="887" spans="1:20" x14ac:dyDescent="0.25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</row>
    <row r="888" spans="1:20" x14ac:dyDescent="0.25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</row>
    <row r="889" spans="1:20" x14ac:dyDescent="0.25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</row>
    <row r="890" spans="1:20" x14ac:dyDescent="0.25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</row>
    <row r="891" spans="1:20" x14ac:dyDescent="0.25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</row>
    <row r="892" spans="1:20" x14ac:dyDescent="0.25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</row>
    <row r="893" spans="1:20" x14ac:dyDescent="0.25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</row>
    <row r="894" spans="1:20" x14ac:dyDescent="0.25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</row>
    <row r="895" spans="1:20" x14ac:dyDescent="0.25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</row>
    <row r="896" spans="1:20" x14ac:dyDescent="0.25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</row>
    <row r="897" spans="1:20" x14ac:dyDescent="0.25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</row>
    <row r="898" spans="1:20" x14ac:dyDescent="0.25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</row>
    <row r="899" spans="1:20" x14ac:dyDescent="0.25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</row>
    <row r="900" spans="1:20" x14ac:dyDescent="0.25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</row>
    <row r="901" spans="1:20" x14ac:dyDescent="0.25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</row>
    <row r="902" spans="1:20" x14ac:dyDescent="0.25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</row>
    <row r="903" spans="1:20" x14ac:dyDescent="0.25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</row>
    <row r="904" spans="1:20" x14ac:dyDescent="0.25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</row>
    <row r="905" spans="1:20" x14ac:dyDescent="0.25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</row>
    <row r="906" spans="1:20" x14ac:dyDescent="0.25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</row>
    <row r="907" spans="1:20" x14ac:dyDescent="0.25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</row>
    <row r="908" spans="1:20" x14ac:dyDescent="0.25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</row>
    <row r="909" spans="1:20" x14ac:dyDescent="0.25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</row>
    <row r="910" spans="1:20" x14ac:dyDescent="0.25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</row>
    <row r="911" spans="1:20" x14ac:dyDescent="0.25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</row>
    <row r="912" spans="1:20" x14ac:dyDescent="0.25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</row>
    <row r="913" spans="1:20" x14ac:dyDescent="0.25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</row>
    <row r="914" spans="1:20" x14ac:dyDescent="0.25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</row>
    <row r="915" spans="1:20" x14ac:dyDescent="0.25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</row>
    <row r="916" spans="1:20" x14ac:dyDescent="0.25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</row>
    <row r="917" spans="1:20" x14ac:dyDescent="0.25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</row>
    <row r="918" spans="1:20" x14ac:dyDescent="0.25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</row>
    <row r="919" spans="1:20" x14ac:dyDescent="0.25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</row>
    <row r="920" spans="1:20" x14ac:dyDescent="0.25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</row>
    <row r="921" spans="1:20" x14ac:dyDescent="0.25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</row>
    <row r="922" spans="1:20" x14ac:dyDescent="0.25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</row>
    <row r="923" spans="1:20" x14ac:dyDescent="0.25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</row>
    <row r="924" spans="1:20" x14ac:dyDescent="0.25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</row>
    <row r="925" spans="1:20" x14ac:dyDescent="0.25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</row>
    <row r="926" spans="1:20" x14ac:dyDescent="0.25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</row>
    <row r="927" spans="1:20" x14ac:dyDescent="0.25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</row>
    <row r="928" spans="1:20" x14ac:dyDescent="0.25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</row>
    <row r="929" spans="1:20" x14ac:dyDescent="0.25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</row>
    <row r="930" spans="1:20" x14ac:dyDescent="0.25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</row>
    <row r="931" spans="1:20" x14ac:dyDescent="0.25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</row>
    <row r="932" spans="1:20" x14ac:dyDescent="0.25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</row>
    <row r="933" spans="1:20" x14ac:dyDescent="0.25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</row>
    <row r="934" spans="1:20" x14ac:dyDescent="0.25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</row>
    <row r="935" spans="1:20" x14ac:dyDescent="0.25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</row>
    <row r="936" spans="1:20" x14ac:dyDescent="0.25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</row>
    <row r="937" spans="1:20" x14ac:dyDescent="0.25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</row>
    <row r="938" spans="1:20" x14ac:dyDescent="0.25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</row>
    <row r="939" spans="1:20" x14ac:dyDescent="0.25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</row>
    <row r="940" spans="1:20" x14ac:dyDescent="0.25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</row>
    <row r="941" spans="1:20" x14ac:dyDescent="0.25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</row>
    <row r="942" spans="1:20" x14ac:dyDescent="0.25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</row>
    <row r="943" spans="1:20" x14ac:dyDescent="0.25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</row>
    <row r="944" spans="1:20" x14ac:dyDescent="0.25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</row>
    <row r="945" spans="1:20" x14ac:dyDescent="0.25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</row>
    <row r="946" spans="1:20" x14ac:dyDescent="0.25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</row>
    <row r="947" spans="1:20" x14ac:dyDescent="0.25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</row>
    <row r="948" spans="1:20" x14ac:dyDescent="0.25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</row>
    <row r="949" spans="1:20" x14ac:dyDescent="0.25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</row>
    <row r="950" spans="1:20" x14ac:dyDescent="0.25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</row>
    <row r="951" spans="1:20" x14ac:dyDescent="0.25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</row>
    <row r="952" spans="1:20" x14ac:dyDescent="0.25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</row>
    <row r="953" spans="1:20" x14ac:dyDescent="0.25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</row>
    <row r="954" spans="1:20" x14ac:dyDescent="0.25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</row>
    <row r="955" spans="1:20" x14ac:dyDescent="0.25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</row>
    <row r="956" spans="1:20" x14ac:dyDescent="0.25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</row>
    <row r="957" spans="1:20" x14ac:dyDescent="0.25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</row>
    <row r="958" spans="1:20" x14ac:dyDescent="0.25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</row>
    <row r="959" spans="1:20" x14ac:dyDescent="0.25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</row>
    <row r="960" spans="1:20" x14ac:dyDescent="0.25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</row>
    <row r="961" spans="1:20" x14ac:dyDescent="0.25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</row>
    <row r="962" spans="1:20" x14ac:dyDescent="0.25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</row>
    <row r="963" spans="1:20" x14ac:dyDescent="0.25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</row>
    <row r="964" spans="1:20" x14ac:dyDescent="0.25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</row>
    <row r="965" spans="1:20" x14ac:dyDescent="0.25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</row>
    <row r="966" spans="1:20" x14ac:dyDescent="0.25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</row>
    <row r="967" spans="1:20" x14ac:dyDescent="0.25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</row>
    <row r="968" spans="1:20" x14ac:dyDescent="0.25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</row>
    <row r="969" spans="1:20" x14ac:dyDescent="0.25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</row>
    <row r="970" spans="1:20" x14ac:dyDescent="0.25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</row>
    <row r="971" spans="1:20" x14ac:dyDescent="0.25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</row>
    <row r="972" spans="1:20" x14ac:dyDescent="0.25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</row>
    <row r="973" spans="1:20" x14ac:dyDescent="0.25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</row>
    <row r="974" spans="1:20" x14ac:dyDescent="0.25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</row>
    <row r="975" spans="1:20" x14ac:dyDescent="0.25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</row>
    <row r="976" spans="1:20" x14ac:dyDescent="0.25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</row>
    <row r="977" spans="1:20" x14ac:dyDescent="0.25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</row>
    <row r="978" spans="1:20" x14ac:dyDescent="0.25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</row>
    <row r="979" spans="1:20" x14ac:dyDescent="0.25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</row>
    <row r="980" spans="1:20" x14ac:dyDescent="0.25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</row>
    <row r="981" spans="1:20" x14ac:dyDescent="0.25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</row>
    <row r="982" spans="1:20" x14ac:dyDescent="0.25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</row>
    <row r="983" spans="1:20" x14ac:dyDescent="0.25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</row>
    <row r="984" spans="1:20" x14ac:dyDescent="0.25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</row>
    <row r="985" spans="1:20" x14ac:dyDescent="0.25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</row>
    <row r="986" spans="1:20" x14ac:dyDescent="0.25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</row>
    <row r="987" spans="1:20" x14ac:dyDescent="0.25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</row>
    <row r="988" spans="1:20" x14ac:dyDescent="0.25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</row>
    <row r="989" spans="1:20" x14ac:dyDescent="0.25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</row>
    <row r="990" spans="1:20" x14ac:dyDescent="0.25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</row>
    <row r="991" spans="1:20" x14ac:dyDescent="0.25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</row>
    <row r="992" spans="1:20" x14ac:dyDescent="0.25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</row>
    <row r="993" spans="1:20" x14ac:dyDescent="0.25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</row>
    <row r="994" spans="1:20" x14ac:dyDescent="0.25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</row>
    <row r="995" spans="1:20" x14ac:dyDescent="0.25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</row>
    <row r="996" spans="1:20" x14ac:dyDescent="0.25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</row>
    <row r="997" spans="1:20" x14ac:dyDescent="0.25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</row>
    <row r="998" spans="1:20" x14ac:dyDescent="0.25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</row>
    <row r="999" spans="1:20" x14ac:dyDescent="0.25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</row>
    <row r="1000" spans="1:20" x14ac:dyDescent="0.25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</row>
    <row r="1001" spans="1:20" x14ac:dyDescent="0.25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</row>
    <row r="1002" spans="1:20" x14ac:dyDescent="0.25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</row>
    <row r="1003" spans="1:20" x14ac:dyDescent="0.25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</row>
    <row r="1004" spans="1:20" x14ac:dyDescent="0.25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</row>
    <row r="1005" spans="1:20" x14ac:dyDescent="0.25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</row>
    <row r="1006" spans="1:20" x14ac:dyDescent="0.25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</row>
    <row r="1007" spans="1:20" x14ac:dyDescent="0.25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</row>
    <row r="1008" spans="1:20" x14ac:dyDescent="0.25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</row>
    <row r="1009" spans="1:20" x14ac:dyDescent="0.25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</row>
    <row r="1010" spans="1:20" x14ac:dyDescent="0.25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</row>
    <row r="1011" spans="1:20" x14ac:dyDescent="0.25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</row>
    <row r="1012" spans="1:20" x14ac:dyDescent="0.25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</row>
    <row r="1013" spans="1:20" x14ac:dyDescent="0.25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</row>
    <row r="1014" spans="1:20" x14ac:dyDescent="0.25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</row>
    <row r="1015" spans="1:20" x14ac:dyDescent="0.25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</row>
    <row r="1016" spans="1:20" x14ac:dyDescent="0.25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</row>
    <row r="1017" spans="1:20" x14ac:dyDescent="0.25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</row>
    <row r="1018" spans="1:20" x14ac:dyDescent="0.25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</row>
    <row r="1019" spans="1:20" x14ac:dyDescent="0.25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</row>
    <row r="1020" spans="1:20" x14ac:dyDescent="0.25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</row>
    <row r="1021" spans="1:20" x14ac:dyDescent="0.25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</row>
    <row r="1022" spans="1:20" x14ac:dyDescent="0.25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</row>
    <row r="1023" spans="1:20" x14ac:dyDescent="0.25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</row>
    <row r="1024" spans="1:20" x14ac:dyDescent="0.25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</row>
    <row r="1025" spans="1:20" x14ac:dyDescent="0.25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</row>
    <row r="1026" spans="1:20" x14ac:dyDescent="0.25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</row>
    <row r="1027" spans="1:20" x14ac:dyDescent="0.25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</row>
    <row r="1028" spans="1:20" x14ac:dyDescent="0.25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</row>
    <row r="1029" spans="1:20" x14ac:dyDescent="0.25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</row>
    <row r="1030" spans="1:20" x14ac:dyDescent="0.25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</row>
    <row r="1031" spans="1:20" x14ac:dyDescent="0.25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</row>
    <row r="1032" spans="1:20" x14ac:dyDescent="0.25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</row>
    <row r="1033" spans="1:20" x14ac:dyDescent="0.25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</row>
    <row r="1034" spans="1:20" x14ac:dyDescent="0.25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</row>
    <row r="1035" spans="1:20" x14ac:dyDescent="0.25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</row>
    <row r="1036" spans="1:20" x14ac:dyDescent="0.25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</row>
    <row r="1037" spans="1:20" x14ac:dyDescent="0.25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</row>
    <row r="1038" spans="1:20" x14ac:dyDescent="0.25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</row>
    <row r="1039" spans="1:20" x14ac:dyDescent="0.25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</row>
    <row r="1040" spans="1:20" x14ac:dyDescent="0.25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</row>
    <row r="1041" spans="1:20" x14ac:dyDescent="0.25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</row>
    <row r="1042" spans="1:20" x14ac:dyDescent="0.25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21" r:id="rId3" name="TextBox1">
          <controlPr defaultSize="0" autoLine="0" autoPict="0" r:id="rId4">
            <anchor moveWithCells="1">
              <from>
                <xdr:col>0</xdr:col>
                <xdr:colOff>0</xdr:colOff>
                <xdr:row>5</xdr:row>
                <xdr:rowOff>247650</xdr:rowOff>
              </from>
              <to>
                <xdr:col>3</xdr:col>
                <xdr:colOff>0</xdr:colOff>
                <xdr:row>7</xdr:row>
                <xdr:rowOff>28575</xdr:rowOff>
              </to>
            </anchor>
          </controlPr>
        </control>
      </mc:Choice>
      <mc:Fallback>
        <control shapeId="9221" r:id="rId3" name="TextBox1"/>
      </mc:Fallback>
    </mc:AlternateContent>
    <mc:AlternateContent xmlns:mc="http://schemas.openxmlformats.org/markup-compatibility/2006">
      <mc:Choice Requires="x14">
        <control shapeId="9218" r:id="rId5" name="Button 2">
          <controlPr defaultSize="0" print="0" autoFill="0" autoPict="0" macro="[0]!AÑO2016GUARDAR">
            <anchor moveWithCells="1" sizeWithCells="1">
              <from>
                <xdr:col>4</xdr:col>
                <xdr:colOff>9525</xdr:colOff>
                <xdr:row>7</xdr:row>
                <xdr:rowOff>9525</xdr:rowOff>
              </from>
              <to>
                <xdr:col>5</xdr:col>
                <xdr:colOff>0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6" name="Button 3">
          <controlPr defaultSize="0" print="0" autoFill="0" autoPict="0" macro="[0]!_xlnm.Database">
            <anchor moveWithCells="1" sizeWithCells="1">
              <from>
                <xdr:col>5</xdr:col>
                <xdr:colOff>0</xdr:colOff>
                <xdr:row>7</xdr:row>
                <xdr:rowOff>9525</xdr:rowOff>
              </from>
              <to>
                <xdr:col>5</xdr:col>
                <xdr:colOff>1590675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0" r:id="rId7" name="Button 4">
          <controlPr defaultSize="0" print="0" autoFill="0" autoPict="0" macro="[0]!MENU">
            <anchor moveWithCells="1" sizeWithCells="1">
              <from>
                <xdr:col>6</xdr:col>
                <xdr:colOff>0</xdr:colOff>
                <xdr:row>7</xdr:row>
                <xdr:rowOff>9525</xdr:rowOff>
              </from>
              <to>
                <xdr:col>7</xdr:col>
                <xdr:colOff>19050</xdr:colOff>
                <xdr:row>9</xdr:row>
                <xdr:rowOff>9525</xdr:rowOff>
              </to>
            </anchor>
          </controlPr>
        </control>
      </mc:Choice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38384-7029-4E84-B4F3-D88C683202D1}">
  <sheetPr codeName="Hoja5">
    <tabColor rgb="FFFFC000"/>
  </sheetPr>
  <dimension ref="A5:G14"/>
  <sheetViews>
    <sheetView workbookViewId="0">
      <selection activeCell="C25" sqref="C25"/>
    </sheetView>
  </sheetViews>
  <sheetFormatPr baseColWidth="10" defaultRowHeight="15" x14ac:dyDescent="0.25"/>
  <cols>
    <col min="1" max="1" width="37.5703125" style="91" customWidth="1"/>
    <col min="2" max="2" width="21.140625" style="91" customWidth="1"/>
    <col min="3" max="3" width="16.85546875" style="91" customWidth="1"/>
    <col min="4" max="4" width="5.85546875" style="91" customWidth="1"/>
    <col min="5" max="5" width="36.140625" style="91" customWidth="1"/>
    <col min="6" max="6" width="24.140625" style="91" customWidth="1"/>
    <col min="7" max="16384" width="11.42578125" style="91"/>
  </cols>
  <sheetData>
    <row r="5" spans="1:7" ht="15.75" thickBot="1" x14ac:dyDescent="0.3"/>
    <row r="6" spans="1:7" ht="27" thickBot="1" x14ac:dyDescent="0.45">
      <c r="E6" s="92" t="s">
        <v>3</v>
      </c>
      <c r="F6" s="93" t="s">
        <v>1</v>
      </c>
      <c r="G6" s="94" t="s">
        <v>2</v>
      </c>
    </row>
    <row r="7" spans="1:7" ht="19.5" thickBot="1" x14ac:dyDescent="0.35">
      <c r="E7" s="25"/>
      <c r="F7" s="24" t="s">
        <v>16</v>
      </c>
      <c r="G7" s="57" t="s">
        <v>120</v>
      </c>
    </row>
    <row r="10" spans="1:7" ht="15.75" thickBot="1" x14ac:dyDescent="0.3"/>
    <row r="11" spans="1:7" ht="19.5" thickBot="1" x14ac:dyDescent="0.35">
      <c r="A11" s="95" t="s">
        <v>4</v>
      </c>
      <c r="B11" s="96" t="s">
        <v>1</v>
      </c>
      <c r="C11" s="36" t="s">
        <v>2</v>
      </c>
    </row>
    <row r="12" spans="1:7" ht="19.5" thickBot="1" x14ac:dyDescent="0.35">
      <c r="A12" s="25" t="s">
        <v>1458</v>
      </c>
      <c r="B12" s="24" t="s">
        <v>16</v>
      </c>
      <c r="C12" s="57" t="s">
        <v>119</v>
      </c>
    </row>
    <row r="13" spans="1:7" ht="19.5" thickBot="1" x14ac:dyDescent="0.35">
      <c r="A13" s="23" t="s">
        <v>15</v>
      </c>
      <c r="B13" s="24" t="s">
        <v>16</v>
      </c>
      <c r="C13" s="22" t="s">
        <v>118</v>
      </c>
    </row>
    <row r="14" spans="1:7" ht="19.5" thickBot="1" x14ac:dyDescent="0.35">
      <c r="A14" s="24" t="s">
        <v>9</v>
      </c>
      <c r="B14" s="24"/>
      <c r="C14" s="24">
        <f>SUBTOTAL(103,AÑO2017[FICHA])</f>
        <v>2</v>
      </c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TextBox1">
          <controlPr defaultSize="0" autoLine="0" autoPict="0" r:id="rId4">
            <anchor moveWithCells="1">
              <from>
                <xdr:col>0</xdr:col>
                <xdr:colOff>0</xdr:colOff>
                <xdr:row>5</xdr:row>
                <xdr:rowOff>114300</xdr:rowOff>
              </from>
              <to>
                <xdr:col>2</xdr:col>
                <xdr:colOff>1104900</xdr:colOff>
                <xdr:row>6</xdr:row>
                <xdr:rowOff>142875</xdr:rowOff>
              </to>
            </anchor>
          </controlPr>
        </control>
      </mc:Choice>
      <mc:Fallback>
        <control shapeId="11265" r:id="rId3" name="TextBox1"/>
      </mc:Fallback>
    </mc:AlternateContent>
    <mc:AlternateContent xmlns:mc="http://schemas.openxmlformats.org/markup-compatibility/2006">
      <mc:Choice Requires="x14">
        <control shapeId="11266" r:id="rId5" name="Button 2">
          <controlPr defaultSize="0" print="0" autoFill="0" autoPict="0" macro="[0]!AÑO2017GUARDAR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5</xdr:col>
                <xdr:colOff>0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7" r:id="rId6" name="Button 3">
          <controlPr defaultSize="0" print="0" autoFill="0" autoPict="0" macro="[0]!_xlnm.Database">
            <anchor moveWithCells="1" sizeWithCells="1">
              <from>
                <xdr:col>4</xdr:col>
                <xdr:colOff>2409825</xdr:colOff>
                <xdr:row>7</xdr:row>
                <xdr:rowOff>9525</xdr:rowOff>
              </from>
              <to>
                <xdr:col>5</xdr:col>
                <xdr:colOff>1590675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8" r:id="rId7" name="Button 4">
          <controlPr defaultSize="0" print="0" autoFill="0" autoPict="0" macro="[0]!MENU">
            <anchor moveWithCells="1" sizeWithCells="1">
              <from>
                <xdr:col>5</xdr:col>
                <xdr:colOff>1600200</xdr:colOff>
                <xdr:row>7</xdr:row>
                <xdr:rowOff>19050</xdr:rowOff>
              </from>
              <to>
                <xdr:col>7</xdr:col>
                <xdr:colOff>19050</xdr:colOff>
                <xdr:row>9</xdr:row>
                <xdr:rowOff>9525</xdr:rowOff>
              </to>
            </anchor>
          </controlPr>
        </control>
      </mc:Choice>
    </mc:AlternateContent>
  </controls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B1D71-3955-4E5B-A062-D46A1D7FFC93}">
  <sheetPr codeName="Hoja7">
    <tabColor rgb="FFFFFF00"/>
  </sheetPr>
  <dimension ref="A5:G18"/>
  <sheetViews>
    <sheetView workbookViewId="0">
      <selection activeCell="E27" sqref="E27"/>
    </sheetView>
  </sheetViews>
  <sheetFormatPr baseColWidth="10" defaultRowHeight="15" x14ac:dyDescent="0.25"/>
  <cols>
    <col min="1" max="1" width="46.140625" style="98" customWidth="1"/>
    <col min="2" max="2" width="21.85546875" style="98" customWidth="1"/>
    <col min="3" max="3" width="12" style="98" customWidth="1"/>
    <col min="4" max="4" width="4.5703125" style="98" customWidth="1"/>
    <col min="5" max="5" width="36" style="98" customWidth="1"/>
    <col min="6" max="6" width="24.5703125" style="98" customWidth="1"/>
    <col min="7" max="16384" width="11.42578125" style="98"/>
  </cols>
  <sheetData>
    <row r="5" spans="1:7" ht="15.75" thickBot="1" x14ac:dyDescent="0.3"/>
    <row r="6" spans="1:7" ht="27" thickBot="1" x14ac:dyDescent="0.45">
      <c r="E6" s="99" t="s">
        <v>3</v>
      </c>
      <c r="F6" s="100" t="s">
        <v>1</v>
      </c>
      <c r="G6" s="101" t="s">
        <v>2</v>
      </c>
    </row>
    <row r="7" spans="1:7" ht="19.5" thickBot="1" x14ac:dyDescent="0.35">
      <c r="E7" s="25"/>
      <c r="F7" s="24" t="s">
        <v>18</v>
      </c>
      <c r="G7" s="57" t="s">
        <v>125</v>
      </c>
    </row>
    <row r="9" spans="1:7" ht="15.75" thickBot="1" x14ac:dyDescent="0.3"/>
    <row r="10" spans="1:7" ht="19.5" thickBot="1" x14ac:dyDescent="0.35">
      <c r="A10" s="102" t="s">
        <v>4</v>
      </c>
      <c r="B10" s="102" t="s">
        <v>1</v>
      </c>
      <c r="C10" s="31" t="s">
        <v>2</v>
      </c>
    </row>
    <row r="11" spans="1:7" ht="19.5" thickBot="1" x14ac:dyDescent="0.35">
      <c r="A11" s="23" t="s">
        <v>20</v>
      </c>
      <c r="B11" s="24" t="s">
        <v>18</v>
      </c>
      <c r="C11" s="26" t="s">
        <v>118</v>
      </c>
    </row>
    <row r="12" spans="1:7" ht="19.5" thickBot="1" x14ac:dyDescent="0.35">
      <c r="A12" s="23" t="s">
        <v>22</v>
      </c>
      <c r="B12" s="24" t="s">
        <v>18</v>
      </c>
      <c r="C12" s="26" t="s">
        <v>119</v>
      </c>
    </row>
    <row r="13" spans="1:7" ht="19.5" thickBot="1" x14ac:dyDescent="0.35">
      <c r="A13" s="23" t="s">
        <v>17</v>
      </c>
      <c r="B13" s="24" t="s">
        <v>18</v>
      </c>
      <c r="C13" s="26" t="s">
        <v>120</v>
      </c>
    </row>
    <row r="14" spans="1:7" ht="19.5" thickBot="1" x14ac:dyDescent="0.35">
      <c r="A14" s="23" t="s">
        <v>19</v>
      </c>
      <c r="B14" s="24" t="s">
        <v>18</v>
      </c>
      <c r="C14" s="26" t="s">
        <v>121</v>
      </c>
    </row>
    <row r="15" spans="1:7" ht="19.5" thickBot="1" x14ac:dyDescent="0.35">
      <c r="A15" s="23" t="s">
        <v>24</v>
      </c>
      <c r="B15" s="24" t="s">
        <v>18</v>
      </c>
      <c r="C15" s="26" t="s">
        <v>122</v>
      </c>
    </row>
    <row r="16" spans="1:7" ht="19.5" thickBot="1" x14ac:dyDescent="0.35">
      <c r="A16" s="23" t="s">
        <v>23</v>
      </c>
      <c r="B16" s="24" t="s">
        <v>18</v>
      </c>
      <c r="C16" s="26" t="s">
        <v>123</v>
      </c>
    </row>
    <row r="17" spans="1:3" ht="19.5" thickBot="1" x14ac:dyDescent="0.35">
      <c r="A17" s="27" t="s">
        <v>21</v>
      </c>
      <c r="B17" s="24" t="s">
        <v>18</v>
      </c>
      <c r="C17" s="26" t="s">
        <v>124</v>
      </c>
    </row>
    <row r="18" spans="1:3" ht="19.5" thickBot="1" x14ac:dyDescent="0.35">
      <c r="A18" s="24" t="s">
        <v>356</v>
      </c>
      <c r="B18" s="24"/>
      <c r="C18" s="22">
        <f>SUBTOTAL(103,TABLAÑO2018[FICHA])</f>
        <v>7</v>
      </c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TextBox1">
          <controlPr defaultSize="0" autoLine="0" r:id="rId4">
            <anchor moveWithCells="1">
              <from>
                <xdr:col>0</xdr:col>
                <xdr:colOff>0</xdr:colOff>
                <xdr:row>4</xdr:row>
                <xdr:rowOff>180975</xdr:rowOff>
              </from>
              <to>
                <xdr:col>3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3313" r:id="rId3" name="TextBox1"/>
      </mc:Fallback>
    </mc:AlternateContent>
    <mc:AlternateContent xmlns:mc="http://schemas.openxmlformats.org/markup-compatibility/2006">
      <mc:Choice Requires="x14">
        <control shapeId="13314" r:id="rId5" name="Button 2">
          <controlPr defaultSize="0" print="0" autoFill="0" autoPict="0" macro="[0]!AÑO2018GUARDAR">
            <anchor moveWithCells="1" sizeWithCells="1">
              <from>
                <xdr:col>3</xdr:col>
                <xdr:colOff>304800</xdr:colOff>
                <xdr:row>7</xdr:row>
                <xdr:rowOff>19050</xdr:rowOff>
              </from>
              <to>
                <xdr:col>4</xdr:col>
                <xdr:colOff>2371725</xdr:colOff>
                <xdr:row>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5" r:id="rId6" name="Button 3">
          <controlPr defaultSize="0" print="0" autoFill="0" autoPict="0" macro="[0]!_xlnm.Database">
            <anchor moveWithCells="1" sizeWithCells="1">
              <from>
                <xdr:col>4</xdr:col>
                <xdr:colOff>2381250</xdr:colOff>
                <xdr:row>7</xdr:row>
                <xdr:rowOff>19050</xdr:rowOff>
              </from>
              <to>
                <xdr:col>6</xdr:col>
                <xdr:colOff>0</xdr:colOff>
                <xdr:row>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6" r:id="rId7" name="Button 4">
          <controlPr defaultSize="0" print="0" autoFill="0" autoPict="0" macro="[0]!MENU">
            <anchor moveWithCells="1" sizeWithCells="1">
              <from>
                <xdr:col>5</xdr:col>
                <xdr:colOff>1638300</xdr:colOff>
                <xdr:row>7</xdr:row>
                <xdr:rowOff>9525</xdr:rowOff>
              </from>
              <to>
                <xdr:col>7</xdr:col>
                <xdr:colOff>9525</xdr:colOff>
                <xdr:row>9</xdr:row>
                <xdr:rowOff>38100</xdr:rowOff>
              </to>
            </anchor>
          </controlPr>
        </control>
      </mc:Choice>
    </mc:AlternateContent>
  </controls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2ABD4-34BE-4916-89CA-47134729263D}">
  <sheetPr codeName="Hoja8">
    <tabColor rgb="FF0000FF"/>
  </sheetPr>
  <dimension ref="A1:BA1222"/>
  <sheetViews>
    <sheetView workbookViewId="0">
      <selection activeCell="B21" sqref="B21"/>
    </sheetView>
  </sheetViews>
  <sheetFormatPr baseColWidth="10" defaultRowHeight="15" x14ac:dyDescent="0.25"/>
  <cols>
    <col min="1" max="1" width="45.42578125" customWidth="1"/>
    <col min="2" max="2" width="18.5703125" customWidth="1"/>
    <col min="3" max="3" width="12.28515625" customWidth="1"/>
    <col min="4" max="4" width="4.28515625" customWidth="1"/>
    <col min="5" max="5" width="35.5703125" customWidth="1"/>
    <col min="6" max="6" width="24.85546875" customWidth="1"/>
  </cols>
  <sheetData>
    <row r="1" spans="1:53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</row>
    <row r="2" spans="1:53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</row>
    <row r="3" spans="1:53" x14ac:dyDescent="0.25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</row>
    <row r="4" spans="1:53" x14ac:dyDescent="0.2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</row>
    <row r="5" spans="1:53" ht="15.75" thickBot="1" x14ac:dyDescent="0.3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</row>
    <row r="6" spans="1:53" ht="27" thickBot="1" x14ac:dyDescent="0.45">
      <c r="A6" s="10"/>
      <c r="B6" s="10"/>
      <c r="C6" s="10"/>
      <c r="D6" s="10"/>
      <c r="E6" s="52" t="s">
        <v>3</v>
      </c>
      <c r="F6" s="53" t="s">
        <v>1</v>
      </c>
      <c r="G6" s="51" t="s">
        <v>2</v>
      </c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</row>
    <row r="7" spans="1:53" ht="19.5" thickBot="1" x14ac:dyDescent="0.35">
      <c r="A7" s="10"/>
      <c r="B7" s="10"/>
      <c r="C7" s="10"/>
      <c r="D7" s="10"/>
      <c r="E7" s="25"/>
      <c r="F7" s="24" t="s">
        <v>26</v>
      </c>
      <c r="G7" s="60" t="s">
        <v>122</v>
      </c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</row>
    <row r="8" spans="1:53" x14ac:dyDescent="0.25">
      <c r="A8" s="10"/>
      <c r="B8" s="10"/>
      <c r="C8" s="10"/>
      <c r="D8" s="10"/>
      <c r="E8" s="9"/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</row>
    <row r="9" spans="1:53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</row>
    <row r="10" spans="1:53" ht="15.75" thickBot="1" x14ac:dyDescent="0.3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</row>
    <row r="11" spans="1:53" ht="19.5" thickBot="1" x14ac:dyDescent="0.35">
      <c r="A11" s="31" t="s">
        <v>4</v>
      </c>
      <c r="B11" s="31" t="s">
        <v>1</v>
      </c>
      <c r="C11" s="31" t="s">
        <v>2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</row>
    <row r="12" spans="1:53" ht="19.5" thickBot="1" x14ac:dyDescent="0.35">
      <c r="A12" s="23" t="s">
        <v>25</v>
      </c>
      <c r="B12" s="24" t="s">
        <v>26</v>
      </c>
      <c r="C12" s="24" t="s">
        <v>118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</row>
    <row r="13" spans="1:53" ht="19.5" thickBot="1" x14ac:dyDescent="0.35">
      <c r="A13" s="23" t="s">
        <v>27</v>
      </c>
      <c r="B13" s="24" t="s">
        <v>26</v>
      </c>
      <c r="C13" s="24" t="s">
        <v>119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</row>
    <row r="14" spans="1:53" ht="19.5" thickBot="1" x14ac:dyDescent="0.35">
      <c r="A14" s="23" t="s">
        <v>29</v>
      </c>
      <c r="B14" s="24" t="s">
        <v>26</v>
      </c>
      <c r="C14" s="24" t="s">
        <v>120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</row>
    <row r="15" spans="1:53" ht="19.5" thickBot="1" x14ac:dyDescent="0.35">
      <c r="A15" s="24" t="s">
        <v>28</v>
      </c>
      <c r="B15" s="28" t="s">
        <v>26</v>
      </c>
      <c r="C15" s="24" t="s">
        <v>121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</row>
    <row r="16" spans="1:53" ht="19.5" thickBot="1" x14ac:dyDescent="0.35">
      <c r="A16" s="24" t="s">
        <v>356</v>
      </c>
      <c r="B16" s="24"/>
      <c r="C16" s="22">
        <f>SUBTOTAL(103,TABLAAÑO2019[FICHA])</f>
        <v>4</v>
      </c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</row>
    <row r="17" spans="1:53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</row>
    <row r="18" spans="1:53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</row>
    <row r="19" spans="1:53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</row>
    <row r="20" spans="1:53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</row>
    <row r="21" spans="1:53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</row>
    <row r="22" spans="1:53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</row>
    <row r="23" spans="1:53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</row>
    <row r="24" spans="1:53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</row>
    <row r="25" spans="1:53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</row>
    <row r="26" spans="1:53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</row>
    <row r="27" spans="1:53" x14ac:dyDescent="0.25">
      <c r="A27" s="10"/>
      <c r="B27" s="103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</row>
    <row r="28" spans="1:53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</row>
    <row r="29" spans="1:53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</row>
    <row r="30" spans="1:53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</row>
    <row r="31" spans="1:53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</row>
    <row r="32" spans="1:53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</row>
    <row r="33" spans="1:53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</row>
    <row r="34" spans="1:53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</row>
    <row r="35" spans="1:53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</row>
    <row r="36" spans="1:53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</row>
    <row r="37" spans="1:53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</row>
    <row r="38" spans="1:53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</row>
    <row r="39" spans="1:53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</row>
    <row r="40" spans="1:53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</row>
    <row r="41" spans="1:53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</row>
    <row r="42" spans="1:53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</row>
    <row r="43" spans="1:53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</row>
    <row r="44" spans="1:53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</row>
    <row r="45" spans="1:53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</row>
    <row r="46" spans="1:53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</row>
    <row r="47" spans="1:53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</row>
    <row r="48" spans="1:53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</row>
    <row r="49" spans="1:53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</row>
    <row r="50" spans="1:53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</row>
    <row r="51" spans="1:53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</row>
    <row r="52" spans="1:53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</row>
    <row r="53" spans="1:53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</row>
    <row r="54" spans="1:53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</row>
    <row r="55" spans="1:53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</row>
    <row r="56" spans="1:53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</row>
    <row r="57" spans="1:53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</row>
    <row r="58" spans="1:53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</row>
    <row r="59" spans="1:53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</row>
    <row r="60" spans="1:53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</row>
    <row r="61" spans="1:53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</row>
    <row r="62" spans="1:53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</row>
    <row r="63" spans="1:53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</row>
    <row r="64" spans="1:53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</row>
    <row r="65" spans="1:53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</row>
    <row r="66" spans="1:53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</row>
    <row r="67" spans="1:53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</row>
    <row r="68" spans="1:53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</row>
    <row r="69" spans="1:53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</row>
    <row r="70" spans="1:53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</row>
    <row r="71" spans="1:53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</row>
    <row r="72" spans="1:53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</row>
    <row r="73" spans="1:53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</row>
    <row r="74" spans="1:53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</row>
    <row r="75" spans="1:53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</row>
    <row r="76" spans="1:53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</row>
    <row r="77" spans="1:53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</row>
    <row r="78" spans="1:53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</row>
    <row r="79" spans="1:53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</row>
    <row r="80" spans="1:53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</row>
    <row r="81" spans="1:53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</row>
    <row r="82" spans="1:53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</row>
    <row r="83" spans="1:53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</row>
    <row r="84" spans="1:53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</row>
    <row r="85" spans="1:53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</row>
    <row r="86" spans="1:53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</row>
    <row r="87" spans="1:53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</row>
    <row r="88" spans="1:53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</row>
    <row r="89" spans="1:53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</row>
    <row r="90" spans="1:53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</row>
    <row r="91" spans="1:53" x14ac:dyDescent="0.2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</row>
    <row r="92" spans="1:53" x14ac:dyDescent="0.2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</row>
    <row r="93" spans="1:53" x14ac:dyDescent="0.2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</row>
    <row r="94" spans="1:53" x14ac:dyDescent="0.2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</row>
    <row r="95" spans="1:53" x14ac:dyDescent="0.2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</row>
    <row r="96" spans="1:53" x14ac:dyDescent="0.2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</row>
    <row r="97" spans="1:53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</row>
    <row r="98" spans="1:53" x14ac:dyDescent="0.2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</row>
    <row r="99" spans="1:53" x14ac:dyDescent="0.2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</row>
    <row r="100" spans="1:53" x14ac:dyDescent="0.2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</row>
    <row r="101" spans="1:53" x14ac:dyDescent="0.2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</row>
    <row r="102" spans="1:53" x14ac:dyDescent="0.25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</row>
    <row r="103" spans="1:53" x14ac:dyDescent="0.2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</row>
    <row r="104" spans="1:53" x14ac:dyDescent="0.25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</row>
    <row r="105" spans="1:53" x14ac:dyDescent="0.2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</row>
    <row r="106" spans="1:53" x14ac:dyDescent="0.25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</row>
    <row r="107" spans="1:53" x14ac:dyDescent="0.25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</row>
    <row r="108" spans="1:53" x14ac:dyDescent="0.25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</row>
    <row r="109" spans="1:53" x14ac:dyDescent="0.25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</row>
    <row r="110" spans="1:53" x14ac:dyDescent="0.25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</row>
    <row r="111" spans="1:53" x14ac:dyDescent="0.25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</row>
    <row r="112" spans="1:53" x14ac:dyDescent="0.25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</row>
    <row r="113" spans="1:53" x14ac:dyDescent="0.25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</row>
    <row r="114" spans="1:53" x14ac:dyDescent="0.25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</row>
    <row r="115" spans="1:53" x14ac:dyDescent="0.2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</row>
    <row r="116" spans="1:53" x14ac:dyDescent="0.25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</row>
    <row r="117" spans="1:53" x14ac:dyDescent="0.25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</row>
    <row r="118" spans="1:53" x14ac:dyDescent="0.25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</row>
    <row r="119" spans="1:53" x14ac:dyDescent="0.25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</row>
    <row r="120" spans="1:53" x14ac:dyDescent="0.25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</row>
    <row r="121" spans="1:53" x14ac:dyDescent="0.25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</row>
    <row r="122" spans="1:53" x14ac:dyDescent="0.25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</row>
    <row r="123" spans="1:53" x14ac:dyDescent="0.25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</row>
    <row r="124" spans="1:53" x14ac:dyDescent="0.25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</row>
    <row r="125" spans="1:53" x14ac:dyDescent="0.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</row>
    <row r="126" spans="1:53" x14ac:dyDescent="0.25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</row>
    <row r="127" spans="1:53" x14ac:dyDescent="0.25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</row>
    <row r="128" spans="1:53" x14ac:dyDescent="0.25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</row>
    <row r="129" spans="1:53" x14ac:dyDescent="0.25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</row>
    <row r="130" spans="1:53" x14ac:dyDescent="0.25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</row>
    <row r="131" spans="1:53" x14ac:dyDescent="0.25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</row>
    <row r="132" spans="1:53" x14ac:dyDescent="0.25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</row>
    <row r="133" spans="1:53" x14ac:dyDescent="0.25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</row>
    <row r="134" spans="1:53" x14ac:dyDescent="0.25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</row>
    <row r="135" spans="1:53" x14ac:dyDescent="0.2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</row>
    <row r="136" spans="1:53" x14ac:dyDescent="0.25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</row>
    <row r="137" spans="1:53" x14ac:dyDescent="0.25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</row>
    <row r="138" spans="1:53" x14ac:dyDescent="0.25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</row>
    <row r="139" spans="1:53" x14ac:dyDescent="0.25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</row>
    <row r="140" spans="1:53" x14ac:dyDescent="0.25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  <c r="AY140" s="10"/>
      <c r="AZ140" s="10"/>
      <c r="BA140" s="10"/>
    </row>
    <row r="141" spans="1:53" x14ac:dyDescent="0.25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  <c r="AY141" s="10"/>
      <c r="AZ141" s="10"/>
      <c r="BA141" s="10"/>
    </row>
    <row r="142" spans="1:53" x14ac:dyDescent="0.25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AU142" s="10"/>
      <c r="AV142" s="10"/>
      <c r="AW142" s="10"/>
      <c r="AX142" s="10"/>
      <c r="AY142" s="10"/>
      <c r="AZ142" s="10"/>
      <c r="BA142" s="10"/>
    </row>
    <row r="143" spans="1:53" x14ac:dyDescent="0.25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  <c r="AY143" s="10"/>
      <c r="AZ143" s="10"/>
      <c r="BA143" s="10"/>
    </row>
    <row r="144" spans="1:53" x14ac:dyDescent="0.25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  <c r="AY144" s="10"/>
      <c r="AZ144" s="10"/>
      <c r="BA144" s="10"/>
    </row>
    <row r="145" spans="1:53" x14ac:dyDescent="0.2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  <c r="AY145" s="10"/>
      <c r="AZ145" s="10"/>
      <c r="BA145" s="10"/>
    </row>
    <row r="146" spans="1:53" x14ac:dyDescent="0.25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  <c r="AY146" s="10"/>
      <c r="AZ146" s="10"/>
      <c r="BA146" s="10"/>
    </row>
    <row r="147" spans="1:53" x14ac:dyDescent="0.25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/>
      <c r="AU147" s="10"/>
      <c r="AV147" s="10"/>
      <c r="AW147" s="10"/>
      <c r="AX147" s="10"/>
      <c r="AY147" s="10"/>
      <c r="AZ147" s="10"/>
      <c r="BA147" s="10"/>
    </row>
    <row r="148" spans="1:53" x14ac:dyDescent="0.25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10"/>
      <c r="AU148" s="10"/>
      <c r="AV148" s="10"/>
      <c r="AW148" s="10"/>
      <c r="AX148" s="10"/>
      <c r="AY148" s="10"/>
      <c r="AZ148" s="10"/>
      <c r="BA148" s="10"/>
    </row>
    <row r="149" spans="1:53" x14ac:dyDescent="0.25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  <c r="AY149" s="10"/>
      <c r="AZ149" s="10"/>
      <c r="BA149" s="10"/>
    </row>
    <row r="150" spans="1:53" x14ac:dyDescent="0.25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  <c r="AT150" s="10"/>
      <c r="AU150" s="10"/>
      <c r="AV150" s="10"/>
      <c r="AW150" s="10"/>
      <c r="AX150" s="10"/>
      <c r="AY150" s="10"/>
      <c r="AZ150" s="10"/>
      <c r="BA150" s="10"/>
    </row>
    <row r="151" spans="1:53" x14ac:dyDescent="0.25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  <c r="AY151" s="10"/>
      <c r="AZ151" s="10"/>
      <c r="BA151" s="10"/>
    </row>
    <row r="152" spans="1:53" x14ac:dyDescent="0.25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  <c r="AY152" s="10"/>
      <c r="AZ152" s="10"/>
      <c r="BA152" s="10"/>
    </row>
    <row r="153" spans="1:53" x14ac:dyDescent="0.25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  <c r="AY153" s="10"/>
      <c r="AZ153" s="10"/>
      <c r="BA153" s="10"/>
    </row>
    <row r="154" spans="1:53" x14ac:dyDescent="0.25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  <c r="AY154" s="10"/>
      <c r="AZ154" s="10"/>
      <c r="BA154" s="10"/>
    </row>
    <row r="155" spans="1:53" x14ac:dyDescent="0.2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  <c r="AY155" s="10"/>
      <c r="AZ155" s="10"/>
      <c r="BA155" s="10"/>
    </row>
    <row r="156" spans="1:53" x14ac:dyDescent="0.25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  <c r="AY156" s="10"/>
      <c r="AZ156" s="10"/>
      <c r="BA156" s="10"/>
    </row>
    <row r="157" spans="1:53" x14ac:dyDescent="0.2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  <c r="AU157" s="10"/>
      <c r="AV157" s="10"/>
      <c r="AW157" s="10"/>
      <c r="AX157" s="10"/>
      <c r="AY157" s="10"/>
      <c r="AZ157" s="10"/>
      <c r="BA157" s="10"/>
    </row>
    <row r="158" spans="1:53" x14ac:dyDescent="0.25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  <c r="AU158" s="10"/>
      <c r="AV158" s="10"/>
      <c r="AW158" s="10"/>
      <c r="AX158" s="10"/>
      <c r="AY158" s="10"/>
      <c r="AZ158" s="10"/>
      <c r="BA158" s="10"/>
    </row>
    <row r="159" spans="1:53" x14ac:dyDescent="0.25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AU159" s="10"/>
      <c r="AV159" s="10"/>
      <c r="AW159" s="10"/>
      <c r="AX159" s="10"/>
      <c r="AY159" s="10"/>
      <c r="AZ159" s="10"/>
      <c r="BA159" s="10"/>
    </row>
    <row r="160" spans="1:53" x14ac:dyDescent="0.25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AU160" s="10"/>
      <c r="AV160" s="10"/>
      <c r="AW160" s="10"/>
      <c r="AX160" s="10"/>
      <c r="AY160" s="10"/>
      <c r="AZ160" s="10"/>
      <c r="BA160" s="10"/>
    </row>
    <row r="161" spans="1:53" x14ac:dyDescent="0.25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  <c r="AY161" s="10"/>
      <c r="AZ161" s="10"/>
      <c r="BA161" s="10"/>
    </row>
    <row r="162" spans="1:53" x14ac:dyDescent="0.25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  <c r="AY162" s="10"/>
      <c r="AZ162" s="10"/>
      <c r="BA162" s="10"/>
    </row>
    <row r="163" spans="1:53" x14ac:dyDescent="0.25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  <c r="AY163" s="10"/>
      <c r="AZ163" s="10"/>
      <c r="BA163" s="10"/>
    </row>
    <row r="164" spans="1:53" x14ac:dyDescent="0.25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  <c r="AY164" s="10"/>
      <c r="AZ164" s="10"/>
      <c r="BA164" s="10"/>
    </row>
    <row r="165" spans="1:53" x14ac:dyDescent="0.2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  <c r="AY165" s="10"/>
      <c r="AZ165" s="10"/>
      <c r="BA165" s="10"/>
    </row>
    <row r="166" spans="1:53" x14ac:dyDescent="0.25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  <c r="AY166" s="10"/>
      <c r="AZ166" s="10"/>
      <c r="BA166" s="10"/>
    </row>
    <row r="167" spans="1:53" x14ac:dyDescent="0.25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  <c r="AY167" s="10"/>
      <c r="AZ167" s="10"/>
      <c r="BA167" s="10"/>
    </row>
    <row r="168" spans="1:53" x14ac:dyDescent="0.25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  <c r="AY168" s="10"/>
      <c r="AZ168" s="10"/>
      <c r="BA168" s="10"/>
    </row>
    <row r="169" spans="1:53" x14ac:dyDescent="0.25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  <c r="AY169" s="10"/>
      <c r="AZ169" s="10"/>
      <c r="BA169" s="10"/>
    </row>
    <row r="170" spans="1:53" x14ac:dyDescent="0.25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  <c r="AY170" s="10"/>
      <c r="AZ170" s="10"/>
      <c r="BA170" s="10"/>
    </row>
    <row r="171" spans="1:53" x14ac:dyDescent="0.25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  <c r="AU171" s="10"/>
      <c r="AV171" s="10"/>
      <c r="AW171" s="10"/>
      <c r="AX171" s="10"/>
      <c r="AY171" s="10"/>
      <c r="AZ171" s="10"/>
      <c r="BA171" s="10"/>
    </row>
    <row r="172" spans="1:53" x14ac:dyDescent="0.25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  <c r="AY172" s="10"/>
      <c r="AZ172" s="10"/>
      <c r="BA172" s="10"/>
    </row>
    <row r="173" spans="1:53" x14ac:dyDescent="0.25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  <c r="AY173" s="10"/>
      <c r="AZ173" s="10"/>
      <c r="BA173" s="10"/>
    </row>
    <row r="174" spans="1:53" x14ac:dyDescent="0.25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  <c r="AY174" s="10"/>
      <c r="AZ174" s="10"/>
      <c r="BA174" s="10"/>
    </row>
    <row r="175" spans="1:53" x14ac:dyDescent="0.2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  <c r="AU175" s="10"/>
      <c r="AV175" s="10"/>
      <c r="AW175" s="10"/>
      <c r="AX175" s="10"/>
      <c r="AY175" s="10"/>
      <c r="AZ175" s="10"/>
      <c r="BA175" s="10"/>
    </row>
    <row r="176" spans="1:53" x14ac:dyDescent="0.25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  <c r="AY176" s="10"/>
      <c r="AZ176" s="10"/>
      <c r="BA176" s="10"/>
    </row>
    <row r="177" spans="1:53" x14ac:dyDescent="0.25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10"/>
      <c r="AV177" s="10"/>
      <c r="AW177" s="10"/>
      <c r="AX177" s="10"/>
      <c r="AY177" s="10"/>
      <c r="AZ177" s="10"/>
      <c r="BA177" s="10"/>
    </row>
    <row r="178" spans="1:53" x14ac:dyDescent="0.25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  <c r="AU178" s="10"/>
      <c r="AV178" s="10"/>
      <c r="AW178" s="10"/>
      <c r="AX178" s="10"/>
      <c r="AY178" s="10"/>
      <c r="AZ178" s="10"/>
      <c r="BA178" s="10"/>
    </row>
    <row r="179" spans="1:53" x14ac:dyDescent="0.25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10"/>
      <c r="AV179" s="10"/>
      <c r="AW179" s="10"/>
      <c r="AX179" s="10"/>
      <c r="AY179" s="10"/>
      <c r="AZ179" s="10"/>
      <c r="BA179" s="10"/>
    </row>
    <row r="180" spans="1:53" x14ac:dyDescent="0.25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  <c r="AU180" s="10"/>
      <c r="AV180" s="10"/>
      <c r="AW180" s="10"/>
      <c r="AX180" s="10"/>
      <c r="AY180" s="10"/>
      <c r="AZ180" s="10"/>
      <c r="BA180" s="10"/>
    </row>
    <row r="181" spans="1:53" x14ac:dyDescent="0.25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  <c r="AU181" s="10"/>
      <c r="AV181" s="10"/>
      <c r="AW181" s="10"/>
      <c r="AX181" s="10"/>
      <c r="AY181" s="10"/>
      <c r="AZ181" s="10"/>
      <c r="BA181" s="10"/>
    </row>
    <row r="182" spans="1:53" x14ac:dyDescent="0.25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  <c r="AU182" s="10"/>
      <c r="AV182" s="10"/>
      <c r="AW182" s="10"/>
      <c r="AX182" s="10"/>
      <c r="AY182" s="10"/>
      <c r="AZ182" s="10"/>
      <c r="BA182" s="10"/>
    </row>
    <row r="183" spans="1:53" x14ac:dyDescent="0.25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  <c r="AU183" s="10"/>
      <c r="AV183" s="10"/>
      <c r="AW183" s="10"/>
      <c r="AX183" s="10"/>
      <c r="AY183" s="10"/>
      <c r="AZ183" s="10"/>
      <c r="BA183" s="10"/>
    </row>
    <row r="184" spans="1:53" x14ac:dyDescent="0.25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  <c r="AU184" s="10"/>
      <c r="AV184" s="10"/>
      <c r="AW184" s="10"/>
      <c r="AX184" s="10"/>
      <c r="AY184" s="10"/>
      <c r="AZ184" s="10"/>
      <c r="BA184" s="10"/>
    </row>
    <row r="185" spans="1:53" x14ac:dyDescent="0.2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  <c r="AU185" s="10"/>
      <c r="AV185" s="10"/>
      <c r="AW185" s="10"/>
      <c r="AX185" s="10"/>
      <c r="AY185" s="10"/>
      <c r="AZ185" s="10"/>
      <c r="BA185" s="10"/>
    </row>
    <row r="186" spans="1:53" x14ac:dyDescent="0.25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  <c r="AU186" s="10"/>
      <c r="AV186" s="10"/>
      <c r="AW186" s="10"/>
      <c r="AX186" s="10"/>
      <c r="AY186" s="10"/>
      <c r="AZ186" s="10"/>
      <c r="BA186" s="10"/>
    </row>
    <row r="187" spans="1:53" x14ac:dyDescent="0.25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  <c r="AU187" s="10"/>
      <c r="AV187" s="10"/>
      <c r="AW187" s="10"/>
      <c r="AX187" s="10"/>
      <c r="AY187" s="10"/>
      <c r="AZ187" s="10"/>
      <c r="BA187" s="10"/>
    </row>
    <row r="188" spans="1:53" x14ac:dyDescent="0.25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  <c r="AY188" s="10"/>
      <c r="AZ188" s="10"/>
      <c r="BA188" s="10"/>
    </row>
    <row r="189" spans="1:53" x14ac:dyDescent="0.25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  <c r="AU189" s="10"/>
      <c r="AV189" s="10"/>
      <c r="AW189" s="10"/>
      <c r="AX189" s="10"/>
      <c r="AY189" s="10"/>
      <c r="AZ189" s="10"/>
      <c r="BA189" s="10"/>
    </row>
    <row r="190" spans="1:53" x14ac:dyDescent="0.25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10"/>
      <c r="AU190" s="10"/>
      <c r="AV190" s="10"/>
      <c r="AW190" s="10"/>
      <c r="AX190" s="10"/>
      <c r="AY190" s="10"/>
      <c r="AZ190" s="10"/>
      <c r="BA190" s="10"/>
    </row>
    <row r="191" spans="1:53" x14ac:dyDescent="0.25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10"/>
      <c r="AU191" s="10"/>
      <c r="AV191" s="10"/>
      <c r="AW191" s="10"/>
      <c r="AX191" s="10"/>
      <c r="AY191" s="10"/>
      <c r="AZ191" s="10"/>
      <c r="BA191" s="10"/>
    </row>
    <row r="192" spans="1:53" x14ac:dyDescent="0.25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/>
      <c r="AU192" s="10"/>
      <c r="AV192" s="10"/>
      <c r="AW192" s="10"/>
      <c r="AX192" s="10"/>
      <c r="AY192" s="10"/>
      <c r="AZ192" s="10"/>
      <c r="BA192" s="10"/>
    </row>
    <row r="193" spans="1:53" x14ac:dyDescent="0.25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  <c r="AY193" s="10"/>
      <c r="AZ193" s="10"/>
      <c r="BA193" s="10"/>
    </row>
    <row r="194" spans="1:53" x14ac:dyDescent="0.25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  <c r="AY194" s="10"/>
      <c r="AZ194" s="10"/>
      <c r="BA194" s="10"/>
    </row>
    <row r="195" spans="1:53" x14ac:dyDescent="0.2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10"/>
      <c r="AS195" s="10"/>
      <c r="AT195" s="10"/>
      <c r="AU195" s="10"/>
      <c r="AV195" s="10"/>
      <c r="AW195" s="10"/>
      <c r="AX195" s="10"/>
      <c r="AY195" s="10"/>
      <c r="AZ195" s="10"/>
      <c r="BA195" s="10"/>
    </row>
    <row r="196" spans="1:53" x14ac:dyDescent="0.25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  <c r="AT196" s="10"/>
      <c r="AU196" s="10"/>
      <c r="AV196" s="10"/>
      <c r="AW196" s="10"/>
      <c r="AX196" s="10"/>
      <c r="AY196" s="10"/>
      <c r="AZ196" s="10"/>
      <c r="BA196" s="10"/>
    </row>
    <row r="197" spans="1:53" x14ac:dyDescent="0.25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10"/>
      <c r="AU197" s="10"/>
      <c r="AV197" s="10"/>
      <c r="AW197" s="10"/>
      <c r="AX197" s="10"/>
      <c r="AY197" s="10"/>
      <c r="AZ197" s="10"/>
      <c r="BA197" s="10"/>
    </row>
    <row r="198" spans="1:53" x14ac:dyDescent="0.25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  <c r="AT198" s="10"/>
      <c r="AU198" s="10"/>
      <c r="AV198" s="10"/>
      <c r="AW198" s="10"/>
      <c r="AX198" s="10"/>
      <c r="AY198" s="10"/>
      <c r="AZ198" s="10"/>
      <c r="BA198" s="10"/>
    </row>
    <row r="199" spans="1:53" x14ac:dyDescent="0.25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10"/>
      <c r="AU199" s="10"/>
      <c r="AV199" s="10"/>
      <c r="AW199" s="10"/>
      <c r="AX199" s="10"/>
      <c r="AY199" s="10"/>
      <c r="AZ199" s="10"/>
      <c r="BA199" s="10"/>
    </row>
    <row r="200" spans="1:53" x14ac:dyDescent="0.25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  <c r="AY200" s="10"/>
      <c r="AZ200" s="10"/>
      <c r="BA200" s="10"/>
    </row>
    <row r="201" spans="1:53" x14ac:dyDescent="0.25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0"/>
      <c r="AM201" s="10"/>
      <c r="AN201" s="10"/>
      <c r="AO201" s="10"/>
      <c r="AP201" s="10"/>
      <c r="AQ201" s="10"/>
      <c r="AR201" s="10"/>
      <c r="AS201" s="10"/>
      <c r="AT201" s="10"/>
      <c r="AU201" s="10"/>
      <c r="AV201" s="10"/>
      <c r="AW201" s="10"/>
      <c r="AX201" s="10"/>
      <c r="AY201" s="10"/>
      <c r="AZ201" s="10"/>
      <c r="BA201" s="10"/>
    </row>
    <row r="202" spans="1:53" x14ac:dyDescent="0.25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  <c r="AT202" s="10"/>
      <c r="AU202" s="10"/>
      <c r="AV202" s="10"/>
      <c r="AW202" s="10"/>
      <c r="AX202" s="10"/>
      <c r="AY202" s="10"/>
      <c r="AZ202" s="10"/>
      <c r="BA202" s="10"/>
    </row>
    <row r="203" spans="1:53" x14ac:dyDescent="0.25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10"/>
      <c r="AU203" s="10"/>
      <c r="AV203" s="10"/>
      <c r="AW203" s="10"/>
      <c r="AX203" s="10"/>
      <c r="AY203" s="10"/>
      <c r="AZ203" s="10"/>
      <c r="BA203" s="10"/>
    </row>
    <row r="204" spans="1:53" x14ac:dyDescent="0.25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  <c r="AQ204" s="10"/>
      <c r="AR204" s="10"/>
      <c r="AS204" s="10"/>
      <c r="AT204" s="10"/>
      <c r="AU204" s="10"/>
      <c r="AV204" s="10"/>
      <c r="AW204" s="10"/>
      <c r="AX204" s="10"/>
      <c r="AY204" s="10"/>
      <c r="AZ204" s="10"/>
      <c r="BA204" s="10"/>
    </row>
    <row r="205" spans="1:53" x14ac:dyDescent="0.2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  <c r="AT205" s="10"/>
      <c r="AU205" s="10"/>
      <c r="AV205" s="10"/>
      <c r="AW205" s="10"/>
      <c r="AX205" s="10"/>
      <c r="AY205" s="10"/>
      <c r="AZ205" s="10"/>
      <c r="BA205" s="10"/>
    </row>
    <row r="206" spans="1:53" x14ac:dyDescent="0.25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10"/>
      <c r="AU206" s="10"/>
      <c r="AV206" s="10"/>
      <c r="AW206" s="10"/>
      <c r="AX206" s="10"/>
      <c r="AY206" s="10"/>
      <c r="AZ206" s="10"/>
      <c r="BA206" s="10"/>
    </row>
    <row r="207" spans="1:53" x14ac:dyDescent="0.25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10"/>
      <c r="AN207" s="10"/>
      <c r="AO207" s="10"/>
      <c r="AP207" s="10"/>
      <c r="AQ207" s="10"/>
      <c r="AR207" s="10"/>
      <c r="AS207" s="10"/>
      <c r="AT207" s="10"/>
      <c r="AU207" s="10"/>
      <c r="AV207" s="10"/>
      <c r="AW207" s="10"/>
      <c r="AX207" s="10"/>
      <c r="AY207" s="10"/>
      <c r="AZ207" s="10"/>
      <c r="BA207" s="10"/>
    </row>
    <row r="208" spans="1:53" x14ac:dyDescent="0.25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  <c r="AT208" s="10"/>
      <c r="AU208" s="10"/>
      <c r="AV208" s="10"/>
      <c r="AW208" s="10"/>
      <c r="AX208" s="10"/>
      <c r="AY208" s="10"/>
      <c r="AZ208" s="10"/>
      <c r="BA208" s="10"/>
    </row>
    <row r="209" spans="1:53" x14ac:dyDescent="0.2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10"/>
      <c r="AU209" s="10"/>
      <c r="AV209" s="10"/>
      <c r="AW209" s="10"/>
      <c r="AX209" s="10"/>
      <c r="AY209" s="10"/>
      <c r="AZ209" s="10"/>
      <c r="BA209" s="10"/>
    </row>
    <row r="210" spans="1:53" x14ac:dyDescent="0.25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10"/>
      <c r="AN210" s="10"/>
      <c r="AO210" s="10"/>
      <c r="AP210" s="10"/>
      <c r="AQ210" s="10"/>
      <c r="AR210" s="10"/>
      <c r="AS210" s="10"/>
      <c r="AT210" s="10"/>
      <c r="AU210" s="10"/>
      <c r="AV210" s="10"/>
      <c r="AW210" s="10"/>
      <c r="AX210" s="10"/>
      <c r="AY210" s="10"/>
      <c r="AZ210" s="10"/>
      <c r="BA210" s="10"/>
    </row>
    <row r="211" spans="1:53" x14ac:dyDescent="0.25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  <c r="AT211" s="10"/>
      <c r="AU211" s="10"/>
      <c r="AV211" s="10"/>
      <c r="AW211" s="10"/>
      <c r="AX211" s="10"/>
      <c r="AY211" s="10"/>
      <c r="AZ211" s="10"/>
      <c r="BA211" s="10"/>
    </row>
    <row r="212" spans="1:53" x14ac:dyDescent="0.25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  <c r="AT212" s="10"/>
      <c r="AU212" s="10"/>
      <c r="AV212" s="10"/>
      <c r="AW212" s="10"/>
      <c r="AX212" s="10"/>
      <c r="AY212" s="10"/>
      <c r="AZ212" s="10"/>
      <c r="BA212" s="10"/>
    </row>
    <row r="213" spans="1:53" x14ac:dyDescent="0.25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  <c r="AT213" s="10"/>
      <c r="AU213" s="10"/>
      <c r="AV213" s="10"/>
      <c r="AW213" s="10"/>
      <c r="AX213" s="10"/>
      <c r="AY213" s="10"/>
      <c r="AZ213" s="10"/>
      <c r="BA213" s="10"/>
    </row>
    <row r="214" spans="1:53" x14ac:dyDescent="0.25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  <c r="AT214" s="10"/>
      <c r="AU214" s="10"/>
      <c r="AV214" s="10"/>
      <c r="AW214" s="10"/>
      <c r="AX214" s="10"/>
      <c r="AY214" s="10"/>
      <c r="AZ214" s="10"/>
      <c r="BA214" s="10"/>
    </row>
    <row r="215" spans="1:53" x14ac:dyDescent="0.2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  <c r="AT215" s="10"/>
      <c r="AU215" s="10"/>
      <c r="AV215" s="10"/>
      <c r="AW215" s="10"/>
      <c r="AX215" s="10"/>
      <c r="AY215" s="10"/>
      <c r="AZ215" s="10"/>
      <c r="BA215" s="10"/>
    </row>
    <row r="216" spans="1:53" x14ac:dyDescent="0.25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0"/>
      <c r="AM216" s="10"/>
      <c r="AN216" s="10"/>
      <c r="AO216" s="10"/>
      <c r="AP216" s="10"/>
      <c r="AQ216" s="10"/>
      <c r="AR216" s="10"/>
      <c r="AS216" s="10"/>
      <c r="AT216" s="10"/>
      <c r="AU216" s="10"/>
      <c r="AV216" s="10"/>
      <c r="AW216" s="10"/>
      <c r="AX216" s="10"/>
      <c r="AY216" s="10"/>
      <c r="AZ216" s="10"/>
      <c r="BA216" s="10"/>
    </row>
    <row r="217" spans="1:53" x14ac:dyDescent="0.25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0"/>
      <c r="AM217" s="10"/>
      <c r="AN217" s="10"/>
      <c r="AO217" s="10"/>
      <c r="AP217" s="10"/>
      <c r="AQ217" s="10"/>
      <c r="AR217" s="10"/>
      <c r="AS217" s="10"/>
      <c r="AT217" s="10"/>
      <c r="AU217" s="10"/>
      <c r="AV217" s="10"/>
      <c r="AW217" s="10"/>
      <c r="AX217" s="10"/>
      <c r="AY217" s="10"/>
      <c r="AZ217" s="10"/>
      <c r="BA217" s="10"/>
    </row>
    <row r="218" spans="1:53" x14ac:dyDescent="0.25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  <c r="AM218" s="10"/>
      <c r="AN218" s="10"/>
      <c r="AO218" s="10"/>
      <c r="AP218" s="10"/>
      <c r="AQ218" s="10"/>
      <c r="AR218" s="10"/>
      <c r="AS218" s="10"/>
      <c r="AT218" s="10"/>
      <c r="AU218" s="10"/>
      <c r="AV218" s="10"/>
      <c r="AW218" s="10"/>
      <c r="AX218" s="10"/>
      <c r="AY218" s="10"/>
      <c r="AZ218" s="10"/>
      <c r="BA218" s="10"/>
    </row>
    <row r="219" spans="1:53" x14ac:dyDescent="0.25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10"/>
      <c r="AN219" s="10"/>
      <c r="AO219" s="10"/>
      <c r="AP219" s="10"/>
      <c r="AQ219" s="10"/>
      <c r="AR219" s="10"/>
      <c r="AS219" s="10"/>
      <c r="AT219" s="10"/>
      <c r="AU219" s="10"/>
      <c r="AV219" s="10"/>
      <c r="AW219" s="10"/>
      <c r="AX219" s="10"/>
      <c r="AY219" s="10"/>
      <c r="AZ219" s="10"/>
      <c r="BA219" s="10"/>
    </row>
    <row r="220" spans="1:53" x14ac:dyDescent="0.25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  <c r="AT220" s="10"/>
      <c r="AU220" s="10"/>
      <c r="AV220" s="10"/>
      <c r="AW220" s="10"/>
      <c r="AX220" s="10"/>
      <c r="AY220" s="10"/>
      <c r="AZ220" s="10"/>
      <c r="BA220" s="10"/>
    </row>
    <row r="221" spans="1:53" x14ac:dyDescent="0.25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  <c r="AT221" s="10"/>
      <c r="AU221" s="10"/>
      <c r="AV221" s="10"/>
      <c r="AW221" s="10"/>
      <c r="AX221" s="10"/>
      <c r="AY221" s="10"/>
      <c r="AZ221" s="10"/>
      <c r="BA221" s="10"/>
    </row>
    <row r="222" spans="1:53" x14ac:dyDescent="0.25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O222" s="10"/>
      <c r="AP222" s="10"/>
      <c r="AQ222" s="10"/>
      <c r="AR222" s="10"/>
      <c r="AS222" s="10"/>
      <c r="AT222" s="10"/>
      <c r="AU222" s="10"/>
      <c r="AV222" s="10"/>
      <c r="AW222" s="10"/>
      <c r="AX222" s="10"/>
      <c r="AY222" s="10"/>
      <c r="AZ222" s="10"/>
      <c r="BA222" s="10"/>
    </row>
    <row r="223" spans="1:53" x14ac:dyDescent="0.25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10"/>
      <c r="AN223" s="10"/>
      <c r="AO223" s="10"/>
      <c r="AP223" s="10"/>
      <c r="AQ223" s="10"/>
      <c r="AR223" s="10"/>
      <c r="AS223" s="10"/>
      <c r="AT223" s="10"/>
      <c r="AU223" s="10"/>
      <c r="AV223" s="10"/>
      <c r="AW223" s="10"/>
      <c r="AX223" s="10"/>
      <c r="AY223" s="10"/>
      <c r="AZ223" s="10"/>
      <c r="BA223" s="10"/>
    </row>
    <row r="224" spans="1:53" x14ac:dyDescent="0.25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10"/>
      <c r="AU224" s="10"/>
      <c r="AV224" s="10"/>
      <c r="AW224" s="10"/>
      <c r="AX224" s="10"/>
      <c r="AY224" s="10"/>
      <c r="AZ224" s="10"/>
      <c r="BA224" s="10"/>
    </row>
    <row r="225" spans="1:53" x14ac:dyDescent="0.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10"/>
      <c r="AN225" s="10"/>
      <c r="AO225" s="10"/>
      <c r="AP225" s="10"/>
      <c r="AQ225" s="10"/>
      <c r="AR225" s="10"/>
      <c r="AS225" s="10"/>
      <c r="AT225" s="10"/>
      <c r="AU225" s="10"/>
      <c r="AV225" s="10"/>
      <c r="AW225" s="10"/>
      <c r="AX225" s="10"/>
      <c r="AY225" s="10"/>
      <c r="AZ225" s="10"/>
      <c r="BA225" s="10"/>
    </row>
    <row r="226" spans="1:53" x14ac:dyDescent="0.25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  <c r="AQ226" s="10"/>
      <c r="AR226" s="10"/>
      <c r="AS226" s="10"/>
      <c r="AT226" s="10"/>
      <c r="AU226" s="10"/>
      <c r="AV226" s="10"/>
      <c r="AW226" s="10"/>
      <c r="AX226" s="10"/>
      <c r="AY226" s="10"/>
      <c r="AZ226" s="10"/>
      <c r="BA226" s="10"/>
    </row>
    <row r="227" spans="1:53" x14ac:dyDescent="0.25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  <c r="AT227" s="10"/>
      <c r="AU227" s="10"/>
      <c r="AV227" s="10"/>
      <c r="AW227" s="10"/>
      <c r="AX227" s="10"/>
      <c r="AY227" s="10"/>
      <c r="AZ227" s="10"/>
      <c r="BA227" s="10"/>
    </row>
    <row r="228" spans="1:53" x14ac:dyDescent="0.25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10"/>
      <c r="AN228" s="10"/>
      <c r="AO228" s="10"/>
      <c r="AP228" s="10"/>
      <c r="AQ228" s="10"/>
      <c r="AR228" s="10"/>
      <c r="AS228" s="10"/>
      <c r="AT228" s="10"/>
      <c r="AU228" s="10"/>
      <c r="AV228" s="10"/>
      <c r="AW228" s="10"/>
      <c r="AX228" s="10"/>
      <c r="AY228" s="10"/>
      <c r="AZ228" s="10"/>
      <c r="BA228" s="10"/>
    </row>
    <row r="229" spans="1:53" x14ac:dyDescent="0.25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  <c r="AQ229" s="10"/>
      <c r="AR229" s="10"/>
      <c r="AS229" s="10"/>
      <c r="AT229" s="10"/>
      <c r="AU229" s="10"/>
      <c r="AV229" s="10"/>
      <c r="AW229" s="10"/>
      <c r="AX229" s="10"/>
      <c r="AY229" s="10"/>
      <c r="AZ229" s="10"/>
      <c r="BA229" s="10"/>
    </row>
    <row r="230" spans="1:53" x14ac:dyDescent="0.25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/>
      <c r="AU230" s="10"/>
      <c r="AV230" s="10"/>
      <c r="AW230" s="10"/>
      <c r="AX230" s="10"/>
      <c r="AY230" s="10"/>
      <c r="AZ230" s="10"/>
      <c r="BA230" s="10"/>
    </row>
    <row r="231" spans="1:53" x14ac:dyDescent="0.25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  <c r="AY231" s="10"/>
      <c r="AZ231" s="10"/>
      <c r="BA231" s="10"/>
    </row>
    <row r="232" spans="1:53" x14ac:dyDescent="0.25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  <c r="AY232" s="10"/>
      <c r="AZ232" s="10"/>
      <c r="BA232" s="10"/>
    </row>
    <row r="233" spans="1:53" x14ac:dyDescent="0.25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  <c r="AY233" s="10"/>
      <c r="AZ233" s="10"/>
      <c r="BA233" s="10"/>
    </row>
    <row r="234" spans="1:53" x14ac:dyDescent="0.25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  <c r="AY234" s="10"/>
      <c r="AZ234" s="10"/>
      <c r="BA234" s="10"/>
    </row>
    <row r="235" spans="1:53" x14ac:dyDescent="0.25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10"/>
      <c r="AU235" s="10"/>
      <c r="AV235" s="10"/>
      <c r="AW235" s="10"/>
      <c r="AX235" s="10"/>
      <c r="AY235" s="10"/>
      <c r="AZ235" s="10"/>
      <c r="BA235" s="10"/>
    </row>
    <row r="236" spans="1:53" x14ac:dyDescent="0.25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/>
      <c r="AU236" s="10"/>
      <c r="AV236" s="10"/>
      <c r="AW236" s="10"/>
      <c r="AX236" s="10"/>
      <c r="AY236" s="10"/>
      <c r="AZ236" s="10"/>
      <c r="BA236" s="10"/>
    </row>
    <row r="237" spans="1:53" x14ac:dyDescent="0.25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  <c r="AT237" s="10"/>
      <c r="AU237" s="10"/>
      <c r="AV237" s="10"/>
      <c r="AW237" s="10"/>
      <c r="AX237" s="10"/>
      <c r="AY237" s="10"/>
      <c r="AZ237" s="10"/>
      <c r="BA237" s="10"/>
    </row>
    <row r="238" spans="1:53" x14ac:dyDescent="0.25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10"/>
      <c r="AU238" s="10"/>
      <c r="AV238" s="10"/>
      <c r="AW238" s="10"/>
      <c r="AX238" s="10"/>
      <c r="AY238" s="10"/>
      <c r="AZ238" s="10"/>
      <c r="BA238" s="10"/>
    </row>
    <row r="239" spans="1:53" x14ac:dyDescent="0.25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  <c r="AY239" s="10"/>
      <c r="AZ239" s="10"/>
      <c r="BA239" s="10"/>
    </row>
    <row r="240" spans="1:53" x14ac:dyDescent="0.25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10"/>
      <c r="AS240" s="10"/>
      <c r="AT240" s="10"/>
      <c r="AU240" s="10"/>
      <c r="AV240" s="10"/>
      <c r="AW240" s="10"/>
      <c r="AX240" s="10"/>
      <c r="AY240" s="10"/>
      <c r="AZ240" s="10"/>
      <c r="BA240" s="10"/>
    </row>
    <row r="241" spans="1:53" x14ac:dyDescent="0.25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  <c r="AT241" s="10"/>
      <c r="AU241" s="10"/>
      <c r="AV241" s="10"/>
      <c r="AW241" s="10"/>
      <c r="AX241" s="10"/>
      <c r="AY241" s="10"/>
      <c r="AZ241" s="10"/>
      <c r="BA241" s="10"/>
    </row>
    <row r="242" spans="1:53" x14ac:dyDescent="0.25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  <c r="AT242" s="10"/>
      <c r="AU242" s="10"/>
      <c r="AV242" s="10"/>
      <c r="AW242" s="10"/>
      <c r="AX242" s="10"/>
      <c r="AY242" s="10"/>
      <c r="AZ242" s="10"/>
      <c r="BA242" s="10"/>
    </row>
    <row r="243" spans="1:53" x14ac:dyDescent="0.25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/>
      <c r="AU243" s="10"/>
      <c r="AV243" s="10"/>
      <c r="AW243" s="10"/>
      <c r="AX243" s="10"/>
      <c r="AY243" s="10"/>
      <c r="AZ243" s="10"/>
      <c r="BA243" s="10"/>
    </row>
    <row r="244" spans="1:53" x14ac:dyDescent="0.25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  <c r="AY244" s="10"/>
      <c r="AZ244" s="10"/>
      <c r="BA244" s="10"/>
    </row>
    <row r="245" spans="1:53" x14ac:dyDescent="0.25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10"/>
      <c r="AU245" s="10"/>
      <c r="AV245" s="10"/>
      <c r="AW245" s="10"/>
      <c r="AX245" s="10"/>
      <c r="AY245" s="10"/>
      <c r="AZ245" s="10"/>
      <c r="BA245" s="10"/>
    </row>
    <row r="246" spans="1:53" x14ac:dyDescent="0.25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  <c r="AY246" s="10"/>
      <c r="AZ246" s="10"/>
      <c r="BA246" s="10"/>
    </row>
    <row r="247" spans="1:53" x14ac:dyDescent="0.25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  <c r="AY247" s="10"/>
      <c r="AZ247" s="10"/>
      <c r="BA247" s="10"/>
    </row>
    <row r="248" spans="1:53" x14ac:dyDescent="0.25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10"/>
      <c r="AN248" s="10"/>
      <c r="AO248" s="10"/>
      <c r="AP248" s="10"/>
      <c r="AQ248" s="10"/>
      <c r="AR248" s="10"/>
      <c r="AS248" s="10"/>
      <c r="AT248" s="10"/>
      <c r="AU248" s="10"/>
      <c r="AV248" s="10"/>
      <c r="AW248" s="10"/>
      <c r="AX248" s="10"/>
      <c r="AY248" s="10"/>
      <c r="AZ248" s="10"/>
      <c r="BA248" s="10"/>
    </row>
    <row r="249" spans="1:53" x14ac:dyDescent="0.25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  <c r="AQ249" s="10"/>
      <c r="AR249" s="10"/>
      <c r="AS249" s="10"/>
      <c r="AT249" s="10"/>
      <c r="AU249" s="10"/>
      <c r="AV249" s="10"/>
      <c r="AW249" s="10"/>
      <c r="AX249" s="10"/>
      <c r="AY249" s="10"/>
      <c r="AZ249" s="10"/>
      <c r="BA249" s="10"/>
    </row>
    <row r="250" spans="1:53" x14ac:dyDescent="0.25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  <c r="AT250" s="10"/>
      <c r="AU250" s="10"/>
      <c r="AV250" s="10"/>
      <c r="AW250" s="10"/>
      <c r="AX250" s="10"/>
      <c r="AY250" s="10"/>
      <c r="AZ250" s="10"/>
      <c r="BA250" s="10"/>
    </row>
    <row r="251" spans="1:53" x14ac:dyDescent="0.25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  <c r="AT251" s="10"/>
      <c r="AU251" s="10"/>
      <c r="AV251" s="10"/>
      <c r="AW251" s="10"/>
      <c r="AX251" s="10"/>
      <c r="AY251" s="10"/>
      <c r="AZ251" s="10"/>
      <c r="BA251" s="10"/>
    </row>
    <row r="252" spans="1:53" x14ac:dyDescent="0.25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  <c r="AS252" s="10"/>
      <c r="AT252" s="10"/>
      <c r="AU252" s="10"/>
      <c r="AV252" s="10"/>
      <c r="AW252" s="10"/>
      <c r="AX252" s="10"/>
      <c r="AY252" s="10"/>
      <c r="AZ252" s="10"/>
      <c r="BA252" s="10"/>
    </row>
    <row r="253" spans="1:53" x14ac:dyDescent="0.25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10"/>
      <c r="AU253" s="10"/>
      <c r="AV253" s="10"/>
      <c r="AW253" s="10"/>
      <c r="AX253" s="10"/>
      <c r="AY253" s="10"/>
      <c r="AZ253" s="10"/>
      <c r="BA253" s="10"/>
    </row>
    <row r="254" spans="1:53" x14ac:dyDescent="0.25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10"/>
      <c r="AU254" s="10"/>
      <c r="AV254" s="10"/>
      <c r="AW254" s="10"/>
      <c r="AX254" s="10"/>
      <c r="AY254" s="10"/>
      <c r="AZ254" s="10"/>
      <c r="BA254" s="10"/>
    </row>
    <row r="255" spans="1:53" x14ac:dyDescent="0.25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  <c r="AS255" s="10"/>
      <c r="AT255" s="10"/>
      <c r="AU255" s="10"/>
      <c r="AV255" s="10"/>
      <c r="AW255" s="10"/>
      <c r="AX255" s="10"/>
      <c r="AY255" s="10"/>
      <c r="AZ255" s="10"/>
      <c r="BA255" s="10"/>
    </row>
    <row r="256" spans="1:53" x14ac:dyDescent="0.25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10"/>
      <c r="AU256" s="10"/>
      <c r="AV256" s="10"/>
      <c r="AW256" s="10"/>
      <c r="AX256" s="10"/>
      <c r="AY256" s="10"/>
      <c r="AZ256" s="10"/>
      <c r="BA256" s="10"/>
    </row>
    <row r="257" spans="1:53" x14ac:dyDescent="0.25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10"/>
      <c r="AU257" s="10"/>
      <c r="AV257" s="10"/>
      <c r="AW257" s="10"/>
      <c r="AX257" s="10"/>
      <c r="AY257" s="10"/>
      <c r="AZ257" s="10"/>
      <c r="BA257" s="10"/>
    </row>
    <row r="258" spans="1:53" x14ac:dyDescent="0.25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  <c r="AS258" s="10"/>
      <c r="AT258" s="10"/>
      <c r="AU258" s="10"/>
      <c r="AV258" s="10"/>
      <c r="AW258" s="10"/>
      <c r="AX258" s="10"/>
      <c r="AY258" s="10"/>
      <c r="AZ258" s="10"/>
      <c r="BA258" s="10"/>
    </row>
    <row r="259" spans="1:53" x14ac:dyDescent="0.25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10"/>
      <c r="AU259" s="10"/>
      <c r="AV259" s="10"/>
      <c r="AW259" s="10"/>
      <c r="AX259" s="10"/>
      <c r="AY259" s="10"/>
      <c r="AZ259" s="10"/>
      <c r="BA259" s="10"/>
    </row>
    <row r="260" spans="1:53" x14ac:dyDescent="0.25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10"/>
      <c r="AU260" s="10"/>
      <c r="AV260" s="10"/>
      <c r="AW260" s="10"/>
      <c r="AX260" s="10"/>
      <c r="AY260" s="10"/>
      <c r="AZ260" s="10"/>
      <c r="BA260" s="10"/>
    </row>
    <row r="261" spans="1:53" x14ac:dyDescent="0.2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10"/>
      <c r="AN261" s="10"/>
      <c r="AO261" s="10"/>
      <c r="AP261" s="10"/>
      <c r="AQ261" s="10"/>
      <c r="AR261" s="10"/>
      <c r="AS261" s="10"/>
      <c r="AT261" s="10"/>
      <c r="AU261" s="10"/>
      <c r="AV261" s="10"/>
      <c r="AW261" s="10"/>
      <c r="AX261" s="10"/>
      <c r="AY261" s="10"/>
      <c r="AZ261" s="10"/>
      <c r="BA261" s="10"/>
    </row>
    <row r="262" spans="1:53" x14ac:dyDescent="0.25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0"/>
      <c r="AM262" s="10"/>
      <c r="AN262" s="10"/>
      <c r="AO262" s="10"/>
      <c r="AP262" s="10"/>
      <c r="AQ262" s="10"/>
      <c r="AR262" s="10"/>
      <c r="AS262" s="10"/>
      <c r="AT262" s="10"/>
      <c r="AU262" s="10"/>
      <c r="AV262" s="10"/>
      <c r="AW262" s="10"/>
      <c r="AX262" s="10"/>
      <c r="AY262" s="10"/>
      <c r="AZ262" s="10"/>
      <c r="BA262" s="10"/>
    </row>
    <row r="263" spans="1:53" x14ac:dyDescent="0.25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0"/>
      <c r="AM263" s="10"/>
      <c r="AN263" s="10"/>
      <c r="AO263" s="10"/>
      <c r="AP263" s="10"/>
      <c r="AQ263" s="10"/>
      <c r="AR263" s="10"/>
      <c r="AS263" s="10"/>
      <c r="AT263" s="10"/>
      <c r="AU263" s="10"/>
      <c r="AV263" s="10"/>
      <c r="AW263" s="10"/>
      <c r="AX263" s="10"/>
      <c r="AY263" s="10"/>
      <c r="AZ263" s="10"/>
      <c r="BA263" s="10"/>
    </row>
    <row r="264" spans="1:53" x14ac:dyDescent="0.25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  <c r="AM264" s="10"/>
      <c r="AN264" s="10"/>
      <c r="AO264" s="10"/>
      <c r="AP264" s="10"/>
      <c r="AQ264" s="10"/>
      <c r="AR264" s="10"/>
      <c r="AS264" s="10"/>
      <c r="AT264" s="10"/>
      <c r="AU264" s="10"/>
      <c r="AV264" s="10"/>
      <c r="AW264" s="10"/>
      <c r="AX264" s="10"/>
      <c r="AY264" s="10"/>
      <c r="AZ264" s="10"/>
      <c r="BA264" s="10"/>
    </row>
    <row r="265" spans="1:53" x14ac:dyDescent="0.25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0"/>
      <c r="AM265" s="10"/>
      <c r="AN265" s="10"/>
      <c r="AO265" s="10"/>
      <c r="AP265" s="10"/>
      <c r="AQ265" s="10"/>
      <c r="AR265" s="10"/>
      <c r="AS265" s="10"/>
      <c r="AT265" s="10"/>
      <c r="AU265" s="10"/>
      <c r="AV265" s="10"/>
      <c r="AW265" s="10"/>
      <c r="AX265" s="10"/>
      <c r="AY265" s="10"/>
      <c r="AZ265" s="10"/>
      <c r="BA265" s="10"/>
    </row>
    <row r="266" spans="1:53" x14ac:dyDescent="0.25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0"/>
      <c r="AM266" s="10"/>
      <c r="AN266" s="10"/>
      <c r="AO266" s="10"/>
      <c r="AP266" s="10"/>
      <c r="AQ266" s="10"/>
      <c r="AR266" s="10"/>
      <c r="AS266" s="10"/>
      <c r="AT266" s="10"/>
      <c r="AU266" s="10"/>
      <c r="AV266" s="10"/>
      <c r="AW266" s="10"/>
      <c r="AX266" s="10"/>
      <c r="AY266" s="10"/>
      <c r="AZ266" s="10"/>
      <c r="BA266" s="10"/>
    </row>
    <row r="267" spans="1:53" x14ac:dyDescent="0.25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0"/>
      <c r="AM267" s="10"/>
      <c r="AN267" s="10"/>
      <c r="AO267" s="10"/>
      <c r="AP267" s="10"/>
      <c r="AQ267" s="10"/>
      <c r="AR267" s="10"/>
      <c r="AS267" s="10"/>
      <c r="AT267" s="10"/>
      <c r="AU267" s="10"/>
      <c r="AV267" s="10"/>
      <c r="AW267" s="10"/>
      <c r="AX267" s="10"/>
      <c r="AY267" s="10"/>
      <c r="AZ267" s="10"/>
      <c r="BA267" s="10"/>
    </row>
    <row r="268" spans="1:53" x14ac:dyDescent="0.25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0"/>
      <c r="AM268" s="10"/>
      <c r="AN268" s="10"/>
      <c r="AO268" s="10"/>
      <c r="AP268" s="10"/>
      <c r="AQ268" s="10"/>
      <c r="AR268" s="10"/>
      <c r="AS268" s="10"/>
      <c r="AT268" s="10"/>
      <c r="AU268" s="10"/>
      <c r="AV268" s="10"/>
      <c r="AW268" s="10"/>
      <c r="AX268" s="10"/>
      <c r="AY268" s="10"/>
      <c r="AZ268" s="10"/>
      <c r="BA268" s="10"/>
    </row>
    <row r="269" spans="1:53" x14ac:dyDescent="0.25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0"/>
      <c r="AM269" s="10"/>
      <c r="AN269" s="10"/>
      <c r="AO269" s="10"/>
      <c r="AP269" s="10"/>
      <c r="AQ269" s="10"/>
      <c r="AR269" s="10"/>
      <c r="AS269" s="10"/>
      <c r="AT269" s="10"/>
      <c r="AU269" s="10"/>
      <c r="AV269" s="10"/>
      <c r="AW269" s="10"/>
      <c r="AX269" s="10"/>
      <c r="AY269" s="10"/>
      <c r="AZ269" s="10"/>
      <c r="BA269" s="10"/>
    </row>
    <row r="270" spans="1:53" x14ac:dyDescent="0.25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0"/>
      <c r="AM270" s="10"/>
      <c r="AN270" s="10"/>
      <c r="AO270" s="10"/>
      <c r="AP270" s="10"/>
      <c r="AQ270" s="10"/>
      <c r="AR270" s="10"/>
      <c r="AS270" s="10"/>
      <c r="AT270" s="10"/>
      <c r="AU270" s="10"/>
      <c r="AV270" s="10"/>
      <c r="AW270" s="10"/>
      <c r="AX270" s="10"/>
      <c r="AY270" s="10"/>
      <c r="AZ270" s="10"/>
      <c r="BA270" s="10"/>
    </row>
    <row r="271" spans="1:53" x14ac:dyDescent="0.25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0"/>
      <c r="AM271" s="10"/>
      <c r="AN271" s="10"/>
      <c r="AO271" s="10"/>
      <c r="AP271" s="10"/>
      <c r="AQ271" s="10"/>
      <c r="AR271" s="10"/>
      <c r="AS271" s="10"/>
      <c r="AT271" s="10"/>
      <c r="AU271" s="10"/>
      <c r="AV271" s="10"/>
      <c r="AW271" s="10"/>
      <c r="AX271" s="10"/>
      <c r="AY271" s="10"/>
      <c r="AZ271" s="10"/>
      <c r="BA271" s="10"/>
    </row>
    <row r="272" spans="1:53" x14ac:dyDescent="0.25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0"/>
      <c r="AM272" s="10"/>
      <c r="AN272" s="10"/>
      <c r="AO272" s="10"/>
      <c r="AP272" s="10"/>
      <c r="AQ272" s="10"/>
      <c r="AR272" s="10"/>
      <c r="AS272" s="10"/>
      <c r="AT272" s="10"/>
      <c r="AU272" s="10"/>
      <c r="AV272" s="10"/>
      <c r="AW272" s="10"/>
      <c r="AX272" s="10"/>
      <c r="AY272" s="10"/>
      <c r="AZ272" s="10"/>
      <c r="BA272" s="10"/>
    </row>
    <row r="273" spans="1:53" x14ac:dyDescent="0.25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0"/>
      <c r="AM273" s="10"/>
      <c r="AN273" s="10"/>
      <c r="AO273" s="10"/>
      <c r="AP273" s="10"/>
      <c r="AQ273" s="10"/>
      <c r="AR273" s="10"/>
      <c r="AS273" s="10"/>
      <c r="AT273" s="10"/>
      <c r="AU273" s="10"/>
      <c r="AV273" s="10"/>
      <c r="AW273" s="10"/>
      <c r="AX273" s="10"/>
      <c r="AY273" s="10"/>
      <c r="AZ273" s="10"/>
      <c r="BA273" s="10"/>
    </row>
    <row r="274" spans="1:53" x14ac:dyDescent="0.25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0"/>
      <c r="AM274" s="10"/>
      <c r="AN274" s="10"/>
      <c r="AO274" s="10"/>
      <c r="AP274" s="10"/>
      <c r="AQ274" s="10"/>
      <c r="AR274" s="10"/>
      <c r="AS274" s="10"/>
      <c r="AT274" s="10"/>
      <c r="AU274" s="10"/>
      <c r="AV274" s="10"/>
      <c r="AW274" s="10"/>
      <c r="AX274" s="10"/>
      <c r="AY274" s="10"/>
      <c r="AZ274" s="10"/>
      <c r="BA274" s="10"/>
    </row>
    <row r="275" spans="1:53" x14ac:dyDescent="0.25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0"/>
      <c r="AM275" s="10"/>
      <c r="AN275" s="10"/>
      <c r="AO275" s="10"/>
      <c r="AP275" s="10"/>
      <c r="AQ275" s="10"/>
      <c r="AR275" s="10"/>
      <c r="AS275" s="10"/>
      <c r="AT275" s="10"/>
      <c r="AU275" s="10"/>
      <c r="AV275" s="10"/>
      <c r="AW275" s="10"/>
      <c r="AX275" s="10"/>
      <c r="AY275" s="10"/>
      <c r="AZ275" s="10"/>
      <c r="BA275" s="10"/>
    </row>
    <row r="276" spans="1:53" x14ac:dyDescent="0.25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0"/>
      <c r="AM276" s="10"/>
      <c r="AN276" s="10"/>
      <c r="AO276" s="10"/>
      <c r="AP276" s="10"/>
      <c r="AQ276" s="10"/>
      <c r="AR276" s="10"/>
      <c r="AS276" s="10"/>
      <c r="AT276" s="10"/>
      <c r="AU276" s="10"/>
      <c r="AV276" s="10"/>
      <c r="AW276" s="10"/>
      <c r="AX276" s="10"/>
      <c r="AY276" s="10"/>
      <c r="AZ276" s="10"/>
      <c r="BA276" s="10"/>
    </row>
    <row r="277" spans="1:53" x14ac:dyDescent="0.25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0"/>
      <c r="AM277" s="10"/>
      <c r="AN277" s="10"/>
      <c r="AO277" s="10"/>
      <c r="AP277" s="10"/>
      <c r="AQ277" s="10"/>
      <c r="AR277" s="10"/>
      <c r="AS277" s="10"/>
      <c r="AT277" s="10"/>
      <c r="AU277" s="10"/>
      <c r="AV277" s="10"/>
      <c r="AW277" s="10"/>
      <c r="AX277" s="10"/>
      <c r="AY277" s="10"/>
      <c r="AZ277" s="10"/>
      <c r="BA277" s="10"/>
    </row>
    <row r="278" spans="1:53" x14ac:dyDescent="0.25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0"/>
      <c r="AM278" s="10"/>
      <c r="AN278" s="10"/>
      <c r="AO278" s="10"/>
      <c r="AP278" s="10"/>
      <c r="AQ278" s="10"/>
      <c r="AR278" s="10"/>
      <c r="AS278" s="10"/>
      <c r="AT278" s="10"/>
      <c r="AU278" s="10"/>
      <c r="AV278" s="10"/>
      <c r="AW278" s="10"/>
      <c r="AX278" s="10"/>
      <c r="AY278" s="10"/>
      <c r="AZ278" s="10"/>
      <c r="BA278" s="10"/>
    </row>
    <row r="279" spans="1:53" x14ac:dyDescent="0.25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0"/>
      <c r="AM279" s="10"/>
      <c r="AN279" s="10"/>
      <c r="AO279" s="10"/>
      <c r="AP279" s="10"/>
      <c r="AQ279" s="10"/>
      <c r="AR279" s="10"/>
      <c r="AS279" s="10"/>
      <c r="AT279" s="10"/>
      <c r="AU279" s="10"/>
      <c r="AV279" s="10"/>
      <c r="AW279" s="10"/>
      <c r="AX279" s="10"/>
      <c r="AY279" s="10"/>
      <c r="AZ279" s="10"/>
      <c r="BA279" s="10"/>
    </row>
    <row r="280" spans="1:53" x14ac:dyDescent="0.25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0"/>
      <c r="AM280" s="10"/>
      <c r="AN280" s="10"/>
      <c r="AO280" s="10"/>
      <c r="AP280" s="10"/>
      <c r="AQ280" s="10"/>
      <c r="AR280" s="10"/>
      <c r="AS280" s="10"/>
      <c r="AT280" s="10"/>
      <c r="AU280" s="10"/>
      <c r="AV280" s="10"/>
      <c r="AW280" s="10"/>
      <c r="AX280" s="10"/>
      <c r="AY280" s="10"/>
      <c r="AZ280" s="10"/>
      <c r="BA280" s="10"/>
    </row>
    <row r="281" spans="1:53" x14ac:dyDescent="0.25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0"/>
      <c r="AM281" s="10"/>
      <c r="AN281" s="10"/>
      <c r="AO281" s="10"/>
      <c r="AP281" s="10"/>
      <c r="AQ281" s="10"/>
      <c r="AR281" s="10"/>
      <c r="AS281" s="10"/>
      <c r="AT281" s="10"/>
      <c r="AU281" s="10"/>
      <c r="AV281" s="10"/>
      <c r="AW281" s="10"/>
      <c r="AX281" s="10"/>
      <c r="AY281" s="10"/>
      <c r="AZ281" s="10"/>
      <c r="BA281" s="10"/>
    </row>
    <row r="282" spans="1:53" x14ac:dyDescent="0.25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0"/>
      <c r="AM282" s="10"/>
      <c r="AN282" s="10"/>
      <c r="AO282" s="10"/>
      <c r="AP282" s="10"/>
      <c r="AQ282" s="10"/>
      <c r="AR282" s="10"/>
      <c r="AS282" s="10"/>
      <c r="AT282" s="10"/>
      <c r="AU282" s="10"/>
      <c r="AV282" s="10"/>
      <c r="AW282" s="10"/>
      <c r="AX282" s="10"/>
      <c r="AY282" s="10"/>
      <c r="AZ282" s="10"/>
      <c r="BA282" s="10"/>
    </row>
    <row r="283" spans="1:53" x14ac:dyDescent="0.25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0"/>
      <c r="AM283" s="10"/>
      <c r="AN283" s="10"/>
      <c r="AO283" s="10"/>
      <c r="AP283" s="10"/>
      <c r="AQ283" s="10"/>
      <c r="AR283" s="10"/>
      <c r="AS283" s="10"/>
      <c r="AT283" s="10"/>
      <c r="AU283" s="10"/>
      <c r="AV283" s="10"/>
      <c r="AW283" s="10"/>
      <c r="AX283" s="10"/>
      <c r="AY283" s="10"/>
      <c r="AZ283" s="10"/>
      <c r="BA283" s="10"/>
    </row>
    <row r="284" spans="1:53" x14ac:dyDescent="0.25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0"/>
      <c r="AM284" s="10"/>
      <c r="AN284" s="10"/>
      <c r="AO284" s="10"/>
      <c r="AP284" s="10"/>
      <c r="AQ284" s="10"/>
      <c r="AR284" s="10"/>
      <c r="AS284" s="10"/>
      <c r="AT284" s="10"/>
      <c r="AU284" s="10"/>
      <c r="AV284" s="10"/>
      <c r="AW284" s="10"/>
      <c r="AX284" s="10"/>
      <c r="AY284" s="10"/>
      <c r="AZ284" s="10"/>
      <c r="BA284" s="10"/>
    </row>
    <row r="285" spans="1:53" x14ac:dyDescent="0.25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0"/>
      <c r="AM285" s="10"/>
      <c r="AN285" s="10"/>
      <c r="AO285" s="10"/>
      <c r="AP285" s="10"/>
      <c r="AQ285" s="10"/>
      <c r="AR285" s="10"/>
      <c r="AS285" s="10"/>
      <c r="AT285" s="10"/>
      <c r="AU285" s="10"/>
      <c r="AV285" s="10"/>
      <c r="AW285" s="10"/>
      <c r="AX285" s="10"/>
      <c r="AY285" s="10"/>
      <c r="AZ285" s="10"/>
      <c r="BA285" s="10"/>
    </row>
    <row r="286" spans="1:53" x14ac:dyDescent="0.25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0"/>
      <c r="AM286" s="10"/>
      <c r="AN286" s="10"/>
      <c r="AO286" s="10"/>
      <c r="AP286" s="10"/>
      <c r="AQ286" s="10"/>
      <c r="AR286" s="10"/>
      <c r="AS286" s="10"/>
      <c r="AT286" s="10"/>
      <c r="AU286" s="10"/>
      <c r="AV286" s="10"/>
      <c r="AW286" s="10"/>
      <c r="AX286" s="10"/>
      <c r="AY286" s="10"/>
      <c r="AZ286" s="10"/>
      <c r="BA286" s="10"/>
    </row>
    <row r="287" spans="1:53" x14ac:dyDescent="0.25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0"/>
      <c r="AM287" s="10"/>
      <c r="AN287" s="10"/>
      <c r="AO287" s="10"/>
      <c r="AP287" s="10"/>
      <c r="AQ287" s="10"/>
      <c r="AR287" s="10"/>
      <c r="AS287" s="10"/>
      <c r="AT287" s="10"/>
      <c r="AU287" s="10"/>
      <c r="AV287" s="10"/>
      <c r="AW287" s="10"/>
      <c r="AX287" s="10"/>
      <c r="AY287" s="10"/>
      <c r="AZ287" s="10"/>
      <c r="BA287" s="10"/>
    </row>
    <row r="288" spans="1:53" x14ac:dyDescent="0.25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0"/>
      <c r="AM288" s="10"/>
      <c r="AN288" s="10"/>
      <c r="AO288" s="10"/>
      <c r="AP288" s="10"/>
      <c r="AQ288" s="10"/>
      <c r="AR288" s="10"/>
      <c r="AS288" s="10"/>
      <c r="AT288" s="10"/>
      <c r="AU288" s="10"/>
      <c r="AV288" s="10"/>
      <c r="AW288" s="10"/>
      <c r="AX288" s="10"/>
      <c r="AY288" s="10"/>
      <c r="AZ288" s="10"/>
      <c r="BA288" s="10"/>
    </row>
    <row r="289" spans="1:53" x14ac:dyDescent="0.25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0"/>
      <c r="AM289" s="10"/>
      <c r="AN289" s="10"/>
      <c r="AO289" s="10"/>
      <c r="AP289" s="10"/>
      <c r="AQ289" s="10"/>
      <c r="AR289" s="10"/>
      <c r="AS289" s="10"/>
      <c r="AT289" s="10"/>
      <c r="AU289" s="10"/>
      <c r="AV289" s="10"/>
      <c r="AW289" s="10"/>
      <c r="AX289" s="10"/>
      <c r="AY289" s="10"/>
      <c r="AZ289" s="10"/>
      <c r="BA289" s="10"/>
    </row>
    <row r="290" spans="1:53" x14ac:dyDescent="0.25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0"/>
      <c r="AM290" s="10"/>
      <c r="AN290" s="10"/>
      <c r="AO290" s="10"/>
      <c r="AP290" s="10"/>
      <c r="AQ290" s="10"/>
      <c r="AR290" s="10"/>
      <c r="AS290" s="10"/>
      <c r="AT290" s="10"/>
      <c r="AU290" s="10"/>
      <c r="AV290" s="10"/>
      <c r="AW290" s="10"/>
      <c r="AX290" s="10"/>
      <c r="AY290" s="10"/>
      <c r="AZ290" s="10"/>
      <c r="BA290" s="10"/>
    </row>
    <row r="291" spans="1:53" x14ac:dyDescent="0.25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0"/>
      <c r="AM291" s="10"/>
      <c r="AN291" s="10"/>
      <c r="AO291" s="10"/>
      <c r="AP291" s="10"/>
      <c r="AQ291" s="10"/>
      <c r="AR291" s="10"/>
      <c r="AS291" s="10"/>
      <c r="AT291" s="10"/>
      <c r="AU291" s="10"/>
      <c r="AV291" s="10"/>
      <c r="AW291" s="10"/>
      <c r="AX291" s="10"/>
      <c r="AY291" s="10"/>
      <c r="AZ291" s="10"/>
      <c r="BA291" s="10"/>
    </row>
    <row r="292" spans="1:53" x14ac:dyDescent="0.25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  <c r="AM292" s="10"/>
      <c r="AN292" s="10"/>
      <c r="AO292" s="10"/>
      <c r="AP292" s="10"/>
      <c r="AQ292" s="10"/>
      <c r="AR292" s="10"/>
      <c r="AS292" s="10"/>
      <c r="AT292" s="10"/>
      <c r="AU292" s="10"/>
      <c r="AV292" s="10"/>
      <c r="AW292" s="10"/>
      <c r="AX292" s="10"/>
      <c r="AY292" s="10"/>
      <c r="AZ292" s="10"/>
      <c r="BA292" s="10"/>
    </row>
    <row r="293" spans="1:53" x14ac:dyDescent="0.25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  <c r="AM293" s="10"/>
      <c r="AN293" s="10"/>
      <c r="AO293" s="10"/>
      <c r="AP293" s="10"/>
      <c r="AQ293" s="10"/>
      <c r="AR293" s="10"/>
      <c r="AS293" s="10"/>
      <c r="AT293" s="10"/>
      <c r="AU293" s="10"/>
      <c r="AV293" s="10"/>
      <c r="AW293" s="10"/>
      <c r="AX293" s="10"/>
      <c r="AY293" s="10"/>
      <c r="AZ293" s="10"/>
      <c r="BA293" s="10"/>
    </row>
    <row r="294" spans="1:53" x14ac:dyDescent="0.25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0"/>
      <c r="AM294" s="10"/>
      <c r="AN294" s="10"/>
      <c r="AO294" s="10"/>
      <c r="AP294" s="10"/>
      <c r="AQ294" s="10"/>
      <c r="AR294" s="10"/>
      <c r="AS294" s="10"/>
      <c r="AT294" s="10"/>
      <c r="AU294" s="10"/>
      <c r="AV294" s="10"/>
      <c r="AW294" s="10"/>
      <c r="AX294" s="10"/>
      <c r="AY294" s="10"/>
      <c r="AZ294" s="10"/>
      <c r="BA294" s="10"/>
    </row>
    <row r="295" spans="1:53" x14ac:dyDescent="0.25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0"/>
      <c r="AM295" s="10"/>
      <c r="AN295" s="10"/>
      <c r="AO295" s="10"/>
      <c r="AP295" s="10"/>
      <c r="AQ295" s="10"/>
      <c r="AR295" s="10"/>
      <c r="AS295" s="10"/>
      <c r="AT295" s="10"/>
      <c r="AU295" s="10"/>
      <c r="AV295" s="10"/>
      <c r="AW295" s="10"/>
      <c r="AX295" s="10"/>
      <c r="AY295" s="10"/>
      <c r="AZ295" s="10"/>
      <c r="BA295" s="10"/>
    </row>
    <row r="296" spans="1:53" x14ac:dyDescent="0.25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0"/>
      <c r="AM296" s="10"/>
      <c r="AN296" s="10"/>
      <c r="AO296" s="10"/>
      <c r="AP296" s="10"/>
      <c r="AQ296" s="10"/>
      <c r="AR296" s="10"/>
      <c r="AS296" s="10"/>
      <c r="AT296" s="10"/>
      <c r="AU296" s="10"/>
      <c r="AV296" s="10"/>
      <c r="AW296" s="10"/>
      <c r="AX296" s="10"/>
      <c r="AY296" s="10"/>
      <c r="AZ296" s="10"/>
      <c r="BA296" s="10"/>
    </row>
    <row r="297" spans="1:53" x14ac:dyDescent="0.25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0"/>
      <c r="AM297" s="10"/>
      <c r="AN297" s="10"/>
      <c r="AO297" s="10"/>
      <c r="AP297" s="10"/>
      <c r="AQ297" s="10"/>
      <c r="AR297" s="10"/>
      <c r="AS297" s="10"/>
      <c r="AT297" s="10"/>
      <c r="AU297" s="10"/>
      <c r="AV297" s="10"/>
      <c r="AW297" s="10"/>
      <c r="AX297" s="10"/>
      <c r="AY297" s="10"/>
      <c r="AZ297" s="10"/>
      <c r="BA297" s="10"/>
    </row>
    <row r="298" spans="1:53" x14ac:dyDescent="0.25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0"/>
      <c r="AM298" s="10"/>
      <c r="AN298" s="10"/>
      <c r="AO298" s="10"/>
      <c r="AP298" s="10"/>
      <c r="AQ298" s="10"/>
      <c r="AR298" s="10"/>
      <c r="AS298" s="10"/>
      <c r="AT298" s="10"/>
      <c r="AU298" s="10"/>
      <c r="AV298" s="10"/>
      <c r="AW298" s="10"/>
      <c r="AX298" s="10"/>
      <c r="AY298" s="10"/>
      <c r="AZ298" s="10"/>
      <c r="BA298" s="10"/>
    </row>
    <row r="299" spans="1:53" x14ac:dyDescent="0.25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0"/>
      <c r="AM299" s="10"/>
      <c r="AN299" s="10"/>
      <c r="AO299" s="10"/>
      <c r="AP299" s="10"/>
      <c r="AQ299" s="10"/>
      <c r="AR299" s="10"/>
      <c r="AS299" s="10"/>
      <c r="AT299" s="10"/>
      <c r="AU299" s="10"/>
      <c r="AV299" s="10"/>
      <c r="AW299" s="10"/>
      <c r="AX299" s="10"/>
      <c r="AY299" s="10"/>
      <c r="AZ299" s="10"/>
      <c r="BA299" s="10"/>
    </row>
    <row r="300" spans="1:53" x14ac:dyDescent="0.25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0"/>
      <c r="AM300" s="10"/>
      <c r="AN300" s="10"/>
      <c r="AO300" s="10"/>
      <c r="AP300" s="10"/>
      <c r="AQ300" s="10"/>
      <c r="AR300" s="10"/>
      <c r="AS300" s="10"/>
      <c r="AT300" s="10"/>
      <c r="AU300" s="10"/>
      <c r="AV300" s="10"/>
      <c r="AW300" s="10"/>
      <c r="AX300" s="10"/>
      <c r="AY300" s="10"/>
      <c r="AZ300" s="10"/>
      <c r="BA300" s="10"/>
    </row>
    <row r="301" spans="1:53" x14ac:dyDescent="0.25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0"/>
      <c r="AM301" s="10"/>
      <c r="AN301" s="10"/>
      <c r="AO301" s="10"/>
      <c r="AP301" s="10"/>
      <c r="AQ301" s="10"/>
      <c r="AR301" s="10"/>
      <c r="AS301" s="10"/>
      <c r="AT301" s="10"/>
      <c r="AU301" s="10"/>
      <c r="AV301" s="10"/>
      <c r="AW301" s="10"/>
      <c r="AX301" s="10"/>
      <c r="AY301" s="10"/>
      <c r="AZ301" s="10"/>
      <c r="BA301" s="10"/>
    </row>
    <row r="302" spans="1:53" x14ac:dyDescent="0.25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0"/>
      <c r="AM302" s="10"/>
      <c r="AN302" s="10"/>
      <c r="AO302" s="10"/>
      <c r="AP302" s="10"/>
      <c r="AQ302" s="10"/>
      <c r="AR302" s="10"/>
      <c r="AS302" s="10"/>
      <c r="AT302" s="10"/>
      <c r="AU302" s="10"/>
      <c r="AV302" s="10"/>
      <c r="AW302" s="10"/>
      <c r="AX302" s="10"/>
      <c r="AY302" s="10"/>
      <c r="AZ302" s="10"/>
      <c r="BA302" s="10"/>
    </row>
    <row r="303" spans="1:53" x14ac:dyDescent="0.25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0"/>
      <c r="AM303" s="10"/>
      <c r="AN303" s="10"/>
      <c r="AO303" s="10"/>
      <c r="AP303" s="10"/>
      <c r="AQ303" s="10"/>
      <c r="AR303" s="10"/>
      <c r="AS303" s="10"/>
      <c r="AT303" s="10"/>
      <c r="AU303" s="10"/>
      <c r="AV303" s="10"/>
      <c r="AW303" s="10"/>
      <c r="AX303" s="10"/>
      <c r="AY303" s="10"/>
      <c r="AZ303" s="10"/>
      <c r="BA303" s="10"/>
    </row>
    <row r="304" spans="1:53" x14ac:dyDescent="0.25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0"/>
      <c r="AM304" s="10"/>
      <c r="AN304" s="10"/>
      <c r="AO304" s="10"/>
      <c r="AP304" s="10"/>
      <c r="AQ304" s="10"/>
      <c r="AR304" s="10"/>
      <c r="AS304" s="10"/>
      <c r="AT304" s="10"/>
      <c r="AU304" s="10"/>
      <c r="AV304" s="10"/>
      <c r="AW304" s="10"/>
      <c r="AX304" s="10"/>
      <c r="AY304" s="10"/>
      <c r="AZ304" s="10"/>
      <c r="BA304" s="10"/>
    </row>
    <row r="305" spans="1:53" x14ac:dyDescent="0.25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0"/>
      <c r="AM305" s="10"/>
      <c r="AN305" s="10"/>
      <c r="AO305" s="10"/>
      <c r="AP305" s="10"/>
      <c r="AQ305" s="10"/>
      <c r="AR305" s="10"/>
      <c r="AS305" s="10"/>
      <c r="AT305" s="10"/>
      <c r="AU305" s="10"/>
      <c r="AV305" s="10"/>
      <c r="AW305" s="10"/>
      <c r="AX305" s="10"/>
      <c r="AY305" s="10"/>
      <c r="AZ305" s="10"/>
      <c r="BA305" s="10"/>
    </row>
    <row r="306" spans="1:53" x14ac:dyDescent="0.25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0"/>
      <c r="AM306" s="10"/>
      <c r="AN306" s="10"/>
      <c r="AO306" s="10"/>
      <c r="AP306" s="10"/>
      <c r="AQ306" s="10"/>
      <c r="AR306" s="10"/>
      <c r="AS306" s="10"/>
      <c r="AT306" s="10"/>
      <c r="AU306" s="10"/>
      <c r="AV306" s="10"/>
      <c r="AW306" s="10"/>
      <c r="AX306" s="10"/>
      <c r="AY306" s="10"/>
      <c r="AZ306" s="10"/>
      <c r="BA306" s="10"/>
    </row>
    <row r="307" spans="1:53" x14ac:dyDescent="0.25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0"/>
      <c r="AM307" s="10"/>
      <c r="AN307" s="10"/>
      <c r="AO307" s="10"/>
      <c r="AP307" s="10"/>
      <c r="AQ307" s="10"/>
      <c r="AR307" s="10"/>
      <c r="AS307" s="10"/>
      <c r="AT307" s="10"/>
      <c r="AU307" s="10"/>
      <c r="AV307" s="10"/>
      <c r="AW307" s="10"/>
      <c r="AX307" s="10"/>
      <c r="AY307" s="10"/>
      <c r="AZ307" s="10"/>
      <c r="BA307" s="10"/>
    </row>
    <row r="308" spans="1:53" x14ac:dyDescent="0.25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0"/>
      <c r="AM308" s="10"/>
      <c r="AN308" s="10"/>
      <c r="AO308" s="10"/>
      <c r="AP308" s="10"/>
      <c r="AQ308" s="10"/>
      <c r="AR308" s="10"/>
      <c r="AS308" s="10"/>
      <c r="AT308" s="10"/>
      <c r="AU308" s="10"/>
      <c r="AV308" s="10"/>
      <c r="AW308" s="10"/>
      <c r="AX308" s="10"/>
      <c r="AY308" s="10"/>
      <c r="AZ308" s="10"/>
      <c r="BA308" s="10"/>
    </row>
    <row r="309" spans="1:53" x14ac:dyDescent="0.25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0"/>
      <c r="AM309" s="10"/>
      <c r="AN309" s="10"/>
      <c r="AO309" s="10"/>
      <c r="AP309" s="10"/>
      <c r="AQ309" s="10"/>
      <c r="AR309" s="10"/>
      <c r="AS309" s="10"/>
      <c r="AT309" s="10"/>
      <c r="AU309" s="10"/>
      <c r="AV309" s="10"/>
      <c r="AW309" s="10"/>
      <c r="AX309" s="10"/>
      <c r="AY309" s="10"/>
      <c r="AZ309" s="10"/>
      <c r="BA309" s="10"/>
    </row>
    <row r="310" spans="1:53" x14ac:dyDescent="0.25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0"/>
      <c r="AM310" s="10"/>
      <c r="AN310" s="10"/>
      <c r="AO310" s="10"/>
      <c r="AP310" s="10"/>
      <c r="AQ310" s="10"/>
      <c r="AR310" s="10"/>
      <c r="AS310" s="10"/>
      <c r="AT310" s="10"/>
      <c r="AU310" s="10"/>
      <c r="AV310" s="10"/>
      <c r="AW310" s="10"/>
      <c r="AX310" s="10"/>
      <c r="AY310" s="10"/>
      <c r="AZ310" s="10"/>
      <c r="BA310" s="10"/>
    </row>
    <row r="311" spans="1:53" x14ac:dyDescent="0.25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0"/>
      <c r="AM311" s="10"/>
      <c r="AN311" s="10"/>
      <c r="AO311" s="10"/>
      <c r="AP311" s="10"/>
      <c r="AQ311" s="10"/>
      <c r="AR311" s="10"/>
      <c r="AS311" s="10"/>
      <c r="AT311" s="10"/>
      <c r="AU311" s="10"/>
      <c r="AV311" s="10"/>
      <c r="AW311" s="10"/>
      <c r="AX311" s="10"/>
      <c r="AY311" s="10"/>
      <c r="AZ311" s="10"/>
      <c r="BA311" s="10"/>
    </row>
    <row r="312" spans="1:53" x14ac:dyDescent="0.25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0"/>
      <c r="AM312" s="10"/>
      <c r="AN312" s="10"/>
      <c r="AO312" s="10"/>
      <c r="AP312" s="10"/>
      <c r="AQ312" s="10"/>
      <c r="AR312" s="10"/>
      <c r="AS312" s="10"/>
      <c r="AT312" s="10"/>
      <c r="AU312" s="10"/>
      <c r="AV312" s="10"/>
      <c r="AW312" s="10"/>
      <c r="AX312" s="10"/>
      <c r="AY312" s="10"/>
      <c r="AZ312" s="10"/>
      <c r="BA312" s="10"/>
    </row>
    <row r="313" spans="1:53" x14ac:dyDescent="0.2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0"/>
      <c r="AM313" s="10"/>
      <c r="AN313" s="10"/>
      <c r="AO313" s="10"/>
      <c r="AP313" s="10"/>
      <c r="AQ313" s="10"/>
      <c r="AR313" s="10"/>
      <c r="AS313" s="10"/>
      <c r="AT313" s="10"/>
      <c r="AU313" s="10"/>
      <c r="AV313" s="10"/>
      <c r="AW313" s="10"/>
      <c r="AX313" s="10"/>
      <c r="AY313" s="10"/>
      <c r="AZ313" s="10"/>
      <c r="BA313" s="10"/>
    </row>
    <row r="314" spans="1:53" x14ac:dyDescent="0.25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</row>
    <row r="315" spans="1:53" x14ac:dyDescent="0.25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</row>
    <row r="316" spans="1:53" x14ac:dyDescent="0.25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</row>
    <row r="317" spans="1:53" x14ac:dyDescent="0.25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</row>
    <row r="318" spans="1:53" x14ac:dyDescent="0.25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</row>
    <row r="319" spans="1:53" x14ac:dyDescent="0.25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</row>
    <row r="320" spans="1:53" x14ac:dyDescent="0.25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</row>
    <row r="321" spans="1:53" x14ac:dyDescent="0.25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</row>
    <row r="322" spans="1:53" x14ac:dyDescent="0.25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</row>
    <row r="323" spans="1:53" x14ac:dyDescent="0.25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</row>
    <row r="324" spans="1:53" x14ac:dyDescent="0.25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</row>
    <row r="325" spans="1:53" x14ac:dyDescent="0.25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</row>
    <row r="326" spans="1:53" x14ac:dyDescent="0.25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</row>
    <row r="327" spans="1:53" x14ac:dyDescent="0.25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</row>
    <row r="328" spans="1:53" x14ac:dyDescent="0.25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</row>
    <row r="329" spans="1:53" x14ac:dyDescent="0.25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</row>
    <row r="330" spans="1:53" x14ac:dyDescent="0.25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</row>
    <row r="331" spans="1:53" x14ac:dyDescent="0.25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</row>
    <row r="332" spans="1:53" x14ac:dyDescent="0.25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  <c r="AY332" s="10"/>
      <c r="AZ332" s="10"/>
      <c r="BA332" s="10"/>
    </row>
    <row r="333" spans="1:53" x14ac:dyDescent="0.25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  <c r="AY333" s="10"/>
      <c r="AZ333" s="10"/>
      <c r="BA333" s="10"/>
    </row>
    <row r="334" spans="1:53" x14ac:dyDescent="0.25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  <c r="AM334" s="10"/>
      <c r="AN334" s="10"/>
      <c r="AO334" s="10"/>
      <c r="AP334" s="10"/>
      <c r="AQ334" s="10"/>
      <c r="AR334" s="10"/>
      <c r="AS334" s="10"/>
      <c r="AT334" s="10"/>
      <c r="AU334" s="10"/>
      <c r="AV334" s="10"/>
      <c r="AW334" s="10"/>
      <c r="AX334" s="10"/>
      <c r="AY334" s="10"/>
      <c r="AZ334" s="10"/>
      <c r="BA334" s="10"/>
    </row>
    <row r="335" spans="1:53" x14ac:dyDescent="0.25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  <c r="AM335" s="10"/>
      <c r="AN335" s="10"/>
      <c r="AO335" s="10"/>
      <c r="AP335" s="10"/>
      <c r="AQ335" s="10"/>
      <c r="AR335" s="10"/>
      <c r="AS335" s="10"/>
      <c r="AT335" s="10"/>
      <c r="AU335" s="10"/>
      <c r="AV335" s="10"/>
      <c r="AW335" s="10"/>
      <c r="AX335" s="10"/>
      <c r="AY335" s="10"/>
      <c r="AZ335" s="10"/>
      <c r="BA335" s="10"/>
    </row>
    <row r="336" spans="1:53" x14ac:dyDescent="0.25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  <c r="AS336" s="10"/>
      <c r="AT336" s="10"/>
      <c r="AU336" s="10"/>
      <c r="AV336" s="10"/>
      <c r="AW336" s="10"/>
      <c r="AX336" s="10"/>
      <c r="AY336" s="10"/>
      <c r="AZ336" s="10"/>
      <c r="BA336" s="10"/>
    </row>
    <row r="337" spans="1:53" x14ac:dyDescent="0.25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10"/>
      <c r="AU337" s="10"/>
      <c r="AV337" s="10"/>
      <c r="AW337" s="10"/>
      <c r="AX337" s="10"/>
      <c r="AY337" s="10"/>
      <c r="AZ337" s="10"/>
      <c r="BA337" s="10"/>
    </row>
    <row r="338" spans="1:53" x14ac:dyDescent="0.25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10"/>
      <c r="AU338" s="10"/>
      <c r="AV338" s="10"/>
      <c r="AW338" s="10"/>
      <c r="AX338" s="10"/>
      <c r="AY338" s="10"/>
      <c r="AZ338" s="10"/>
      <c r="BA338" s="10"/>
    </row>
    <row r="339" spans="1:53" x14ac:dyDescent="0.25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  <c r="AS339" s="10"/>
      <c r="AT339" s="10"/>
      <c r="AU339" s="10"/>
      <c r="AV339" s="10"/>
      <c r="AW339" s="10"/>
      <c r="AX339" s="10"/>
      <c r="AY339" s="10"/>
      <c r="AZ339" s="10"/>
      <c r="BA339" s="10"/>
    </row>
    <row r="340" spans="1:53" x14ac:dyDescent="0.25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  <c r="AY340" s="10"/>
      <c r="AZ340" s="10"/>
      <c r="BA340" s="10"/>
    </row>
    <row r="341" spans="1:53" x14ac:dyDescent="0.25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  <c r="AY341" s="10"/>
      <c r="AZ341" s="10"/>
      <c r="BA341" s="10"/>
    </row>
    <row r="342" spans="1:53" x14ac:dyDescent="0.25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  <c r="AY342" s="10"/>
      <c r="AZ342" s="10"/>
      <c r="BA342" s="10"/>
    </row>
    <row r="343" spans="1:53" x14ac:dyDescent="0.25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  <c r="AY343" s="10"/>
      <c r="AZ343" s="10"/>
      <c r="BA343" s="10"/>
    </row>
    <row r="344" spans="1:53" x14ac:dyDescent="0.25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</row>
    <row r="345" spans="1:53" x14ac:dyDescent="0.25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</row>
    <row r="346" spans="1:53" x14ac:dyDescent="0.25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</row>
    <row r="347" spans="1:53" x14ac:dyDescent="0.25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</row>
    <row r="348" spans="1:53" x14ac:dyDescent="0.25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</row>
    <row r="349" spans="1:53" x14ac:dyDescent="0.25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</row>
    <row r="350" spans="1:53" x14ac:dyDescent="0.25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</row>
    <row r="351" spans="1:53" x14ac:dyDescent="0.25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</row>
    <row r="352" spans="1:53" x14ac:dyDescent="0.25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  <c r="AY352" s="10"/>
      <c r="AZ352" s="10"/>
      <c r="BA352" s="10"/>
    </row>
    <row r="353" spans="1:53" x14ac:dyDescent="0.25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  <c r="AY353" s="10"/>
      <c r="AZ353" s="10"/>
      <c r="BA353" s="10"/>
    </row>
    <row r="354" spans="1:53" x14ac:dyDescent="0.25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  <c r="AY354" s="10"/>
      <c r="AZ354" s="10"/>
      <c r="BA354" s="10"/>
    </row>
    <row r="355" spans="1:53" x14ac:dyDescent="0.25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/>
      <c r="AW355" s="10"/>
      <c r="AX355" s="10"/>
      <c r="AY355" s="10"/>
      <c r="AZ355" s="10"/>
      <c r="BA355" s="10"/>
    </row>
    <row r="356" spans="1:53" x14ac:dyDescent="0.25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/>
      <c r="AX356" s="10"/>
      <c r="AY356" s="10"/>
      <c r="AZ356" s="10"/>
      <c r="BA356" s="10"/>
    </row>
    <row r="357" spans="1:53" x14ac:dyDescent="0.25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  <c r="AY357" s="10"/>
      <c r="AZ357" s="10"/>
      <c r="BA357" s="10"/>
    </row>
    <row r="358" spans="1:53" x14ac:dyDescent="0.25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0"/>
      <c r="AU358" s="10"/>
      <c r="AV358" s="10"/>
      <c r="AW358" s="10"/>
      <c r="AX358" s="10"/>
      <c r="AY358" s="10"/>
      <c r="AZ358" s="10"/>
      <c r="BA358" s="10"/>
    </row>
    <row r="359" spans="1:53" x14ac:dyDescent="0.25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10"/>
      <c r="AU359" s="10"/>
      <c r="AV359" s="10"/>
      <c r="AW359" s="10"/>
      <c r="AX359" s="10"/>
      <c r="AY359" s="10"/>
      <c r="AZ359" s="10"/>
      <c r="BA359" s="10"/>
    </row>
    <row r="360" spans="1:53" x14ac:dyDescent="0.25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  <c r="AV360" s="10"/>
      <c r="AW360" s="10"/>
      <c r="AX360" s="10"/>
      <c r="AY360" s="10"/>
      <c r="AZ360" s="10"/>
      <c r="BA360" s="10"/>
    </row>
    <row r="361" spans="1:53" x14ac:dyDescent="0.25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0"/>
      <c r="AN361" s="10"/>
      <c r="AO361" s="10"/>
      <c r="AP361" s="10"/>
      <c r="AQ361" s="10"/>
      <c r="AR361" s="10"/>
      <c r="AS361" s="10"/>
      <c r="AT361" s="10"/>
      <c r="AU361" s="10"/>
      <c r="AV361" s="10"/>
      <c r="AW361" s="10"/>
      <c r="AX361" s="10"/>
      <c r="AY361" s="10"/>
      <c r="AZ361" s="10"/>
      <c r="BA361" s="10"/>
    </row>
    <row r="362" spans="1:53" x14ac:dyDescent="0.25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0"/>
      <c r="AM362" s="10"/>
      <c r="AN362" s="10"/>
      <c r="AO362" s="10"/>
      <c r="AP362" s="10"/>
      <c r="AQ362" s="10"/>
      <c r="AR362" s="10"/>
      <c r="AS362" s="10"/>
      <c r="AT362" s="10"/>
      <c r="AU362" s="10"/>
      <c r="AV362" s="10"/>
      <c r="AW362" s="10"/>
      <c r="AX362" s="10"/>
      <c r="AY362" s="10"/>
      <c r="AZ362" s="10"/>
      <c r="BA362" s="10"/>
    </row>
    <row r="363" spans="1:53" x14ac:dyDescent="0.25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0"/>
      <c r="AM363" s="10"/>
      <c r="AN363" s="10"/>
      <c r="AO363" s="10"/>
      <c r="AP363" s="10"/>
      <c r="AQ363" s="10"/>
      <c r="AR363" s="10"/>
      <c r="AS363" s="10"/>
      <c r="AT363" s="10"/>
      <c r="AU363" s="10"/>
      <c r="AV363" s="10"/>
      <c r="AW363" s="10"/>
      <c r="AX363" s="10"/>
      <c r="AY363" s="10"/>
      <c r="AZ363" s="10"/>
      <c r="BA363" s="10"/>
    </row>
    <row r="364" spans="1:53" x14ac:dyDescent="0.25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0"/>
      <c r="AM364" s="10"/>
      <c r="AN364" s="10"/>
      <c r="AO364" s="10"/>
      <c r="AP364" s="10"/>
      <c r="AQ364" s="10"/>
      <c r="AR364" s="10"/>
      <c r="AS364" s="10"/>
      <c r="AT364" s="10"/>
      <c r="AU364" s="10"/>
      <c r="AV364" s="10"/>
      <c r="AW364" s="10"/>
      <c r="AX364" s="10"/>
      <c r="AY364" s="10"/>
      <c r="AZ364" s="10"/>
      <c r="BA364" s="10"/>
    </row>
    <row r="365" spans="1:53" x14ac:dyDescent="0.2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0"/>
      <c r="AM365" s="10"/>
      <c r="AN365" s="10"/>
      <c r="AO365" s="10"/>
      <c r="AP365" s="10"/>
      <c r="AQ365" s="10"/>
      <c r="AR365" s="10"/>
      <c r="AS365" s="10"/>
      <c r="AT365" s="10"/>
      <c r="AU365" s="10"/>
      <c r="AV365" s="10"/>
      <c r="AW365" s="10"/>
      <c r="AX365" s="10"/>
      <c r="AY365" s="10"/>
      <c r="AZ365" s="10"/>
      <c r="BA365" s="10"/>
    </row>
    <row r="366" spans="1:53" x14ac:dyDescent="0.25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0"/>
      <c r="AM366" s="10"/>
      <c r="AN366" s="10"/>
      <c r="AO366" s="10"/>
      <c r="AP366" s="10"/>
      <c r="AQ366" s="10"/>
      <c r="AR366" s="10"/>
      <c r="AS366" s="10"/>
      <c r="AT366" s="10"/>
      <c r="AU366" s="10"/>
      <c r="AV366" s="10"/>
      <c r="AW366" s="10"/>
      <c r="AX366" s="10"/>
      <c r="AY366" s="10"/>
      <c r="AZ366" s="10"/>
      <c r="BA366" s="10"/>
    </row>
    <row r="367" spans="1:53" x14ac:dyDescent="0.25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0"/>
      <c r="AM367" s="10"/>
      <c r="AN367" s="10"/>
      <c r="AO367" s="10"/>
      <c r="AP367" s="10"/>
      <c r="AQ367" s="10"/>
      <c r="AR367" s="10"/>
      <c r="AS367" s="10"/>
      <c r="AT367" s="10"/>
      <c r="AU367" s="10"/>
      <c r="AV367" s="10"/>
      <c r="AW367" s="10"/>
      <c r="AX367" s="10"/>
      <c r="AY367" s="10"/>
      <c r="AZ367" s="10"/>
      <c r="BA367" s="10"/>
    </row>
    <row r="368" spans="1:53" x14ac:dyDescent="0.25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0"/>
      <c r="AM368" s="10"/>
      <c r="AN368" s="10"/>
      <c r="AO368" s="10"/>
      <c r="AP368" s="10"/>
      <c r="AQ368" s="10"/>
      <c r="AR368" s="10"/>
      <c r="AS368" s="10"/>
      <c r="AT368" s="10"/>
      <c r="AU368" s="10"/>
      <c r="AV368" s="10"/>
      <c r="AW368" s="10"/>
      <c r="AX368" s="10"/>
      <c r="AY368" s="10"/>
      <c r="AZ368" s="10"/>
      <c r="BA368" s="10"/>
    </row>
    <row r="369" spans="1:53" x14ac:dyDescent="0.25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0"/>
      <c r="AM369" s="10"/>
      <c r="AN369" s="10"/>
      <c r="AO369" s="10"/>
      <c r="AP369" s="10"/>
      <c r="AQ369" s="10"/>
      <c r="AR369" s="10"/>
      <c r="AS369" s="10"/>
      <c r="AT369" s="10"/>
      <c r="AU369" s="10"/>
      <c r="AV369" s="10"/>
      <c r="AW369" s="10"/>
      <c r="AX369" s="10"/>
      <c r="AY369" s="10"/>
      <c r="AZ369" s="10"/>
      <c r="BA369" s="10"/>
    </row>
    <row r="370" spans="1:53" x14ac:dyDescent="0.25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0"/>
      <c r="AM370" s="10"/>
      <c r="AN370" s="10"/>
      <c r="AO370" s="10"/>
      <c r="AP370" s="10"/>
      <c r="AQ370" s="10"/>
      <c r="AR370" s="10"/>
      <c r="AS370" s="10"/>
      <c r="AT370" s="10"/>
      <c r="AU370" s="10"/>
      <c r="AV370" s="10"/>
      <c r="AW370" s="10"/>
      <c r="AX370" s="10"/>
      <c r="AY370" s="10"/>
      <c r="AZ370" s="10"/>
      <c r="BA370" s="10"/>
    </row>
    <row r="371" spans="1:53" x14ac:dyDescent="0.25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0"/>
      <c r="AM371" s="10"/>
      <c r="AN371" s="10"/>
      <c r="AO371" s="10"/>
      <c r="AP371" s="10"/>
      <c r="AQ371" s="10"/>
      <c r="AR371" s="10"/>
      <c r="AS371" s="10"/>
      <c r="AT371" s="10"/>
      <c r="AU371" s="10"/>
      <c r="AV371" s="10"/>
      <c r="AW371" s="10"/>
      <c r="AX371" s="10"/>
      <c r="AY371" s="10"/>
      <c r="AZ371" s="10"/>
      <c r="BA371" s="10"/>
    </row>
    <row r="372" spans="1:53" x14ac:dyDescent="0.25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0"/>
      <c r="AM372" s="10"/>
      <c r="AN372" s="10"/>
      <c r="AO372" s="10"/>
      <c r="AP372" s="10"/>
      <c r="AQ372" s="10"/>
      <c r="AR372" s="10"/>
      <c r="AS372" s="10"/>
      <c r="AT372" s="10"/>
      <c r="AU372" s="10"/>
      <c r="AV372" s="10"/>
      <c r="AW372" s="10"/>
      <c r="AX372" s="10"/>
      <c r="AY372" s="10"/>
      <c r="AZ372" s="10"/>
      <c r="BA372" s="10"/>
    </row>
    <row r="373" spans="1:53" x14ac:dyDescent="0.25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0"/>
      <c r="AM373" s="10"/>
      <c r="AN373" s="10"/>
      <c r="AO373" s="10"/>
      <c r="AP373" s="10"/>
      <c r="AQ373" s="10"/>
      <c r="AR373" s="10"/>
      <c r="AS373" s="10"/>
      <c r="AT373" s="10"/>
      <c r="AU373" s="10"/>
      <c r="AV373" s="10"/>
      <c r="AW373" s="10"/>
      <c r="AX373" s="10"/>
      <c r="AY373" s="10"/>
      <c r="AZ373" s="10"/>
      <c r="BA373" s="10"/>
    </row>
    <row r="374" spans="1:53" x14ac:dyDescent="0.25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0"/>
      <c r="AM374" s="10"/>
      <c r="AN374" s="10"/>
      <c r="AO374" s="10"/>
      <c r="AP374" s="10"/>
      <c r="AQ374" s="10"/>
      <c r="AR374" s="10"/>
      <c r="AS374" s="10"/>
      <c r="AT374" s="10"/>
      <c r="AU374" s="10"/>
      <c r="AV374" s="10"/>
      <c r="AW374" s="10"/>
      <c r="AX374" s="10"/>
      <c r="AY374" s="10"/>
      <c r="AZ374" s="10"/>
      <c r="BA374" s="10"/>
    </row>
    <row r="375" spans="1:53" x14ac:dyDescent="0.25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0"/>
      <c r="AM375" s="10"/>
      <c r="AN375" s="10"/>
      <c r="AO375" s="10"/>
      <c r="AP375" s="10"/>
      <c r="AQ375" s="10"/>
      <c r="AR375" s="10"/>
      <c r="AS375" s="10"/>
      <c r="AT375" s="10"/>
      <c r="AU375" s="10"/>
      <c r="AV375" s="10"/>
      <c r="AW375" s="10"/>
      <c r="AX375" s="10"/>
      <c r="AY375" s="10"/>
      <c r="AZ375" s="10"/>
      <c r="BA375" s="10"/>
    </row>
    <row r="376" spans="1:53" x14ac:dyDescent="0.25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0"/>
      <c r="AM376" s="10"/>
      <c r="AN376" s="10"/>
      <c r="AO376" s="10"/>
      <c r="AP376" s="10"/>
      <c r="AQ376" s="10"/>
      <c r="AR376" s="10"/>
      <c r="AS376" s="10"/>
      <c r="AT376" s="10"/>
      <c r="AU376" s="10"/>
      <c r="AV376" s="10"/>
      <c r="AW376" s="10"/>
      <c r="AX376" s="10"/>
      <c r="AY376" s="10"/>
      <c r="AZ376" s="10"/>
      <c r="BA376" s="10"/>
    </row>
    <row r="377" spans="1:53" x14ac:dyDescent="0.25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0"/>
      <c r="AM377" s="10"/>
      <c r="AN377" s="10"/>
      <c r="AO377" s="10"/>
      <c r="AP377" s="10"/>
      <c r="AQ377" s="10"/>
      <c r="AR377" s="10"/>
      <c r="AS377" s="10"/>
      <c r="AT377" s="10"/>
      <c r="AU377" s="10"/>
      <c r="AV377" s="10"/>
      <c r="AW377" s="10"/>
      <c r="AX377" s="10"/>
      <c r="AY377" s="10"/>
      <c r="AZ377" s="10"/>
      <c r="BA377" s="10"/>
    </row>
    <row r="378" spans="1:53" x14ac:dyDescent="0.25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0"/>
      <c r="AM378" s="10"/>
      <c r="AN378" s="10"/>
      <c r="AO378" s="10"/>
      <c r="AP378" s="10"/>
      <c r="AQ378" s="10"/>
      <c r="AR378" s="10"/>
      <c r="AS378" s="10"/>
      <c r="AT378" s="10"/>
      <c r="AU378" s="10"/>
      <c r="AV378" s="10"/>
      <c r="AW378" s="10"/>
      <c r="AX378" s="10"/>
      <c r="AY378" s="10"/>
      <c r="AZ378" s="10"/>
      <c r="BA378" s="10"/>
    </row>
    <row r="379" spans="1:53" x14ac:dyDescent="0.25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0"/>
      <c r="AM379" s="10"/>
      <c r="AN379" s="10"/>
      <c r="AO379" s="10"/>
      <c r="AP379" s="10"/>
      <c r="AQ379" s="10"/>
      <c r="AR379" s="10"/>
      <c r="AS379" s="10"/>
      <c r="AT379" s="10"/>
      <c r="AU379" s="10"/>
      <c r="AV379" s="10"/>
      <c r="AW379" s="10"/>
      <c r="AX379" s="10"/>
      <c r="AY379" s="10"/>
      <c r="AZ379" s="10"/>
      <c r="BA379" s="10"/>
    </row>
    <row r="380" spans="1:53" x14ac:dyDescent="0.25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0"/>
      <c r="AM380" s="10"/>
      <c r="AN380" s="10"/>
      <c r="AO380" s="10"/>
      <c r="AP380" s="10"/>
      <c r="AQ380" s="10"/>
      <c r="AR380" s="10"/>
      <c r="AS380" s="10"/>
      <c r="AT380" s="10"/>
      <c r="AU380" s="10"/>
      <c r="AV380" s="10"/>
      <c r="AW380" s="10"/>
      <c r="AX380" s="10"/>
      <c r="AY380" s="10"/>
      <c r="AZ380" s="10"/>
      <c r="BA380" s="10"/>
    </row>
    <row r="381" spans="1:53" x14ac:dyDescent="0.25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0"/>
      <c r="AM381" s="10"/>
      <c r="AN381" s="10"/>
      <c r="AO381" s="10"/>
      <c r="AP381" s="10"/>
      <c r="AQ381" s="10"/>
      <c r="AR381" s="10"/>
      <c r="AS381" s="10"/>
      <c r="AT381" s="10"/>
      <c r="AU381" s="10"/>
      <c r="AV381" s="10"/>
      <c r="AW381" s="10"/>
      <c r="AX381" s="10"/>
      <c r="AY381" s="10"/>
      <c r="AZ381" s="10"/>
      <c r="BA381" s="10"/>
    </row>
    <row r="382" spans="1:53" x14ac:dyDescent="0.25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0"/>
      <c r="AM382" s="10"/>
      <c r="AN382" s="10"/>
      <c r="AO382" s="10"/>
      <c r="AP382" s="10"/>
      <c r="AQ382" s="10"/>
      <c r="AR382" s="10"/>
      <c r="AS382" s="10"/>
      <c r="AT382" s="10"/>
      <c r="AU382" s="10"/>
      <c r="AV382" s="10"/>
      <c r="AW382" s="10"/>
      <c r="AX382" s="10"/>
      <c r="AY382" s="10"/>
      <c r="AZ382" s="10"/>
      <c r="BA382" s="10"/>
    </row>
    <row r="383" spans="1:53" x14ac:dyDescent="0.25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0"/>
      <c r="AM383" s="10"/>
      <c r="AN383" s="10"/>
      <c r="AO383" s="10"/>
      <c r="AP383" s="10"/>
      <c r="AQ383" s="10"/>
      <c r="AR383" s="10"/>
      <c r="AS383" s="10"/>
      <c r="AT383" s="10"/>
      <c r="AU383" s="10"/>
      <c r="AV383" s="10"/>
      <c r="AW383" s="10"/>
      <c r="AX383" s="10"/>
      <c r="AY383" s="10"/>
      <c r="AZ383" s="10"/>
      <c r="BA383" s="10"/>
    </row>
    <row r="384" spans="1:53" x14ac:dyDescent="0.25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0"/>
      <c r="AM384" s="10"/>
      <c r="AN384" s="10"/>
      <c r="AO384" s="10"/>
      <c r="AP384" s="10"/>
      <c r="AQ384" s="10"/>
      <c r="AR384" s="10"/>
      <c r="AS384" s="10"/>
      <c r="AT384" s="10"/>
      <c r="AU384" s="10"/>
      <c r="AV384" s="10"/>
      <c r="AW384" s="10"/>
      <c r="AX384" s="10"/>
      <c r="AY384" s="10"/>
      <c r="AZ384" s="10"/>
      <c r="BA384" s="10"/>
    </row>
    <row r="385" spans="1:53" x14ac:dyDescent="0.25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0"/>
      <c r="AM385" s="10"/>
      <c r="AN385" s="10"/>
      <c r="AO385" s="10"/>
      <c r="AP385" s="10"/>
      <c r="AQ385" s="10"/>
      <c r="AR385" s="10"/>
      <c r="AS385" s="10"/>
      <c r="AT385" s="10"/>
      <c r="AU385" s="10"/>
      <c r="AV385" s="10"/>
      <c r="AW385" s="10"/>
      <c r="AX385" s="10"/>
      <c r="AY385" s="10"/>
      <c r="AZ385" s="10"/>
      <c r="BA385" s="10"/>
    </row>
    <row r="386" spans="1:53" x14ac:dyDescent="0.25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0"/>
      <c r="AM386" s="10"/>
      <c r="AN386" s="10"/>
      <c r="AO386" s="10"/>
      <c r="AP386" s="10"/>
      <c r="AQ386" s="10"/>
      <c r="AR386" s="10"/>
      <c r="AS386" s="10"/>
      <c r="AT386" s="10"/>
      <c r="AU386" s="10"/>
      <c r="AV386" s="10"/>
      <c r="AW386" s="10"/>
      <c r="AX386" s="10"/>
      <c r="AY386" s="10"/>
      <c r="AZ386" s="10"/>
      <c r="BA386" s="10"/>
    </row>
    <row r="387" spans="1:53" x14ac:dyDescent="0.25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0"/>
      <c r="AM387" s="10"/>
      <c r="AN387" s="10"/>
      <c r="AO387" s="10"/>
      <c r="AP387" s="10"/>
      <c r="AQ387" s="10"/>
      <c r="AR387" s="10"/>
      <c r="AS387" s="10"/>
      <c r="AT387" s="10"/>
      <c r="AU387" s="10"/>
      <c r="AV387" s="10"/>
      <c r="AW387" s="10"/>
      <c r="AX387" s="10"/>
      <c r="AY387" s="10"/>
      <c r="AZ387" s="10"/>
      <c r="BA387" s="10"/>
    </row>
    <row r="388" spans="1:53" x14ac:dyDescent="0.25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0"/>
      <c r="AM388" s="10"/>
      <c r="AN388" s="10"/>
      <c r="AO388" s="10"/>
      <c r="AP388" s="10"/>
      <c r="AQ388" s="10"/>
      <c r="AR388" s="10"/>
      <c r="AS388" s="10"/>
      <c r="AT388" s="10"/>
      <c r="AU388" s="10"/>
      <c r="AV388" s="10"/>
      <c r="AW388" s="10"/>
      <c r="AX388" s="10"/>
      <c r="AY388" s="10"/>
      <c r="AZ388" s="10"/>
      <c r="BA388" s="10"/>
    </row>
    <row r="389" spans="1:53" x14ac:dyDescent="0.25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0"/>
      <c r="AM389" s="10"/>
      <c r="AN389" s="10"/>
      <c r="AO389" s="10"/>
      <c r="AP389" s="10"/>
      <c r="AQ389" s="10"/>
      <c r="AR389" s="10"/>
      <c r="AS389" s="10"/>
      <c r="AT389" s="10"/>
      <c r="AU389" s="10"/>
      <c r="AV389" s="10"/>
      <c r="AW389" s="10"/>
      <c r="AX389" s="10"/>
      <c r="AY389" s="10"/>
      <c r="AZ389" s="10"/>
      <c r="BA389" s="10"/>
    </row>
    <row r="390" spans="1:53" x14ac:dyDescent="0.25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0"/>
      <c r="AM390" s="10"/>
      <c r="AN390" s="10"/>
      <c r="AO390" s="10"/>
      <c r="AP390" s="10"/>
      <c r="AQ390" s="10"/>
      <c r="AR390" s="10"/>
      <c r="AS390" s="10"/>
      <c r="AT390" s="10"/>
      <c r="AU390" s="10"/>
      <c r="AV390" s="10"/>
      <c r="AW390" s="10"/>
      <c r="AX390" s="10"/>
      <c r="AY390" s="10"/>
      <c r="AZ390" s="10"/>
      <c r="BA390" s="10"/>
    </row>
    <row r="391" spans="1:53" x14ac:dyDescent="0.25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0"/>
      <c r="AM391" s="10"/>
      <c r="AN391" s="10"/>
      <c r="AO391" s="10"/>
      <c r="AP391" s="10"/>
      <c r="AQ391" s="10"/>
      <c r="AR391" s="10"/>
      <c r="AS391" s="10"/>
      <c r="AT391" s="10"/>
      <c r="AU391" s="10"/>
      <c r="AV391" s="10"/>
      <c r="AW391" s="10"/>
      <c r="AX391" s="10"/>
      <c r="AY391" s="10"/>
      <c r="AZ391" s="10"/>
      <c r="BA391" s="10"/>
    </row>
    <row r="392" spans="1:53" x14ac:dyDescent="0.25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0"/>
      <c r="AM392" s="10"/>
      <c r="AN392" s="10"/>
      <c r="AO392" s="10"/>
      <c r="AP392" s="10"/>
      <c r="AQ392" s="10"/>
      <c r="AR392" s="10"/>
      <c r="AS392" s="10"/>
      <c r="AT392" s="10"/>
      <c r="AU392" s="10"/>
      <c r="AV392" s="10"/>
      <c r="AW392" s="10"/>
      <c r="AX392" s="10"/>
      <c r="AY392" s="10"/>
      <c r="AZ392" s="10"/>
      <c r="BA392" s="10"/>
    </row>
    <row r="393" spans="1:53" x14ac:dyDescent="0.25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0"/>
      <c r="AM393" s="10"/>
      <c r="AN393" s="10"/>
      <c r="AO393" s="10"/>
      <c r="AP393" s="10"/>
      <c r="AQ393" s="10"/>
      <c r="AR393" s="10"/>
      <c r="AS393" s="10"/>
      <c r="AT393" s="10"/>
      <c r="AU393" s="10"/>
      <c r="AV393" s="10"/>
      <c r="AW393" s="10"/>
      <c r="AX393" s="10"/>
      <c r="AY393" s="10"/>
      <c r="AZ393" s="10"/>
      <c r="BA393" s="10"/>
    </row>
    <row r="394" spans="1:53" x14ac:dyDescent="0.25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0"/>
      <c r="AM394" s="10"/>
      <c r="AN394" s="10"/>
      <c r="AO394" s="10"/>
      <c r="AP394" s="10"/>
      <c r="AQ394" s="10"/>
      <c r="AR394" s="10"/>
      <c r="AS394" s="10"/>
      <c r="AT394" s="10"/>
      <c r="AU394" s="10"/>
      <c r="AV394" s="10"/>
      <c r="AW394" s="10"/>
      <c r="AX394" s="10"/>
      <c r="AY394" s="10"/>
      <c r="AZ394" s="10"/>
      <c r="BA394" s="10"/>
    </row>
    <row r="395" spans="1:53" x14ac:dyDescent="0.25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0"/>
      <c r="AM395" s="10"/>
      <c r="AN395" s="10"/>
      <c r="AO395" s="10"/>
      <c r="AP395" s="10"/>
      <c r="AQ395" s="10"/>
      <c r="AR395" s="10"/>
      <c r="AS395" s="10"/>
      <c r="AT395" s="10"/>
      <c r="AU395" s="10"/>
      <c r="AV395" s="10"/>
      <c r="AW395" s="10"/>
      <c r="AX395" s="10"/>
      <c r="AY395" s="10"/>
      <c r="AZ395" s="10"/>
      <c r="BA395" s="10"/>
    </row>
    <row r="396" spans="1:53" x14ac:dyDescent="0.25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0"/>
      <c r="AM396" s="10"/>
      <c r="AN396" s="10"/>
      <c r="AO396" s="10"/>
      <c r="AP396" s="10"/>
      <c r="AQ396" s="10"/>
      <c r="AR396" s="10"/>
      <c r="AS396" s="10"/>
      <c r="AT396" s="10"/>
      <c r="AU396" s="10"/>
      <c r="AV396" s="10"/>
      <c r="AW396" s="10"/>
      <c r="AX396" s="10"/>
      <c r="AY396" s="10"/>
      <c r="AZ396" s="10"/>
      <c r="BA396" s="10"/>
    </row>
    <row r="397" spans="1:53" x14ac:dyDescent="0.25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0"/>
      <c r="AM397" s="10"/>
      <c r="AN397" s="10"/>
      <c r="AO397" s="10"/>
      <c r="AP397" s="10"/>
      <c r="AQ397" s="10"/>
      <c r="AR397" s="10"/>
      <c r="AS397" s="10"/>
      <c r="AT397" s="10"/>
      <c r="AU397" s="10"/>
      <c r="AV397" s="10"/>
      <c r="AW397" s="10"/>
      <c r="AX397" s="10"/>
      <c r="AY397" s="10"/>
      <c r="AZ397" s="10"/>
      <c r="BA397" s="10"/>
    </row>
    <row r="398" spans="1:53" x14ac:dyDescent="0.25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0"/>
      <c r="AM398" s="10"/>
      <c r="AN398" s="10"/>
      <c r="AO398" s="10"/>
      <c r="AP398" s="10"/>
      <c r="AQ398" s="10"/>
      <c r="AR398" s="10"/>
      <c r="AS398" s="10"/>
      <c r="AT398" s="10"/>
      <c r="AU398" s="10"/>
      <c r="AV398" s="10"/>
      <c r="AW398" s="10"/>
      <c r="AX398" s="10"/>
      <c r="AY398" s="10"/>
      <c r="AZ398" s="10"/>
      <c r="BA398" s="10"/>
    </row>
    <row r="399" spans="1:53" x14ac:dyDescent="0.25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0"/>
      <c r="AM399" s="10"/>
      <c r="AN399" s="10"/>
      <c r="AO399" s="10"/>
      <c r="AP399" s="10"/>
      <c r="AQ399" s="10"/>
      <c r="AR399" s="10"/>
      <c r="AS399" s="10"/>
      <c r="AT399" s="10"/>
      <c r="AU399" s="10"/>
      <c r="AV399" s="10"/>
      <c r="AW399" s="10"/>
      <c r="AX399" s="10"/>
      <c r="AY399" s="10"/>
      <c r="AZ399" s="10"/>
      <c r="BA399" s="10"/>
    </row>
    <row r="400" spans="1:53" x14ac:dyDescent="0.25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0"/>
      <c r="AM400" s="10"/>
      <c r="AN400" s="10"/>
      <c r="AO400" s="10"/>
      <c r="AP400" s="10"/>
      <c r="AQ400" s="10"/>
      <c r="AR400" s="10"/>
      <c r="AS400" s="10"/>
      <c r="AT400" s="10"/>
      <c r="AU400" s="10"/>
      <c r="AV400" s="10"/>
      <c r="AW400" s="10"/>
      <c r="AX400" s="10"/>
      <c r="AY400" s="10"/>
      <c r="AZ400" s="10"/>
      <c r="BA400" s="10"/>
    </row>
    <row r="401" spans="1:53" x14ac:dyDescent="0.25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  <c r="AY401" s="10"/>
      <c r="AZ401" s="10"/>
      <c r="BA401" s="10"/>
    </row>
    <row r="402" spans="1:53" x14ac:dyDescent="0.25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  <c r="AY402" s="10"/>
      <c r="AZ402" s="10"/>
      <c r="BA402" s="10"/>
    </row>
    <row r="403" spans="1:53" x14ac:dyDescent="0.25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  <c r="AY403" s="10"/>
      <c r="AZ403" s="10"/>
      <c r="BA403" s="10"/>
    </row>
    <row r="404" spans="1:53" x14ac:dyDescent="0.25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  <c r="AY404" s="10"/>
      <c r="AZ404" s="10"/>
      <c r="BA404" s="10"/>
    </row>
    <row r="405" spans="1:53" x14ac:dyDescent="0.25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  <c r="AY405" s="10"/>
      <c r="AZ405" s="10"/>
      <c r="BA405" s="10"/>
    </row>
    <row r="406" spans="1:53" x14ac:dyDescent="0.25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  <c r="AY406" s="10"/>
      <c r="AZ406" s="10"/>
      <c r="BA406" s="10"/>
    </row>
    <row r="407" spans="1:53" x14ac:dyDescent="0.25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  <c r="AY407" s="10"/>
      <c r="AZ407" s="10"/>
      <c r="BA407" s="10"/>
    </row>
    <row r="408" spans="1:53" x14ac:dyDescent="0.25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  <c r="AY408" s="10"/>
      <c r="AZ408" s="10"/>
      <c r="BA408" s="10"/>
    </row>
    <row r="409" spans="1:53" x14ac:dyDescent="0.25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  <c r="AY409" s="10"/>
      <c r="AZ409" s="10"/>
      <c r="BA409" s="10"/>
    </row>
    <row r="410" spans="1:53" x14ac:dyDescent="0.25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  <c r="AY410" s="10"/>
      <c r="AZ410" s="10"/>
      <c r="BA410" s="10"/>
    </row>
    <row r="411" spans="1:53" x14ac:dyDescent="0.25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  <c r="AY411" s="10"/>
      <c r="AZ411" s="10"/>
      <c r="BA411" s="10"/>
    </row>
    <row r="412" spans="1:53" x14ac:dyDescent="0.25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  <c r="AY412" s="10"/>
      <c r="AZ412" s="10"/>
      <c r="BA412" s="10"/>
    </row>
    <row r="413" spans="1:53" x14ac:dyDescent="0.25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  <c r="AY413" s="10"/>
      <c r="AZ413" s="10"/>
      <c r="BA413" s="10"/>
    </row>
    <row r="414" spans="1:53" x14ac:dyDescent="0.25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  <c r="AY414" s="10"/>
      <c r="AZ414" s="10"/>
      <c r="BA414" s="10"/>
    </row>
    <row r="415" spans="1:53" x14ac:dyDescent="0.25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  <c r="AV415" s="10"/>
      <c r="AW415" s="10"/>
      <c r="AX415" s="10"/>
      <c r="AY415" s="10"/>
      <c r="AZ415" s="10"/>
      <c r="BA415" s="10"/>
    </row>
    <row r="416" spans="1:53" x14ac:dyDescent="0.25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10"/>
      <c r="AU416" s="10"/>
      <c r="AV416" s="10"/>
      <c r="AW416" s="10"/>
      <c r="AX416" s="10"/>
      <c r="AY416" s="10"/>
      <c r="AZ416" s="10"/>
      <c r="BA416" s="10"/>
    </row>
    <row r="417" spans="1:53" x14ac:dyDescent="0.2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0"/>
      <c r="AM417" s="10"/>
      <c r="AN417" s="10"/>
      <c r="AO417" s="10"/>
      <c r="AP417" s="10"/>
      <c r="AQ417" s="10"/>
      <c r="AR417" s="10"/>
      <c r="AS417" s="10"/>
      <c r="AT417" s="10"/>
      <c r="AU417" s="10"/>
      <c r="AV417" s="10"/>
      <c r="AW417" s="10"/>
      <c r="AX417" s="10"/>
      <c r="AY417" s="10"/>
      <c r="AZ417" s="10"/>
      <c r="BA417" s="10"/>
    </row>
    <row r="418" spans="1:53" x14ac:dyDescent="0.25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0"/>
      <c r="AM418" s="10"/>
      <c r="AN418" s="10"/>
      <c r="AO418" s="10"/>
      <c r="AP418" s="10"/>
      <c r="AQ418" s="10"/>
      <c r="AR418" s="10"/>
      <c r="AS418" s="10"/>
      <c r="AT418" s="10"/>
      <c r="AU418" s="10"/>
      <c r="AV418" s="10"/>
      <c r="AW418" s="10"/>
      <c r="AX418" s="10"/>
      <c r="AY418" s="10"/>
      <c r="AZ418" s="10"/>
      <c r="BA418" s="10"/>
    </row>
    <row r="419" spans="1:53" x14ac:dyDescent="0.25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0"/>
      <c r="AM419" s="10"/>
      <c r="AN419" s="10"/>
      <c r="AO419" s="10"/>
      <c r="AP419" s="10"/>
      <c r="AQ419" s="10"/>
      <c r="AR419" s="10"/>
      <c r="AS419" s="10"/>
      <c r="AT419" s="10"/>
      <c r="AU419" s="10"/>
      <c r="AV419" s="10"/>
      <c r="AW419" s="10"/>
      <c r="AX419" s="10"/>
      <c r="AY419" s="10"/>
      <c r="AZ419" s="10"/>
      <c r="BA419" s="10"/>
    </row>
    <row r="420" spans="1:53" x14ac:dyDescent="0.25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0"/>
      <c r="AM420" s="10"/>
      <c r="AN420" s="10"/>
      <c r="AO420" s="10"/>
      <c r="AP420" s="10"/>
      <c r="AQ420" s="10"/>
      <c r="AR420" s="10"/>
      <c r="AS420" s="10"/>
      <c r="AT420" s="10"/>
      <c r="AU420" s="10"/>
      <c r="AV420" s="10"/>
      <c r="AW420" s="10"/>
      <c r="AX420" s="10"/>
      <c r="AY420" s="10"/>
      <c r="AZ420" s="10"/>
      <c r="BA420" s="10"/>
    </row>
    <row r="421" spans="1:53" x14ac:dyDescent="0.25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0"/>
      <c r="AM421" s="10"/>
      <c r="AN421" s="10"/>
      <c r="AO421" s="10"/>
      <c r="AP421" s="10"/>
      <c r="AQ421" s="10"/>
      <c r="AR421" s="10"/>
      <c r="AS421" s="10"/>
      <c r="AT421" s="10"/>
      <c r="AU421" s="10"/>
      <c r="AV421" s="10"/>
      <c r="AW421" s="10"/>
      <c r="AX421" s="10"/>
      <c r="AY421" s="10"/>
      <c r="AZ421" s="10"/>
      <c r="BA421" s="10"/>
    </row>
    <row r="422" spans="1:53" x14ac:dyDescent="0.25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0"/>
      <c r="AM422" s="10"/>
      <c r="AN422" s="10"/>
      <c r="AO422" s="10"/>
      <c r="AP422" s="10"/>
      <c r="AQ422" s="10"/>
      <c r="AR422" s="10"/>
      <c r="AS422" s="10"/>
      <c r="AT422" s="10"/>
      <c r="AU422" s="10"/>
      <c r="AV422" s="10"/>
      <c r="AW422" s="10"/>
      <c r="AX422" s="10"/>
      <c r="AY422" s="10"/>
      <c r="AZ422" s="10"/>
      <c r="BA422" s="10"/>
    </row>
    <row r="423" spans="1:53" x14ac:dyDescent="0.25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0"/>
      <c r="AM423" s="10"/>
      <c r="AN423" s="10"/>
      <c r="AO423" s="10"/>
      <c r="AP423" s="10"/>
      <c r="AQ423" s="10"/>
      <c r="AR423" s="10"/>
      <c r="AS423" s="10"/>
      <c r="AT423" s="10"/>
      <c r="AU423" s="10"/>
      <c r="AV423" s="10"/>
      <c r="AW423" s="10"/>
      <c r="AX423" s="10"/>
      <c r="AY423" s="10"/>
      <c r="AZ423" s="10"/>
      <c r="BA423" s="10"/>
    </row>
    <row r="424" spans="1:53" x14ac:dyDescent="0.25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0"/>
      <c r="AM424" s="10"/>
      <c r="AN424" s="10"/>
      <c r="AO424" s="10"/>
      <c r="AP424" s="10"/>
      <c r="AQ424" s="10"/>
      <c r="AR424" s="10"/>
      <c r="AS424" s="10"/>
      <c r="AT424" s="10"/>
      <c r="AU424" s="10"/>
      <c r="AV424" s="10"/>
      <c r="AW424" s="10"/>
      <c r="AX424" s="10"/>
      <c r="AY424" s="10"/>
      <c r="AZ424" s="10"/>
      <c r="BA424" s="10"/>
    </row>
    <row r="425" spans="1:53" x14ac:dyDescent="0.25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0"/>
      <c r="AM425" s="10"/>
      <c r="AN425" s="10"/>
      <c r="AO425" s="10"/>
      <c r="AP425" s="10"/>
      <c r="AQ425" s="10"/>
      <c r="AR425" s="10"/>
      <c r="AS425" s="10"/>
      <c r="AT425" s="10"/>
      <c r="AU425" s="10"/>
      <c r="AV425" s="10"/>
      <c r="AW425" s="10"/>
      <c r="AX425" s="10"/>
      <c r="AY425" s="10"/>
      <c r="AZ425" s="10"/>
      <c r="BA425" s="10"/>
    </row>
    <row r="426" spans="1:53" x14ac:dyDescent="0.25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0"/>
      <c r="AM426" s="10"/>
      <c r="AN426" s="10"/>
      <c r="AO426" s="10"/>
      <c r="AP426" s="10"/>
      <c r="AQ426" s="10"/>
      <c r="AR426" s="10"/>
      <c r="AS426" s="10"/>
      <c r="AT426" s="10"/>
      <c r="AU426" s="10"/>
      <c r="AV426" s="10"/>
      <c r="AW426" s="10"/>
      <c r="AX426" s="10"/>
      <c r="AY426" s="10"/>
      <c r="AZ426" s="10"/>
      <c r="BA426" s="10"/>
    </row>
    <row r="427" spans="1:53" x14ac:dyDescent="0.25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0"/>
      <c r="AM427" s="10"/>
      <c r="AN427" s="10"/>
      <c r="AO427" s="10"/>
      <c r="AP427" s="10"/>
      <c r="AQ427" s="10"/>
      <c r="AR427" s="10"/>
      <c r="AS427" s="10"/>
      <c r="AT427" s="10"/>
      <c r="AU427" s="10"/>
      <c r="AV427" s="10"/>
      <c r="AW427" s="10"/>
      <c r="AX427" s="10"/>
      <c r="AY427" s="10"/>
      <c r="AZ427" s="10"/>
      <c r="BA427" s="10"/>
    </row>
    <row r="428" spans="1:53" x14ac:dyDescent="0.25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0"/>
      <c r="AM428" s="10"/>
      <c r="AN428" s="10"/>
      <c r="AO428" s="10"/>
      <c r="AP428" s="10"/>
      <c r="AQ428" s="10"/>
      <c r="AR428" s="10"/>
      <c r="AS428" s="10"/>
      <c r="AT428" s="10"/>
      <c r="AU428" s="10"/>
      <c r="AV428" s="10"/>
      <c r="AW428" s="10"/>
      <c r="AX428" s="10"/>
      <c r="AY428" s="10"/>
      <c r="AZ428" s="10"/>
      <c r="BA428" s="10"/>
    </row>
    <row r="429" spans="1:53" x14ac:dyDescent="0.25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0"/>
      <c r="AM429" s="10"/>
      <c r="AN429" s="10"/>
      <c r="AO429" s="10"/>
      <c r="AP429" s="10"/>
      <c r="AQ429" s="10"/>
      <c r="AR429" s="10"/>
      <c r="AS429" s="10"/>
      <c r="AT429" s="10"/>
      <c r="AU429" s="10"/>
      <c r="AV429" s="10"/>
      <c r="AW429" s="10"/>
      <c r="AX429" s="10"/>
      <c r="AY429" s="10"/>
      <c r="AZ429" s="10"/>
      <c r="BA429" s="10"/>
    </row>
    <row r="430" spans="1:53" x14ac:dyDescent="0.25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0"/>
      <c r="AM430" s="10"/>
      <c r="AN430" s="10"/>
      <c r="AO430" s="10"/>
      <c r="AP430" s="10"/>
      <c r="AQ430" s="10"/>
      <c r="AR430" s="10"/>
      <c r="AS430" s="10"/>
      <c r="AT430" s="10"/>
      <c r="AU430" s="10"/>
      <c r="AV430" s="10"/>
      <c r="AW430" s="10"/>
      <c r="AX430" s="10"/>
      <c r="AY430" s="10"/>
      <c r="AZ430" s="10"/>
      <c r="BA430" s="10"/>
    </row>
    <row r="431" spans="1:53" x14ac:dyDescent="0.25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0"/>
      <c r="AM431" s="10"/>
      <c r="AN431" s="10"/>
      <c r="AO431" s="10"/>
      <c r="AP431" s="10"/>
      <c r="AQ431" s="10"/>
      <c r="AR431" s="10"/>
      <c r="AS431" s="10"/>
      <c r="AT431" s="10"/>
      <c r="AU431" s="10"/>
      <c r="AV431" s="10"/>
      <c r="AW431" s="10"/>
      <c r="AX431" s="10"/>
      <c r="AY431" s="10"/>
      <c r="AZ431" s="10"/>
      <c r="BA431" s="10"/>
    </row>
    <row r="432" spans="1:53" x14ac:dyDescent="0.25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J432" s="10"/>
      <c r="AK432" s="10"/>
      <c r="AL432" s="10"/>
      <c r="AM432" s="10"/>
      <c r="AN432" s="10"/>
      <c r="AO432" s="10"/>
      <c r="AP432" s="10"/>
      <c r="AQ432" s="10"/>
      <c r="AR432" s="10"/>
      <c r="AS432" s="10"/>
      <c r="AT432" s="10"/>
      <c r="AU432" s="10"/>
      <c r="AV432" s="10"/>
      <c r="AW432" s="10"/>
      <c r="AX432" s="10"/>
      <c r="AY432" s="10"/>
      <c r="AZ432" s="10"/>
      <c r="BA432" s="10"/>
    </row>
    <row r="433" spans="1:53" x14ac:dyDescent="0.25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J433" s="10"/>
      <c r="AK433" s="10"/>
      <c r="AL433" s="10"/>
      <c r="AM433" s="10"/>
      <c r="AN433" s="10"/>
      <c r="AO433" s="10"/>
      <c r="AP433" s="10"/>
      <c r="AQ433" s="10"/>
      <c r="AR433" s="10"/>
      <c r="AS433" s="10"/>
      <c r="AT433" s="10"/>
      <c r="AU433" s="10"/>
      <c r="AV433" s="10"/>
      <c r="AW433" s="10"/>
      <c r="AX433" s="10"/>
      <c r="AY433" s="10"/>
      <c r="AZ433" s="10"/>
      <c r="BA433" s="10"/>
    </row>
    <row r="434" spans="1:53" x14ac:dyDescent="0.25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0"/>
      <c r="AM434" s="10"/>
      <c r="AN434" s="10"/>
      <c r="AO434" s="10"/>
      <c r="AP434" s="10"/>
      <c r="AQ434" s="10"/>
      <c r="AR434" s="10"/>
      <c r="AS434" s="10"/>
      <c r="AT434" s="10"/>
      <c r="AU434" s="10"/>
      <c r="AV434" s="10"/>
      <c r="AW434" s="10"/>
      <c r="AX434" s="10"/>
      <c r="AY434" s="10"/>
      <c r="AZ434" s="10"/>
      <c r="BA434" s="10"/>
    </row>
    <row r="435" spans="1:53" x14ac:dyDescent="0.25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J435" s="10"/>
      <c r="AK435" s="10"/>
      <c r="AL435" s="10"/>
      <c r="AM435" s="10"/>
      <c r="AN435" s="10"/>
      <c r="AO435" s="10"/>
      <c r="AP435" s="10"/>
      <c r="AQ435" s="10"/>
      <c r="AR435" s="10"/>
      <c r="AS435" s="10"/>
      <c r="AT435" s="10"/>
      <c r="AU435" s="10"/>
      <c r="AV435" s="10"/>
      <c r="AW435" s="10"/>
      <c r="AX435" s="10"/>
      <c r="AY435" s="10"/>
      <c r="AZ435" s="10"/>
      <c r="BA435" s="10"/>
    </row>
    <row r="436" spans="1:53" x14ac:dyDescent="0.25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  <c r="AJ436" s="10"/>
      <c r="AK436" s="10"/>
      <c r="AL436" s="10"/>
      <c r="AM436" s="10"/>
      <c r="AN436" s="10"/>
      <c r="AO436" s="10"/>
      <c r="AP436" s="10"/>
      <c r="AQ436" s="10"/>
      <c r="AR436" s="10"/>
      <c r="AS436" s="10"/>
      <c r="AT436" s="10"/>
      <c r="AU436" s="10"/>
      <c r="AV436" s="10"/>
      <c r="AW436" s="10"/>
      <c r="AX436" s="10"/>
      <c r="AY436" s="10"/>
      <c r="AZ436" s="10"/>
      <c r="BA436" s="10"/>
    </row>
    <row r="437" spans="1:53" x14ac:dyDescent="0.25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J437" s="10"/>
      <c r="AK437" s="10"/>
      <c r="AL437" s="10"/>
      <c r="AM437" s="10"/>
      <c r="AN437" s="10"/>
      <c r="AO437" s="10"/>
      <c r="AP437" s="10"/>
      <c r="AQ437" s="10"/>
      <c r="AR437" s="10"/>
      <c r="AS437" s="10"/>
      <c r="AT437" s="10"/>
      <c r="AU437" s="10"/>
      <c r="AV437" s="10"/>
      <c r="AW437" s="10"/>
      <c r="AX437" s="10"/>
      <c r="AY437" s="10"/>
      <c r="AZ437" s="10"/>
      <c r="BA437" s="10"/>
    </row>
    <row r="438" spans="1:53" x14ac:dyDescent="0.25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J438" s="10"/>
      <c r="AK438" s="10"/>
      <c r="AL438" s="10"/>
      <c r="AM438" s="10"/>
      <c r="AN438" s="10"/>
      <c r="AO438" s="10"/>
      <c r="AP438" s="10"/>
      <c r="AQ438" s="10"/>
      <c r="AR438" s="10"/>
      <c r="AS438" s="10"/>
      <c r="AT438" s="10"/>
      <c r="AU438" s="10"/>
      <c r="AV438" s="10"/>
      <c r="AW438" s="10"/>
      <c r="AX438" s="10"/>
      <c r="AY438" s="10"/>
      <c r="AZ438" s="10"/>
      <c r="BA438" s="10"/>
    </row>
    <row r="439" spans="1:53" x14ac:dyDescent="0.25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0"/>
      <c r="AM439" s="10"/>
      <c r="AN439" s="10"/>
      <c r="AO439" s="10"/>
      <c r="AP439" s="10"/>
      <c r="AQ439" s="10"/>
      <c r="AR439" s="10"/>
      <c r="AS439" s="10"/>
      <c r="AT439" s="10"/>
      <c r="AU439" s="10"/>
      <c r="AV439" s="10"/>
      <c r="AW439" s="10"/>
      <c r="AX439" s="10"/>
      <c r="AY439" s="10"/>
      <c r="AZ439" s="10"/>
      <c r="BA439" s="10"/>
    </row>
    <row r="440" spans="1:53" x14ac:dyDescent="0.25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0"/>
      <c r="AM440" s="10"/>
      <c r="AN440" s="10"/>
      <c r="AO440" s="10"/>
      <c r="AP440" s="10"/>
      <c r="AQ440" s="10"/>
      <c r="AR440" s="10"/>
      <c r="AS440" s="10"/>
      <c r="AT440" s="10"/>
      <c r="AU440" s="10"/>
      <c r="AV440" s="10"/>
      <c r="AW440" s="10"/>
      <c r="AX440" s="10"/>
      <c r="AY440" s="10"/>
      <c r="AZ440" s="10"/>
      <c r="BA440" s="10"/>
    </row>
    <row r="441" spans="1:53" x14ac:dyDescent="0.25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0"/>
      <c r="AM441" s="10"/>
      <c r="AN441" s="10"/>
      <c r="AO441" s="10"/>
      <c r="AP441" s="10"/>
      <c r="AQ441" s="10"/>
      <c r="AR441" s="10"/>
      <c r="AS441" s="10"/>
      <c r="AT441" s="10"/>
      <c r="AU441" s="10"/>
      <c r="AV441" s="10"/>
      <c r="AW441" s="10"/>
      <c r="AX441" s="10"/>
      <c r="AY441" s="10"/>
      <c r="AZ441" s="10"/>
      <c r="BA441" s="10"/>
    </row>
    <row r="442" spans="1:53" x14ac:dyDescent="0.25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0"/>
      <c r="AM442" s="10"/>
      <c r="AN442" s="10"/>
      <c r="AO442" s="10"/>
      <c r="AP442" s="10"/>
      <c r="AQ442" s="10"/>
      <c r="AR442" s="10"/>
      <c r="AS442" s="10"/>
      <c r="AT442" s="10"/>
      <c r="AU442" s="10"/>
      <c r="AV442" s="10"/>
      <c r="AW442" s="10"/>
      <c r="AX442" s="10"/>
      <c r="AY442" s="10"/>
      <c r="AZ442" s="10"/>
      <c r="BA442" s="10"/>
    </row>
    <row r="443" spans="1:53" x14ac:dyDescent="0.25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J443" s="10"/>
      <c r="AK443" s="10"/>
      <c r="AL443" s="10"/>
      <c r="AM443" s="10"/>
      <c r="AN443" s="10"/>
      <c r="AO443" s="10"/>
      <c r="AP443" s="10"/>
      <c r="AQ443" s="10"/>
      <c r="AR443" s="10"/>
      <c r="AS443" s="10"/>
      <c r="AT443" s="10"/>
      <c r="AU443" s="10"/>
      <c r="AV443" s="10"/>
      <c r="AW443" s="10"/>
      <c r="AX443" s="10"/>
      <c r="AY443" s="10"/>
      <c r="AZ443" s="10"/>
      <c r="BA443" s="10"/>
    </row>
    <row r="444" spans="1:53" x14ac:dyDescent="0.25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J444" s="10"/>
      <c r="AK444" s="10"/>
      <c r="AL444" s="10"/>
      <c r="AM444" s="10"/>
      <c r="AN444" s="10"/>
      <c r="AO444" s="10"/>
      <c r="AP444" s="10"/>
      <c r="AQ444" s="10"/>
      <c r="AR444" s="10"/>
      <c r="AS444" s="10"/>
      <c r="AT444" s="10"/>
      <c r="AU444" s="10"/>
      <c r="AV444" s="10"/>
      <c r="AW444" s="10"/>
      <c r="AX444" s="10"/>
      <c r="AY444" s="10"/>
      <c r="AZ444" s="10"/>
      <c r="BA444" s="10"/>
    </row>
    <row r="445" spans="1:53" x14ac:dyDescent="0.25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  <c r="AJ445" s="10"/>
      <c r="AK445" s="10"/>
      <c r="AL445" s="10"/>
      <c r="AM445" s="10"/>
      <c r="AN445" s="10"/>
      <c r="AO445" s="10"/>
      <c r="AP445" s="10"/>
      <c r="AQ445" s="10"/>
      <c r="AR445" s="10"/>
      <c r="AS445" s="10"/>
      <c r="AT445" s="10"/>
      <c r="AU445" s="10"/>
      <c r="AV445" s="10"/>
      <c r="AW445" s="10"/>
      <c r="AX445" s="10"/>
      <c r="AY445" s="10"/>
      <c r="AZ445" s="10"/>
      <c r="BA445" s="10"/>
    </row>
    <row r="446" spans="1:53" x14ac:dyDescent="0.25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  <c r="AJ446" s="10"/>
      <c r="AK446" s="10"/>
      <c r="AL446" s="10"/>
      <c r="AM446" s="10"/>
      <c r="AN446" s="10"/>
      <c r="AO446" s="10"/>
      <c r="AP446" s="10"/>
      <c r="AQ446" s="10"/>
      <c r="AR446" s="10"/>
      <c r="AS446" s="10"/>
      <c r="AT446" s="10"/>
      <c r="AU446" s="10"/>
      <c r="AV446" s="10"/>
      <c r="AW446" s="10"/>
      <c r="AX446" s="10"/>
      <c r="AY446" s="10"/>
      <c r="AZ446" s="10"/>
      <c r="BA446" s="10"/>
    </row>
    <row r="447" spans="1:53" x14ac:dyDescent="0.25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  <c r="AJ447" s="10"/>
      <c r="AK447" s="10"/>
      <c r="AL447" s="10"/>
      <c r="AM447" s="10"/>
      <c r="AN447" s="10"/>
      <c r="AO447" s="10"/>
      <c r="AP447" s="10"/>
      <c r="AQ447" s="10"/>
      <c r="AR447" s="10"/>
      <c r="AS447" s="10"/>
      <c r="AT447" s="10"/>
      <c r="AU447" s="10"/>
      <c r="AV447" s="10"/>
      <c r="AW447" s="10"/>
      <c r="AX447" s="10"/>
      <c r="AY447" s="10"/>
      <c r="AZ447" s="10"/>
      <c r="BA447" s="10"/>
    </row>
    <row r="448" spans="1:53" x14ac:dyDescent="0.25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  <c r="AJ448" s="10"/>
      <c r="AK448" s="10"/>
      <c r="AL448" s="10"/>
      <c r="AM448" s="10"/>
      <c r="AN448" s="10"/>
      <c r="AO448" s="10"/>
      <c r="AP448" s="10"/>
      <c r="AQ448" s="10"/>
      <c r="AR448" s="10"/>
      <c r="AS448" s="10"/>
      <c r="AT448" s="10"/>
      <c r="AU448" s="10"/>
      <c r="AV448" s="10"/>
      <c r="AW448" s="10"/>
      <c r="AX448" s="10"/>
      <c r="AY448" s="10"/>
      <c r="AZ448" s="10"/>
      <c r="BA448" s="10"/>
    </row>
    <row r="449" spans="1:53" x14ac:dyDescent="0.25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  <c r="AJ449" s="10"/>
      <c r="AK449" s="10"/>
      <c r="AL449" s="10"/>
      <c r="AM449" s="10"/>
      <c r="AN449" s="10"/>
      <c r="AO449" s="10"/>
      <c r="AP449" s="10"/>
      <c r="AQ449" s="10"/>
      <c r="AR449" s="10"/>
      <c r="AS449" s="10"/>
      <c r="AT449" s="10"/>
      <c r="AU449" s="10"/>
      <c r="AV449" s="10"/>
      <c r="AW449" s="10"/>
      <c r="AX449" s="10"/>
      <c r="AY449" s="10"/>
      <c r="AZ449" s="10"/>
      <c r="BA449" s="10"/>
    </row>
    <row r="450" spans="1:53" x14ac:dyDescent="0.25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  <c r="AJ450" s="10"/>
      <c r="AK450" s="10"/>
      <c r="AL450" s="10"/>
      <c r="AM450" s="10"/>
      <c r="AN450" s="10"/>
      <c r="AO450" s="10"/>
      <c r="AP450" s="10"/>
      <c r="AQ450" s="10"/>
      <c r="AR450" s="10"/>
      <c r="AS450" s="10"/>
      <c r="AT450" s="10"/>
      <c r="AU450" s="10"/>
      <c r="AV450" s="10"/>
      <c r="AW450" s="10"/>
      <c r="AX450" s="10"/>
      <c r="AY450" s="10"/>
      <c r="AZ450" s="10"/>
      <c r="BA450" s="10"/>
    </row>
    <row r="451" spans="1:53" x14ac:dyDescent="0.25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J451" s="10"/>
      <c r="AK451" s="10"/>
      <c r="AL451" s="10"/>
      <c r="AM451" s="10"/>
      <c r="AN451" s="10"/>
      <c r="AO451" s="10"/>
      <c r="AP451" s="10"/>
      <c r="AQ451" s="10"/>
      <c r="AR451" s="10"/>
      <c r="AS451" s="10"/>
      <c r="AT451" s="10"/>
      <c r="AU451" s="10"/>
      <c r="AV451" s="10"/>
      <c r="AW451" s="10"/>
      <c r="AX451" s="10"/>
      <c r="AY451" s="10"/>
      <c r="AZ451" s="10"/>
      <c r="BA451" s="10"/>
    </row>
    <row r="452" spans="1:53" x14ac:dyDescent="0.25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J452" s="10"/>
      <c r="AK452" s="10"/>
      <c r="AL452" s="10"/>
      <c r="AM452" s="10"/>
      <c r="AN452" s="10"/>
      <c r="AO452" s="10"/>
      <c r="AP452" s="10"/>
      <c r="AQ452" s="10"/>
      <c r="AR452" s="10"/>
      <c r="AS452" s="10"/>
      <c r="AT452" s="10"/>
      <c r="AU452" s="10"/>
      <c r="AV452" s="10"/>
      <c r="AW452" s="10"/>
      <c r="AX452" s="10"/>
      <c r="AY452" s="10"/>
      <c r="AZ452" s="10"/>
      <c r="BA452" s="10"/>
    </row>
    <row r="453" spans="1:53" x14ac:dyDescent="0.25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J453" s="10"/>
      <c r="AK453" s="10"/>
      <c r="AL453" s="10"/>
      <c r="AM453" s="10"/>
      <c r="AN453" s="10"/>
      <c r="AO453" s="10"/>
      <c r="AP453" s="10"/>
      <c r="AQ453" s="10"/>
      <c r="AR453" s="10"/>
      <c r="AS453" s="10"/>
      <c r="AT453" s="10"/>
      <c r="AU453" s="10"/>
      <c r="AV453" s="10"/>
      <c r="AW453" s="10"/>
      <c r="AX453" s="10"/>
      <c r="AY453" s="10"/>
      <c r="AZ453" s="10"/>
      <c r="BA453" s="10"/>
    </row>
    <row r="454" spans="1:53" x14ac:dyDescent="0.25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  <c r="AJ454" s="10"/>
      <c r="AK454" s="10"/>
      <c r="AL454" s="10"/>
      <c r="AM454" s="10"/>
      <c r="AN454" s="10"/>
      <c r="AO454" s="10"/>
      <c r="AP454" s="10"/>
      <c r="AQ454" s="10"/>
      <c r="AR454" s="10"/>
      <c r="AS454" s="10"/>
      <c r="AT454" s="10"/>
      <c r="AU454" s="10"/>
      <c r="AV454" s="10"/>
      <c r="AW454" s="10"/>
      <c r="AX454" s="10"/>
      <c r="AY454" s="10"/>
      <c r="AZ454" s="10"/>
      <c r="BA454" s="10"/>
    </row>
    <row r="455" spans="1:53" x14ac:dyDescent="0.2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  <c r="AJ455" s="10"/>
      <c r="AK455" s="10"/>
      <c r="AL455" s="10"/>
      <c r="AM455" s="10"/>
      <c r="AN455" s="10"/>
      <c r="AO455" s="10"/>
      <c r="AP455" s="10"/>
      <c r="AQ455" s="10"/>
      <c r="AR455" s="10"/>
      <c r="AS455" s="10"/>
      <c r="AT455" s="10"/>
      <c r="AU455" s="10"/>
      <c r="AV455" s="10"/>
      <c r="AW455" s="10"/>
      <c r="AX455" s="10"/>
      <c r="AY455" s="10"/>
      <c r="AZ455" s="10"/>
      <c r="BA455" s="10"/>
    </row>
    <row r="456" spans="1:53" x14ac:dyDescent="0.25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  <c r="AJ456" s="10"/>
      <c r="AK456" s="10"/>
      <c r="AL456" s="10"/>
      <c r="AM456" s="10"/>
      <c r="AN456" s="10"/>
      <c r="AO456" s="10"/>
      <c r="AP456" s="10"/>
      <c r="AQ456" s="10"/>
      <c r="AR456" s="10"/>
      <c r="AS456" s="10"/>
      <c r="AT456" s="10"/>
      <c r="AU456" s="10"/>
      <c r="AV456" s="10"/>
      <c r="AW456" s="10"/>
      <c r="AX456" s="10"/>
      <c r="AY456" s="10"/>
      <c r="AZ456" s="10"/>
      <c r="BA456" s="10"/>
    </row>
    <row r="457" spans="1:53" x14ac:dyDescent="0.25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  <c r="AJ457" s="10"/>
      <c r="AK457" s="10"/>
      <c r="AL457" s="10"/>
      <c r="AM457" s="10"/>
      <c r="AN457" s="10"/>
      <c r="AO457" s="10"/>
      <c r="AP457" s="10"/>
      <c r="AQ457" s="10"/>
      <c r="AR457" s="10"/>
      <c r="AS457" s="10"/>
      <c r="AT457" s="10"/>
      <c r="AU457" s="10"/>
      <c r="AV457" s="10"/>
      <c r="AW457" s="10"/>
      <c r="AX457" s="10"/>
      <c r="AY457" s="10"/>
      <c r="AZ457" s="10"/>
      <c r="BA457" s="10"/>
    </row>
    <row r="458" spans="1:53" x14ac:dyDescent="0.25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  <c r="AJ458" s="10"/>
      <c r="AK458" s="10"/>
      <c r="AL458" s="10"/>
      <c r="AM458" s="10"/>
      <c r="AN458" s="10"/>
      <c r="AO458" s="10"/>
      <c r="AP458" s="10"/>
      <c r="AQ458" s="10"/>
      <c r="AR458" s="10"/>
      <c r="AS458" s="10"/>
      <c r="AT458" s="10"/>
      <c r="AU458" s="10"/>
      <c r="AV458" s="10"/>
      <c r="AW458" s="10"/>
      <c r="AX458" s="10"/>
      <c r="AY458" s="10"/>
      <c r="AZ458" s="10"/>
      <c r="BA458" s="10"/>
    </row>
    <row r="459" spans="1:53" x14ac:dyDescent="0.25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  <c r="AJ459" s="10"/>
      <c r="AK459" s="10"/>
      <c r="AL459" s="10"/>
      <c r="AM459" s="10"/>
      <c r="AN459" s="10"/>
      <c r="AO459" s="10"/>
      <c r="AP459" s="10"/>
      <c r="AQ459" s="10"/>
      <c r="AR459" s="10"/>
      <c r="AS459" s="10"/>
      <c r="AT459" s="10"/>
      <c r="AU459" s="10"/>
      <c r="AV459" s="10"/>
      <c r="AW459" s="10"/>
      <c r="AX459" s="10"/>
      <c r="AY459" s="10"/>
      <c r="AZ459" s="10"/>
      <c r="BA459" s="10"/>
    </row>
    <row r="460" spans="1:53" x14ac:dyDescent="0.25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  <c r="AJ460" s="10"/>
      <c r="AK460" s="10"/>
      <c r="AL460" s="10"/>
      <c r="AM460" s="10"/>
      <c r="AN460" s="10"/>
      <c r="AO460" s="10"/>
      <c r="AP460" s="10"/>
      <c r="AQ460" s="10"/>
      <c r="AR460" s="10"/>
      <c r="AS460" s="10"/>
      <c r="AT460" s="10"/>
      <c r="AU460" s="10"/>
      <c r="AV460" s="10"/>
      <c r="AW460" s="10"/>
      <c r="AX460" s="10"/>
      <c r="AY460" s="10"/>
      <c r="AZ460" s="10"/>
      <c r="BA460" s="10"/>
    </row>
    <row r="461" spans="1:53" x14ac:dyDescent="0.25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  <c r="AJ461" s="10"/>
      <c r="AK461" s="10"/>
      <c r="AL461" s="10"/>
      <c r="AM461" s="10"/>
      <c r="AN461" s="10"/>
      <c r="AO461" s="10"/>
      <c r="AP461" s="10"/>
      <c r="AQ461" s="10"/>
      <c r="AR461" s="10"/>
      <c r="AS461" s="10"/>
      <c r="AT461" s="10"/>
      <c r="AU461" s="10"/>
      <c r="AV461" s="10"/>
      <c r="AW461" s="10"/>
      <c r="AX461" s="10"/>
      <c r="AY461" s="10"/>
      <c r="AZ461" s="10"/>
      <c r="BA461" s="10"/>
    </row>
    <row r="462" spans="1:53" x14ac:dyDescent="0.25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J462" s="10"/>
      <c r="AK462" s="10"/>
      <c r="AL462" s="10"/>
      <c r="AM462" s="10"/>
      <c r="AN462" s="10"/>
      <c r="AO462" s="10"/>
      <c r="AP462" s="10"/>
      <c r="AQ462" s="10"/>
      <c r="AR462" s="10"/>
      <c r="AS462" s="10"/>
      <c r="AT462" s="10"/>
      <c r="AU462" s="10"/>
      <c r="AV462" s="10"/>
      <c r="AW462" s="10"/>
      <c r="AX462" s="10"/>
      <c r="AY462" s="10"/>
      <c r="AZ462" s="10"/>
      <c r="BA462" s="10"/>
    </row>
    <row r="463" spans="1:53" x14ac:dyDescent="0.25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0"/>
      <c r="AM463" s="10"/>
      <c r="AN463" s="10"/>
      <c r="AO463" s="10"/>
      <c r="AP463" s="10"/>
      <c r="AQ463" s="10"/>
      <c r="AR463" s="10"/>
      <c r="AS463" s="10"/>
      <c r="AT463" s="10"/>
      <c r="AU463" s="10"/>
      <c r="AV463" s="10"/>
      <c r="AW463" s="10"/>
      <c r="AX463" s="10"/>
      <c r="AY463" s="10"/>
      <c r="AZ463" s="10"/>
      <c r="BA463" s="10"/>
    </row>
    <row r="464" spans="1:53" x14ac:dyDescent="0.25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0"/>
      <c r="AM464" s="10"/>
      <c r="AN464" s="10"/>
      <c r="AO464" s="10"/>
      <c r="AP464" s="10"/>
      <c r="AQ464" s="10"/>
      <c r="AR464" s="10"/>
      <c r="AS464" s="10"/>
      <c r="AT464" s="10"/>
      <c r="AU464" s="10"/>
      <c r="AV464" s="10"/>
      <c r="AW464" s="10"/>
      <c r="AX464" s="10"/>
      <c r="AY464" s="10"/>
      <c r="AZ464" s="10"/>
      <c r="BA464" s="10"/>
    </row>
    <row r="465" spans="1:53" x14ac:dyDescent="0.25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  <c r="AJ465" s="10"/>
      <c r="AK465" s="10"/>
      <c r="AL465" s="10"/>
      <c r="AM465" s="10"/>
      <c r="AN465" s="10"/>
      <c r="AO465" s="10"/>
      <c r="AP465" s="10"/>
      <c r="AQ465" s="10"/>
      <c r="AR465" s="10"/>
      <c r="AS465" s="10"/>
      <c r="AT465" s="10"/>
      <c r="AU465" s="10"/>
      <c r="AV465" s="10"/>
      <c r="AW465" s="10"/>
      <c r="AX465" s="10"/>
      <c r="AY465" s="10"/>
      <c r="AZ465" s="10"/>
      <c r="BA465" s="10"/>
    </row>
    <row r="466" spans="1:53" x14ac:dyDescent="0.25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  <c r="AJ466" s="10"/>
      <c r="AK466" s="10"/>
      <c r="AL466" s="10"/>
      <c r="AM466" s="10"/>
      <c r="AN466" s="10"/>
      <c r="AO466" s="10"/>
      <c r="AP466" s="10"/>
      <c r="AQ466" s="10"/>
      <c r="AR466" s="10"/>
      <c r="AS466" s="10"/>
      <c r="AT466" s="10"/>
      <c r="AU466" s="10"/>
      <c r="AV466" s="10"/>
      <c r="AW466" s="10"/>
      <c r="AX466" s="10"/>
      <c r="AY466" s="10"/>
      <c r="AZ466" s="10"/>
      <c r="BA466" s="10"/>
    </row>
    <row r="467" spans="1:53" x14ac:dyDescent="0.25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  <c r="AJ467" s="10"/>
      <c r="AK467" s="10"/>
      <c r="AL467" s="10"/>
      <c r="AM467" s="10"/>
      <c r="AN467" s="10"/>
      <c r="AO467" s="10"/>
      <c r="AP467" s="10"/>
      <c r="AQ467" s="10"/>
      <c r="AR467" s="10"/>
      <c r="AS467" s="10"/>
      <c r="AT467" s="10"/>
      <c r="AU467" s="10"/>
      <c r="AV467" s="10"/>
      <c r="AW467" s="10"/>
      <c r="AX467" s="10"/>
      <c r="AY467" s="10"/>
      <c r="AZ467" s="10"/>
      <c r="BA467" s="10"/>
    </row>
    <row r="468" spans="1:53" x14ac:dyDescent="0.25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  <c r="AJ468" s="10"/>
      <c r="AK468" s="10"/>
      <c r="AL468" s="10"/>
      <c r="AM468" s="10"/>
      <c r="AN468" s="10"/>
      <c r="AO468" s="10"/>
      <c r="AP468" s="10"/>
      <c r="AQ468" s="10"/>
      <c r="AR468" s="10"/>
      <c r="AS468" s="10"/>
      <c r="AT468" s="10"/>
      <c r="AU468" s="10"/>
      <c r="AV468" s="10"/>
      <c r="AW468" s="10"/>
      <c r="AX468" s="10"/>
      <c r="AY468" s="10"/>
      <c r="AZ468" s="10"/>
      <c r="BA468" s="10"/>
    </row>
    <row r="469" spans="1:53" x14ac:dyDescent="0.2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  <c r="AJ469" s="10"/>
      <c r="AK469" s="10"/>
      <c r="AL469" s="10"/>
      <c r="AM469" s="10"/>
      <c r="AN469" s="10"/>
      <c r="AO469" s="10"/>
      <c r="AP469" s="10"/>
      <c r="AQ469" s="10"/>
      <c r="AR469" s="10"/>
      <c r="AS469" s="10"/>
      <c r="AT469" s="10"/>
      <c r="AU469" s="10"/>
      <c r="AV469" s="10"/>
      <c r="AW469" s="10"/>
      <c r="AX469" s="10"/>
      <c r="AY469" s="10"/>
      <c r="AZ469" s="10"/>
      <c r="BA469" s="10"/>
    </row>
    <row r="470" spans="1:53" x14ac:dyDescent="0.25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  <c r="AJ470" s="10"/>
      <c r="AK470" s="10"/>
      <c r="AL470" s="10"/>
      <c r="AM470" s="10"/>
      <c r="AN470" s="10"/>
      <c r="AO470" s="10"/>
      <c r="AP470" s="10"/>
      <c r="AQ470" s="10"/>
      <c r="AR470" s="10"/>
      <c r="AS470" s="10"/>
      <c r="AT470" s="10"/>
      <c r="AU470" s="10"/>
      <c r="AV470" s="10"/>
      <c r="AW470" s="10"/>
      <c r="AX470" s="10"/>
      <c r="AY470" s="10"/>
      <c r="AZ470" s="10"/>
      <c r="BA470" s="10"/>
    </row>
    <row r="471" spans="1:53" x14ac:dyDescent="0.25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  <c r="AJ471" s="10"/>
      <c r="AK471" s="10"/>
      <c r="AL471" s="10"/>
      <c r="AM471" s="10"/>
      <c r="AN471" s="10"/>
      <c r="AO471" s="10"/>
      <c r="AP471" s="10"/>
      <c r="AQ471" s="10"/>
      <c r="AR471" s="10"/>
      <c r="AS471" s="10"/>
      <c r="AT471" s="10"/>
      <c r="AU471" s="10"/>
      <c r="AV471" s="10"/>
      <c r="AW471" s="10"/>
      <c r="AX471" s="10"/>
      <c r="AY471" s="10"/>
      <c r="AZ471" s="10"/>
      <c r="BA471" s="10"/>
    </row>
    <row r="472" spans="1:53" x14ac:dyDescent="0.25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  <c r="AJ472" s="10"/>
      <c r="AK472" s="10"/>
      <c r="AL472" s="10"/>
      <c r="AM472" s="10"/>
      <c r="AN472" s="10"/>
      <c r="AO472" s="10"/>
      <c r="AP472" s="10"/>
      <c r="AQ472" s="10"/>
      <c r="AR472" s="10"/>
      <c r="AS472" s="10"/>
      <c r="AT472" s="10"/>
      <c r="AU472" s="10"/>
      <c r="AV472" s="10"/>
      <c r="AW472" s="10"/>
      <c r="AX472" s="10"/>
      <c r="AY472" s="10"/>
      <c r="AZ472" s="10"/>
      <c r="BA472" s="10"/>
    </row>
    <row r="473" spans="1:53" x14ac:dyDescent="0.25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0"/>
      <c r="AM473" s="10"/>
      <c r="AN473" s="10"/>
      <c r="AO473" s="10"/>
      <c r="AP473" s="10"/>
      <c r="AQ473" s="10"/>
      <c r="AR473" s="10"/>
      <c r="AS473" s="10"/>
      <c r="AT473" s="10"/>
      <c r="AU473" s="10"/>
      <c r="AV473" s="10"/>
      <c r="AW473" s="10"/>
      <c r="AX473" s="10"/>
      <c r="AY473" s="10"/>
      <c r="AZ473" s="10"/>
      <c r="BA473" s="10"/>
    </row>
    <row r="474" spans="1:53" x14ac:dyDescent="0.25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0"/>
      <c r="AM474" s="10"/>
      <c r="AN474" s="10"/>
      <c r="AO474" s="10"/>
      <c r="AP474" s="10"/>
      <c r="AQ474" s="10"/>
      <c r="AR474" s="10"/>
      <c r="AS474" s="10"/>
      <c r="AT474" s="10"/>
      <c r="AU474" s="10"/>
      <c r="AV474" s="10"/>
      <c r="AW474" s="10"/>
      <c r="AX474" s="10"/>
      <c r="AY474" s="10"/>
      <c r="AZ474" s="10"/>
      <c r="BA474" s="10"/>
    </row>
    <row r="475" spans="1:53" x14ac:dyDescent="0.25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J475" s="10"/>
      <c r="AK475" s="10"/>
      <c r="AL475" s="10"/>
      <c r="AM475" s="10"/>
      <c r="AN475" s="10"/>
      <c r="AO475" s="10"/>
      <c r="AP475" s="10"/>
      <c r="AQ475" s="10"/>
      <c r="AR475" s="10"/>
      <c r="AS475" s="10"/>
      <c r="AT475" s="10"/>
      <c r="AU475" s="10"/>
      <c r="AV475" s="10"/>
      <c r="AW475" s="10"/>
      <c r="AX475" s="10"/>
      <c r="AY475" s="10"/>
      <c r="AZ475" s="10"/>
      <c r="BA475" s="10"/>
    </row>
    <row r="476" spans="1:53" x14ac:dyDescent="0.25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  <c r="AJ476" s="10"/>
      <c r="AK476" s="10"/>
      <c r="AL476" s="10"/>
      <c r="AM476" s="10"/>
      <c r="AN476" s="10"/>
      <c r="AO476" s="10"/>
      <c r="AP476" s="10"/>
      <c r="AQ476" s="10"/>
      <c r="AR476" s="10"/>
      <c r="AS476" s="10"/>
      <c r="AT476" s="10"/>
      <c r="AU476" s="10"/>
      <c r="AV476" s="10"/>
      <c r="AW476" s="10"/>
      <c r="AX476" s="10"/>
      <c r="AY476" s="10"/>
      <c r="AZ476" s="10"/>
      <c r="BA476" s="10"/>
    </row>
    <row r="477" spans="1:53" x14ac:dyDescent="0.25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  <c r="AJ477" s="10"/>
      <c r="AK477" s="10"/>
      <c r="AL477" s="10"/>
      <c r="AM477" s="10"/>
      <c r="AN477" s="10"/>
      <c r="AO477" s="10"/>
      <c r="AP477" s="10"/>
      <c r="AQ477" s="10"/>
      <c r="AR477" s="10"/>
      <c r="AS477" s="10"/>
      <c r="AT477" s="10"/>
      <c r="AU477" s="10"/>
      <c r="AV477" s="10"/>
      <c r="AW477" s="10"/>
      <c r="AX477" s="10"/>
      <c r="AY477" s="10"/>
      <c r="AZ477" s="10"/>
      <c r="BA477" s="10"/>
    </row>
    <row r="478" spans="1:53" x14ac:dyDescent="0.25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  <c r="AJ478" s="10"/>
      <c r="AK478" s="10"/>
      <c r="AL478" s="10"/>
      <c r="AM478" s="10"/>
      <c r="AN478" s="10"/>
      <c r="AO478" s="10"/>
      <c r="AP478" s="10"/>
      <c r="AQ478" s="10"/>
      <c r="AR478" s="10"/>
      <c r="AS478" s="10"/>
      <c r="AT478" s="10"/>
      <c r="AU478" s="10"/>
      <c r="AV478" s="10"/>
      <c r="AW478" s="10"/>
      <c r="AX478" s="10"/>
      <c r="AY478" s="10"/>
      <c r="AZ478" s="10"/>
      <c r="BA478" s="10"/>
    </row>
    <row r="479" spans="1:53" x14ac:dyDescent="0.25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  <c r="AJ479" s="10"/>
      <c r="AK479" s="10"/>
      <c r="AL479" s="10"/>
      <c r="AM479" s="10"/>
      <c r="AN479" s="10"/>
      <c r="AO479" s="10"/>
      <c r="AP479" s="10"/>
      <c r="AQ479" s="10"/>
      <c r="AR479" s="10"/>
      <c r="AS479" s="10"/>
      <c r="AT479" s="10"/>
      <c r="AU479" s="10"/>
      <c r="AV479" s="10"/>
      <c r="AW479" s="10"/>
      <c r="AX479" s="10"/>
      <c r="AY479" s="10"/>
      <c r="AZ479" s="10"/>
      <c r="BA479" s="10"/>
    </row>
    <row r="480" spans="1:53" x14ac:dyDescent="0.25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  <c r="AJ480" s="10"/>
      <c r="AK480" s="10"/>
      <c r="AL480" s="10"/>
      <c r="AM480" s="10"/>
      <c r="AN480" s="10"/>
      <c r="AO480" s="10"/>
      <c r="AP480" s="10"/>
      <c r="AQ480" s="10"/>
      <c r="AR480" s="10"/>
      <c r="AS480" s="10"/>
      <c r="AT480" s="10"/>
      <c r="AU480" s="10"/>
      <c r="AV480" s="10"/>
      <c r="AW480" s="10"/>
      <c r="AX480" s="10"/>
      <c r="AY480" s="10"/>
      <c r="AZ480" s="10"/>
      <c r="BA480" s="10"/>
    </row>
    <row r="481" spans="1:53" x14ac:dyDescent="0.25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  <c r="AJ481" s="10"/>
      <c r="AK481" s="10"/>
      <c r="AL481" s="10"/>
      <c r="AM481" s="10"/>
      <c r="AN481" s="10"/>
      <c r="AO481" s="10"/>
      <c r="AP481" s="10"/>
      <c r="AQ481" s="10"/>
      <c r="AR481" s="10"/>
      <c r="AS481" s="10"/>
      <c r="AT481" s="10"/>
      <c r="AU481" s="10"/>
      <c r="AV481" s="10"/>
      <c r="AW481" s="10"/>
      <c r="AX481" s="10"/>
      <c r="AY481" s="10"/>
      <c r="AZ481" s="10"/>
      <c r="BA481" s="10"/>
    </row>
    <row r="482" spans="1:53" x14ac:dyDescent="0.25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  <c r="AJ482" s="10"/>
      <c r="AK482" s="10"/>
      <c r="AL482" s="10"/>
      <c r="AM482" s="10"/>
      <c r="AN482" s="10"/>
      <c r="AO482" s="10"/>
      <c r="AP482" s="10"/>
      <c r="AQ482" s="10"/>
      <c r="AR482" s="10"/>
      <c r="AS482" s="10"/>
      <c r="AT482" s="10"/>
      <c r="AU482" s="10"/>
      <c r="AV482" s="10"/>
      <c r="AW482" s="10"/>
      <c r="AX482" s="10"/>
      <c r="AY482" s="10"/>
      <c r="AZ482" s="10"/>
      <c r="BA482" s="10"/>
    </row>
    <row r="483" spans="1:53" x14ac:dyDescent="0.25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  <c r="AJ483" s="10"/>
      <c r="AK483" s="10"/>
      <c r="AL483" s="10"/>
      <c r="AM483" s="10"/>
      <c r="AN483" s="10"/>
      <c r="AO483" s="10"/>
      <c r="AP483" s="10"/>
      <c r="AQ483" s="10"/>
      <c r="AR483" s="10"/>
      <c r="AS483" s="10"/>
      <c r="AT483" s="10"/>
      <c r="AU483" s="10"/>
      <c r="AV483" s="10"/>
      <c r="AW483" s="10"/>
      <c r="AX483" s="10"/>
      <c r="AY483" s="10"/>
      <c r="AZ483" s="10"/>
      <c r="BA483" s="10"/>
    </row>
    <row r="484" spans="1:53" x14ac:dyDescent="0.25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0"/>
      <c r="AM484" s="10"/>
      <c r="AN484" s="10"/>
      <c r="AO484" s="10"/>
      <c r="AP484" s="10"/>
      <c r="AQ484" s="10"/>
      <c r="AR484" s="10"/>
      <c r="AS484" s="10"/>
      <c r="AT484" s="10"/>
      <c r="AU484" s="10"/>
      <c r="AV484" s="10"/>
      <c r="AW484" s="10"/>
      <c r="AX484" s="10"/>
      <c r="AY484" s="10"/>
      <c r="AZ484" s="10"/>
      <c r="BA484" s="10"/>
    </row>
    <row r="485" spans="1:53" x14ac:dyDescent="0.25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J485" s="10"/>
      <c r="AK485" s="10"/>
      <c r="AL485" s="10"/>
      <c r="AM485" s="10"/>
      <c r="AN485" s="10"/>
      <c r="AO485" s="10"/>
      <c r="AP485" s="10"/>
      <c r="AQ485" s="10"/>
      <c r="AR485" s="10"/>
      <c r="AS485" s="10"/>
      <c r="AT485" s="10"/>
      <c r="AU485" s="10"/>
      <c r="AV485" s="10"/>
      <c r="AW485" s="10"/>
      <c r="AX485" s="10"/>
      <c r="AY485" s="10"/>
      <c r="AZ485" s="10"/>
      <c r="BA485" s="10"/>
    </row>
    <row r="486" spans="1:53" x14ac:dyDescent="0.25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J486" s="10"/>
      <c r="AK486" s="10"/>
      <c r="AL486" s="10"/>
      <c r="AM486" s="10"/>
      <c r="AN486" s="10"/>
      <c r="AO486" s="10"/>
      <c r="AP486" s="10"/>
      <c r="AQ486" s="10"/>
      <c r="AR486" s="10"/>
      <c r="AS486" s="10"/>
      <c r="AT486" s="10"/>
      <c r="AU486" s="10"/>
      <c r="AV486" s="10"/>
      <c r="AW486" s="10"/>
      <c r="AX486" s="10"/>
      <c r="AY486" s="10"/>
      <c r="AZ486" s="10"/>
      <c r="BA486" s="10"/>
    </row>
    <row r="487" spans="1:53" x14ac:dyDescent="0.25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J487" s="10"/>
      <c r="AK487" s="10"/>
      <c r="AL487" s="10"/>
      <c r="AM487" s="10"/>
      <c r="AN487" s="10"/>
      <c r="AO487" s="10"/>
      <c r="AP487" s="10"/>
      <c r="AQ487" s="10"/>
      <c r="AR487" s="10"/>
      <c r="AS487" s="10"/>
      <c r="AT487" s="10"/>
      <c r="AU487" s="10"/>
      <c r="AV487" s="10"/>
      <c r="AW487" s="10"/>
      <c r="AX487" s="10"/>
      <c r="AY487" s="10"/>
      <c r="AZ487" s="10"/>
      <c r="BA487" s="10"/>
    </row>
    <row r="488" spans="1:53" x14ac:dyDescent="0.25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  <c r="AJ488" s="10"/>
      <c r="AK488" s="10"/>
      <c r="AL488" s="10"/>
      <c r="AM488" s="10"/>
      <c r="AN488" s="10"/>
      <c r="AO488" s="10"/>
      <c r="AP488" s="10"/>
      <c r="AQ488" s="10"/>
      <c r="AR488" s="10"/>
      <c r="AS488" s="10"/>
      <c r="AT488" s="10"/>
      <c r="AU488" s="10"/>
      <c r="AV488" s="10"/>
      <c r="AW488" s="10"/>
      <c r="AX488" s="10"/>
      <c r="AY488" s="10"/>
      <c r="AZ488" s="10"/>
      <c r="BA488" s="10"/>
    </row>
    <row r="489" spans="1:53" x14ac:dyDescent="0.25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  <c r="AJ489" s="10"/>
      <c r="AK489" s="10"/>
      <c r="AL489" s="10"/>
      <c r="AM489" s="10"/>
      <c r="AN489" s="10"/>
      <c r="AO489" s="10"/>
      <c r="AP489" s="10"/>
      <c r="AQ489" s="10"/>
      <c r="AR489" s="10"/>
      <c r="AS489" s="10"/>
      <c r="AT489" s="10"/>
      <c r="AU489" s="10"/>
      <c r="AV489" s="10"/>
      <c r="AW489" s="10"/>
      <c r="AX489" s="10"/>
      <c r="AY489" s="10"/>
      <c r="AZ489" s="10"/>
      <c r="BA489" s="10"/>
    </row>
    <row r="490" spans="1:53" x14ac:dyDescent="0.25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J490" s="10"/>
      <c r="AK490" s="10"/>
      <c r="AL490" s="10"/>
      <c r="AM490" s="10"/>
      <c r="AN490" s="10"/>
      <c r="AO490" s="10"/>
      <c r="AP490" s="10"/>
      <c r="AQ490" s="10"/>
      <c r="AR490" s="10"/>
      <c r="AS490" s="10"/>
      <c r="AT490" s="10"/>
      <c r="AU490" s="10"/>
      <c r="AV490" s="10"/>
      <c r="AW490" s="10"/>
      <c r="AX490" s="10"/>
      <c r="AY490" s="10"/>
      <c r="AZ490" s="10"/>
      <c r="BA490" s="10"/>
    </row>
    <row r="491" spans="1:53" x14ac:dyDescent="0.25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  <c r="AJ491" s="10"/>
      <c r="AK491" s="10"/>
      <c r="AL491" s="10"/>
      <c r="AM491" s="10"/>
      <c r="AN491" s="10"/>
      <c r="AO491" s="10"/>
      <c r="AP491" s="10"/>
      <c r="AQ491" s="10"/>
      <c r="AR491" s="10"/>
      <c r="AS491" s="10"/>
      <c r="AT491" s="10"/>
      <c r="AU491" s="10"/>
      <c r="AV491" s="10"/>
      <c r="AW491" s="10"/>
      <c r="AX491" s="10"/>
      <c r="AY491" s="10"/>
      <c r="AZ491" s="10"/>
      <c r="BA491" s="10"/>
    </row>
    <row r="492" spans="1:53" x14ac:dyDescent="0.25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0"/>
      <c r="AM492" s="10"/>
      <c r="AN492" s="10"/>
      <c r="AO492" s="10"/>
      <c r="AP492" s="10"/>
      <c r="AQ492" s="10"/>
      <c r="AR492" s="10"/>
      <c r="AS492" s="10"/>
      <c r="AT492" s="10"/>
      <c r="AU492" s="10"/>
      <c r="AV492" s="10"/>
      <c r="AW492" s="10"/>
      <c r="AX492" s="10"/>
      <c r="AY492" s="10"/>
      <c r="AZ492" s="10"/>
      <c r="BA492" s="10"/>
    </row>
    <row r="493" spans="1:53" x14ac:dyDescent="0.25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J493" s="10"/>
      <c r="AK493" s="10"/>
      <c r="AL493" s="10"/>
      <c r="AM493" s="10"/>
      <c r="AN493" s="10"/>
      <c r="AO493" s="10"/>
      <c r="AP493" s="10"/>
      <c r="AQ493" s="10"/>
      <c r="AR493" s="10"/>
      <c r="AS493" s="10"/>
      <c r="AT493" s="10"/>
      <c r="AU493" s="10"/>
      <c r="AV493" s="10"/>
      <c r="AW493" s="10"/>
      <c r="AX493" s="10"/>
      <c r="AY493" s="10"/>
      <c r="AZ493" s="10"/>
      <c r="BA493" s="10"/>
    </row>
    <row r="494" spans="1:53" x14ac:dyDescent="0.25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J494" s="10"/>
      <c r="AK494" s="10"/>
      <c r="AL494" s="10"/>
      <c r="AM494" s="10"/>
      <c r="AN494" s="10"/>
      <c r="AO494" s="10"/>
      <c r="AP494" s="10"/>
      <c r="AQ494" s="10"/>
      <c r="AR494" s="10"/>
      <c r="AS494" s="10"/>
      <c r="AT494" s="10"/>
      <c r="AU494" s="10"/>
      <c r="AV494" s="10"/>
      <c r="AW494" s="10"/>
      <c r="AX494" s="10"/>
      <c r="AY494" s="10"/>
      <c r="AZ494" s="10"/>
      <c r="BA494" s="10"/>
    </row>
    <row r="495" spans="1:53" x14ac:dyDescent="0.25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  <c r="AJ495" s="10"/>
      <c r="AK495" s="10"/>
      <c r="AL495" s="10"/>
      <c r="AM495" s="10"/>
      <c r="AN495" s="10"/>
      <c r="AO495" s="10"/>
      <c r="AP495" s="10"/>
      <c r="AQ495" s="10"/>
      <c r="AR495" s="10"/>
      <c r="AS495" s="10"/>
      <c r="AT495" s="10"/>
      <c r="AU495" s="10"/>
      <c r="AV495" s="10"/>
      <c r="AW495" s="10"/>
      <c r="AX495" s="10"/>
      <c r="AY495" s="10"/>
      <c r="AZ495" s="10"/>
      <c r="BA495" s="10"/>
    </row>
    <row r="496" spans="1:53" x14ac:dyDescent="0.25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  <c r="AJ496" s="10"/>
      <c r="AK496" s="10"/>
      <c r="AL496" s="10"/>
      <c r="AM496" s="10"/>
      <c r="AN496" s="10"/>
      <c r="AO496" s="10"/>
      <c r="AP496" s="10"/>
      <c r="AQ496" s="10"/>
      <c r="AR496" s="10"/>
      <c r="AS496" s="10"/>
      <c r="AT496" s="10"/>
      <c r="AU496" s="10"/>
      <c r="AV496" s="10"/>
      <c r="AW496" s="10"/>
      <c r="AX496" s="10"/>
      <c r="AY496" s="10"/>
      <c r="AZ496" s="10"/>
      <c r="BA496" s="10"/>
    </row>
    <row r="497" spans="1:53" x14ac:dyDescent="0.25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  <c r="AJ497" s="10"/>
      <c r="AK497" s="10"/>
      <c r="AL497" s="10"/>
      <c r="AM497" s="10"/>
      <c r="AN497" s="10"/>
      <c r="AO497" s="10"/>
      <c r="AP497" s="10"/>
      <c r="AQ497" s="10"/>
      <c r="AR497" s="10"/>
      <c r="AS497" s="10"/>
      <c r="AT497" s="10"/>
      <c r="AU497" s="10"/>
      <c r="AV497" s="10"/>
      <c r="AW497" s="10"/>
      <c r="AX497" s="10"/>
      <c r="AY497" s="10"/>
      <c r="AZ497" s="10"/>
      <c r="BA497" s="10"/>
    </row>
    <row r="498" spans="1:53" x14ac:dyDescent="0.25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J498" s="10"/>
      <c r="AK498" s="10"/>
      <c r="AL498" s="10"/>
      <c r="AM498" s="10"/>
      <c r="AN498" s="10"/>
      <c r="AO498" s="10"/>
      <c r="AP498" s="10"/>
      <c r="AQ498" s="10"/>
      <c r="AR498" s="10"/>
      <c r="AS498" s="10"/>
      <c r="AT498" s="10"/>
      <c r="AU498" s="10"/>
      <c r="AV498" s="10"/>
      <c r="AW498" s="10"/>
      <c r="AX498" s="10"/>
      <c r="AY498" s="10"/>
      <c r="AZ498" s="10"/>
      <c r="BA498" s="10"/>
    </row>
    <row r="499" spans="1:53" x14ac:dyDescent="0.25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  <c r="AJ499" s="10"/>
      <c r="AK499" s="10"/>
      <c r="AL499" s="10"/>
      <c r="AM499" s="10"/>
      <c r="AN499" s="10"/>
      <c r="AO499" s="10"/>
      <c r="AP499" s="10"/>
      <c r="AQ499" s="10"/>
      <c r="AR499" s="10"/>
      <c r="AS499" s="10"/>
      <c r="AT499" s="10"/>
      <c r="AU499" s="10"/>
      <c r="AV499" s="10"/>
      <c r="AW499" s="10"/>
      <c r="AX499" s="10"/>
      <c r="AY499" s="10"/>
      <c r="AZ499" s="10"/>
      <c r="BA499" s="10"/>
    </row>
    <row r="500" spans="1:53" x14ac:dyDescent="0.25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  <c r="AJ500" s="10"/>
      <c r="AK500" s="10"/>
      <c r="AL500" s="10"/>
      <c r="AM500" s="10"/>
      <c r="AN500" s="10"/>
      <c r="AO500" s="10"/>
      <c r="AP500" s="10"/>
      <c r="AQ500" s="10"/>
      <c r="AR500" s="10"/>
      <c r="AS500" s="10"/>
      <c r="AT500" s="10"/>
      <c r="AU500" s="10"/>
      <c r="AV500" s="10"/>
      <c r="AW500" s="10"/>
      <c r="AX500" s="10"/>
      <c r="AY500" s="10"/>
      <c r="AZ500" s="10"/>
      <c r="BA500" s="10"/>
    </row>
    <row r="501" spans="1:53" x14ac:dyDescent="0.25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  <c r="AJ501" s="10"/>
      <c r="AK501" s="10"/>
      <c r="AL501" s="10"/>
      <c r="AM501" s="10"/>
      <c r="AN501" s="10"/>
      <c r="AO501" s="10"/>
      <c r="AP501" s="10"/>
      <c r="AQ501" s="10"/>
      <c r="AR501" s="10"/>
      <c r="AS501" s="10"/>
      <c r="AT501" s="10"/>
      <c r="AU501" s="10"/>
      <c r="AV501" s="10"/>
      <c r="AW501" s="10"/>
      <c r="AX501" s="10"/>
      <c r="AY501" s="10"/>
      <c r="AZ501" s="10"/>
      <c r="BA501" s="10"/>
    </row>
    <row r="502" spans="1:53" x14ac:dyDescent="0.25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  <c r="AJ502" s="10"/>
      <c r="AK502" s="10"/>
      <c r="AL502" s="10"/>
      <c r="AM502" s="10"/>
      <c r="AN502" s="10"/>
      <c r="AO502" s="10"/>
      <c r="AP502" s="10"/>
      <c r="AQ502" s="10"/>
      <c r="AR502" s="10"/>
      <c r="AS502" s="10"/>
      <c r="AT502" s="10"/>
      <c r="AU502" s="10"/>
      <c r="AV502" s="10"/>
      <c r="AW502" s="10"/>
      <c r="AX502" s="10"/>
      <c r="AY502" s="10"/>
      <c r="AZ502" s="10"/>
      <c r="BA502" s="10"/>
    </row>
    <row r="503" spans="1:53" x14ac:dyDescent="0.25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J503" s="10"/>
      <c r="AK503" s="10"/>
      <c r="AL503" s="10"/>
      <c r="AM503" s="10"/>
      <c r="AN503" s="10"/>
      <c r="AO503" s="10"/>
      <c r="AP503" s="10"/>
      <c r="AQ503" s="10"/>
      <c r="AR503" s="10"/>
      <c r="AS503" s="10"/>
      <c r="AT503" s="10"/>
      <c r="AU503" s="10"/>
      <c r="AV503" s="10"/>
      <c r="AW503" s="10"/>
      <c r="AX503" s="10"/>
      <c r="AY503" s="10"/>
      <c r="AZ503" s="10"/>
      <c r="BA503" s="10"/>
    </row>
    <row r="504" spans="1:53" x14ac:dyDescent="0.25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  <c r="AJ504" s="10"/>
      <c r="AK504" s="10"/>
      <c r="AL504" s="10"/>
      <c r="AM504" s="10"/>
      <c r="AN504" s="10"/>
      <c r="AO504" s="10"/>
      <c r="AP504" s="10"/>
      <c r="AQ504" s="10"/>
      <c r="AR504" s="10"/>
      <c r="AS504" s="10"/>
      <c r="AT504" s="10"/>
      <c r="AU504" s="10"/>
      <c r="AV504" s="10"/>
      <c r="AW504" s="10"/>
      <c r="AX504" s="10"/>
      <c r="AY504" s="10"/>
      <c r="AZ504" s="10"/>
      <c r="BA504" s="10"/>
    </row>
    <row r="505" spans="1:53" x14ac:dyDescent="0.25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  <c r="AJ505" s="10"/>
      <c r="AK505" s="10"/>
      <c r="AL505" s="10"/>
      <c r="AM505" s="10"/>
      <c r="AN505" s="10"/>
      <c r="AO505" s="10"/>
      <c r="AP505" s="10"/>
      <c r="AQ505" s="10"/>
      <c r="AR505" s="10"/>
      <c r="AS505" s="10"/>
      <c r="AT505" s="10"/>
      <c r="AU505" s="10"/>
      <c r="AV505" s="10"/>
      <c r="AW505" s="10"/>
      <c r="AX505" s="10"/>
      <c r="AY505" s="10"/>
      <c r="AZ505" s="10"/>
      <c r="BA505" s="10"/>
    </row>
    <row r="506" spans="1:53" x14ac:dyDescent="0.25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  <c r="AJ506" s="10"/>
      <c r="AK506" s="10"/>
      <c r="AL506" s="10"/>
      <c r="AM506" s="10"/>
      <c r="AN506" s="10"/>
      <c r="AO506" s="10"/>
      <c r="AP506" s="10"/>
      <c r="AQ506" s="10"/>
      <c r="AR506" s="10"/>
      <c r="AS506" s="10"/>
      <c r="AT506" s="10"/>
      <c r="AU506" s="10"/>
      <c r="AV506" s="10"/>
      <c r="AW506" s="10"/>
      <c r="AX506" s="10"/>
      <c r="AY506" s="10"/>
      <c r="AZ506" s="10"/>
      <c r="BA506" s="10"/>
    </row>
    <row r="507" spans="1:53" x14ac:dyDescent="0.25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J507" s="10"/>
      <c r="AK507" s="10"/>
      <c r="AL507" s="10"/>
      <c r="AM507" s="10"/>
      <c r="AN507" s="10"/>
      <c r="AO507" s="10"/>
      <c r="AP507" s="10"/>
      <c r="AQ507" s="10"/>
      <c r="AR507" s="10"/>
      <c r="AS507" s="10"/>
      <c r="AT507" s="10"/>
      <c r="AU507" s="10"/>
      <c r="AV507" s="10"/>
      <c r="AW507" s="10"/>
      <c r="AX507" s="10"/>
      <c r="AY507" s="10"/>
      <c r="AZ507" s="10"/>
      <c r="BA507" s="10"/>
    </row>
    <row r="508" spans="1:53" x14ac:dyDescent="0.25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J508" s="10"/>
      <c r="AK508" s="10"/>
      <c r="AL508" s="10"/>
      <c r="AM508" s="10"/>
      <c r="AN508" s="10"/>
      <c r="AO508" s="10"/>
      <c r="AP508" s="10"/>
      <c r="AQ508" s="10"/>
      <c r="AR508" s="10"/>
      <c r="AS508" s="10"/>
      <c r="AT508" s="10"/>
      <c r="AU508" s="10"/>
      <c r="AV508" s="10"/>
      <c r="AW508" s="10"/>
      <c r="AX508" s="10"/>
      <c r="AY508" s="10"/>
      <c r="AZ508" s="10"/>
      <c r="BA508" s="10"/>
    </row>
    <row r="509" spans="1:53" x14ac:dyDescent="0.25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J509" s="10"/>
      <c r="AK509" s="10"/>
      <c r="AL509" s="10"/>
      <c r="AM509" s="10"/>
      <c r="AN509" s="10"/>
      <c r="AO509" s="10"/>
      <c r="AP509" s="10"/>
      <c r="AQ509" s="10"/>
      <c r="AR509" s="10"/>
      <c r="AS509" s="10"/>
      <c r="AT509" s="10"/>
      <c r="AU509" s="10"/>
      <c r="AV509" s="10"/>
      <c r="AW509" s="10"/>
      <c r="AX509" s="10"/>
      <c r="AY509" s="10"/>
      <c r="AZ509" s="10"/>
      <c r="BA509" s="10"/>
    </row>
    <row r="510" spans="1:53" x14ac:dyDescent="0.25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J510" s="10"/>
      <c r="AK510" s="10"/>
      <c r="AL510" s="10"/>
      <c r="AM510" s="10"/>
      <c r="AN510" s="10"/>
      <c r="AO510" s="10"/>
      <c r="AP510" s="10"/>
      <c r="AQ510" s="10"/>
      <c r="AR510" s="10"/>
      <c r="AS510" s="10"/>
      <c r="AT510" s="10"/>
      <c r="AU510" s="10"/>
      <c r="AV510" s="10"/>
      <c r="AW510" s="10"/>
      <c r="AX510" s="10"/>
      <c r="AY510" s="10"/>
      <c r="AZ510" s="10"/>
      <c r="BA510" s="10"/>
    </row>
    <row r="511" spans="1:53" x14ac:dyDescent="0.25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J511" s="10"/>
      <c r="AK511" s="10"/>
      <c r="AL511" s="10"/>
      <c r="AM511" s="10"/>
      <c r="AN511" s="10"/>
      <c r="AO511" s="10"/>
      <c r="AP511" s="10"/>
      <c r="AQ511" s="10"/>
      <c r="AR511" s="10"/>
      <c r="AS511" s="10"/>
      <c r="AT511" s="10"/>
      <c r="AU511" s="10"/>
      <c r="AV511" s="10"/>
      <c r="AW511" s="10"/>
      <c r="AX511" s="10"/>
      <c r="AY511" s="10"/>
      <c r="AZ511" s="10"/>
      <c r="BA511" s="10"/>
    </row>
    <row r="512" spans="1:53" x14ac:dyDescent="0.25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0"/>
      <c r="AM512" s="10"/>
      <c r="AN512" s="10"/>
      <c r="AO512" s="10"/>
      <c r="AP512" s="10"/>
      <c r="AQ512" s="10"/>
      <c r="AR512" s="10"/>
      <c r="AS512" s="10"/>
      <c r="AT512" s="10"/>
      <c r="AU512" s="10"/>
      <c r="AV512" s="10"/>
      <c r="AW512" s="10"/>
      <c r="AX512" s="10"/>
      <c r="AY512" s="10"/>
      <c r="AZ512" s="10"/>
      <c r="BA512" s="10"/>
    </row>
    <row r="513" spans="1:53" x14ac:dyDescent="0.25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J513" s="10"/>
      <c r="AK513" s="10"/>
      <c r="AL513" s="10"/>
      <c r="AM513" s="10"/>
      <c r="AN513" s="10"/>
      <c r="AO513" s="10"/>
      <c r="AP513" s="10"/>
      <c r="AQ513" s="10"/>
      <c r="AR513" s="10"/>
      <c r="AS513" s="10"/>
      <c r="AT513" s="10"/>
      <c r="AU513" s="10"/>
      <c r="AV513" s="10"/>
      <c r="AW513" s="10"/>
      <c r="AX513" s="10"/>
      <c r="AY513" s="10"/>
      <c r="AZ513" s="10"/>
      <c r="BA513" s="10"/>
    </row>
    <row r="514" spans="1:53" x14ac:dyDescent="0.25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0"/>
      <c r="AM514" s="10"/>
      <c r="AN514" s="10"/>
      <c r="AO514" s="10"/>
      <c r="AP514" s="10"/>
      <c r="AQ514" s="10"/>
      <c r="AR514" s="10"/>
      <c r="AS514" s="10"/>
      <c r="AT514" s="10"/>
      <c r="AU514" s="10"/>
      <c r="AV514" s="10"/>
      <c r="AW514" s="10"/>
      <c r="AX514" s="10"/>
      <c r="AY514" s="10"/>
      <c r="AZ514" s="10"/>
      <c r="BA514" s="10"/>
    </row>
    <row r="515" spans="1:53" x14ac:dyDescent="0.25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  <c r="AJ515" s="10"/>
      <c r="AK515" s="10"/>
      <c r="AL515" s="10"/>
      <c r="AM515" s="10"/>
      <c r="AN515" s="10"/>
      <c r="AO515" s="10"/>
      <c r="AP515" s="10"/>
      <c r="AQ515" s="10"/>
      <c r="AR515" s="10"/>
      <c r="AS515" s="10"/>
      <c r="AT515" s="10"/>
      <c r="AU515" s="10"/>
      <c r="AV515" s="10"/>
      <c r="AW515" s="10"/>
      <c r="AX515" s="10"/>
      <c r="AY515" s="10"/>
      <c r="AZ515" s="10"/>
      <c r="BA515" s="10"/>
    </row>
    <row r="516" spans="1:53" x14ac:dyDescent="0.25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J516" s="10"/>
      <c r="AK516" s="10"/>
      <c r="AL516" s="10"/>
      <c r="AM516" s="10"/>
      <c r="AN516" s="10"/>
      <c r="AO516" s="10"/>
      <c r="AP516" s="10"/>
      <c r="AQ516" s="10"/>
      <c r="AR516" s="10"/>
      <c r="AS516" s="10"/>
      <c r="AT516" s="10"/>
      <c r="AU516" s="10"/>
      <c r="AV516" s="10"/>
      <c r="AW516" s="10"/>
      <c r="AX516" s="10"/>
      <c r="AY516" s="10"/>
      <c r="AZ516" s="10"/>
      <c r="BA516" s="10"/>
    </row>
    <row r="517" spans="1:53" x14ac:dyDescent="0.25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J517" s="10"/>
      <c r="AK517" s="10"/>
      <c r="AL517" s="10"/>
      <c r="AM517" s="10"/>
      <c r="AN517" s="10"/>
      <c r="AO517" s="10"/>
      <c r="AP517" s="10"/>
      <c r="AQ517" s="10"/>
      <c r="AR517" s="10"/>
      <c r="AS517" s="10"/>
      <c r="AT517" s="10"/>
      <c r="AU517" s="10"/>
      <c r="AV517" s="10"/>
      <c r="AW517" s="10"/>
      <c r="AX517" s="10"/>
      <c r="AY517" s="10"/>
      <c r="AZ517" s="10"/>
      <c r="BA517" s="10"/>
    </row>
    <row r="518" spans="1:53" x14ac:dyDescent="0.25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  <c r="AJ518" s="10"/>
      <c r="AK518" s="10"/>
      <c r="AL518" s="10"/>
      <c r="AM518" s="10"/>
      <c r="AN518" s="10"/>
      <c r="AO518" s="10"/>
      <c r="AP518" s="10"/>
      <c r="AQ518" s="10"/>
      <c r="AR518" s="10"/>
      <c r="AS518" s="10"/>
      <c r="AT518" s="10"/>
      <c r="AU518" s="10"/>
      <c r="AV518" s="10"/>
      <c r="AW518" s="10"/>
      <c r="AX518" s="10"/>
      <c r="AY518" s="10"/>
      <c r="AZ518" s="10"/>
      <c r="BA518" s="10"/>
    </row>
    <row r="519" spans="1:53" x14ac:dyDescent="0.25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  <c r="AJ519" s="10"/>
      <c r="AK519" s="10"/>
      <c r="AL519" s="10"/>
      <c r="AM519" s="10"/>
      <c r="AN519" s="10"/>
      <c r="AO519" s="10"/>
      <c r="AP519" s="10"/>
      <c r="AQ519" s="10"/>
      <c r="AR519" s="10"/>
      <c r="AS519" s="10"/>
      <c r="AT519" s="10"/>
      <c r="AU519" s="10"/>
      <c r="AV519" s="10"/>
      <c r="AW519" s="10"/>
      <c r="AX519" s="10"/>
      <c r="AY519" s="10"/>
      <c r="AZ519" s="10"/>
      <c r="BA519" s="10"/>
    </row>
    <row r="520" spans="1:53" x14ac:dyDescent="0.25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  <c r="AJ520" s="10"/>
      <c r="AK520" s="10"/>
      <c r="AL520" s="10"/>
      <c r="AM520" s="10"/>
      <c r="AN520" s="10"/>
      <c r="AO520" s="10"/>
      <c r="AP520" s="10"/>
      <c r="AQ520" s="10"/>
      <c r="AR520" s="10"/>
      <c r="AS520" s="10"/>
      <c r="AT520" s="10"/>
      <c r="AU520" s="10"/>
      <c r="AV520" s="10"/>
      <c r="AW520" s="10"/>
      <c r="AX520" s="10"/>
      <c r="AY520" s="10"/>
      <c r="AZ520" s="10"/>
      <c r="BA520" s="10"/>
    </row>
    <row r="521" spans="1:53" x14ac:dyDescent="0.2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  <c r="AJ521" s="10"/>
      <c r="AK521" s="10"/>
      <c r="AL521" s="10"/>
      <c r="AM521" s="10"/>
      <c r="AN521" s="10"/>
      <c r="AO521" s="10"/>
      <c r="AP521" s="10"/>
      <c r="AQ521" s="10"/>
      <c r="AR521" s="10"/>
      <c r="AS521" s="10"/>
      <c r="AT521" s="10"/>
      <c r="AU521" s="10"/>
      <c r="AV521" s="10"/>
      <c r="AW521" s="10"/>
      <c r="AX521" s="10"/>
      <c r="AY521" s="10"/>
      <c r="AZ521" s="10"/>
      <c r="BA521" s="10"/>
    </row>
    <row r="522" spans="1:53" x14ac:dyDescent="0.25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  <c r="AJ522" s="10"/>
      <c r="AK522" s="10"/>
      <c r="AL522" s="10"/>
      <c r="AM522" s="10"/>
      <c r="AN522" s="10"/>
      <c r="AO522" s="10"/>
      <c r="AP522" s="10"/>
      <c r="AQ522" s="10"/>
      <c r="AR522" s="10"/>
      <c r="AS522" s="10"/>
      <c r="AT522" s="10"/>
      <c r="AU522" s="10"/>
      <c r="AV522" s="10"/>
      <c r="AW522" s="10"/>
      <c r="AX522" s="10"/>
      <c r="AY522" s="10"/>
      <c r="AZ522" s="10"/>
      <c r="BA522" s="10"/>
    </row>
    <row r="523" spans="1:53" x14ac:dyDescent="0.25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  <c r="AJ523" s="10"/>
      <c r="AK523" s="10"/>
      <c r="AL523" s="10"/>
      <c r="AM523" s="10"/>
      <c r="AN523" s="10"/>
      <c r="AO523" s="10"/>
      <c r="AP523" s="10"/>
      <c r="AQ523" s="10"/>
      <c r="AR523" s="10"/>
      <c r="AS523" s="10"/>
      <c r="AT523" s="10"/>
      <c r="AU523" s="10"/>
      <c r="AV523" s="10"/>
      <c r="AW523" s="10"/>
      <c r="AX523" s="10"/>
      <c r="AY523" s="10"/>
      <c r="AZ523" s="10"/>
      <c r="BA523" s="10"/>
    </row>
    <row r="524" spans="1:53" x14ac:dyDescent="0.25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  <c r="AJ524" s="10"/>
      <c r="AK524" s="10"/>
      <c r="AL524" s="10"/>
      <c r="AM524" s="10"/>
      <c r="AN524" s="10"/>
      <c r="AO524" s="10"/>
      <c r="AP524" s="10"/>
      <c r="AQ524" s="10"/>
      <c r="AR524" s="10"/>
      <c r="AS524" s="10"/>
      <c r="AT524" s="10"/>
      <c r="AU524" s="10"/>
      <c r="AV524" s="10"/>
      <c r="AW524" s="10"/>
      <c r="AX524" s="10"/>
      <c r="AY524" s="10"/>
      <c r="AZ524" s="10"/>
      <c r="BA524" s="10"/>
    </row>
    <row r="525" spans="1:53" x14ac:dyDescent="0.25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  <c r="AJ525" s="10"/>
      <c r="AK525" s="10"/>
      <c r="AL525" s="10"/>
      <c r="AM525" s="10"/>
      <c r="AN525" s="10"/>
      <c r="AO525" s="10"/>
      <c r="AP525" s="10"/>
      <c r="AQ525" s="10"/>
      <c r="AR525" s="10"/>
      <c r="AS525" s="10"/>
      <c r="AT525" s="10"/>
      <c r="AU525" s="10"/>
      <c r="AV525" s="10"/>
      <c r="AW525" s="10"/>
      <c r="AX525" s="10"/>
      <c r="AY525" s="10"/>
      <c r="AZ525" s="10"/>
      <c r="BA525" s="10"/>
    </row>
    <row r="526" spans="1:53" x14ac:dyDescent="0.25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J526" s="10"/>
      <c r="AK526" s="10"/>
      <c r="AL526" s="10"/>
      <c r="AM526" s="10"/>
      <c r="AN526" s="10"/>
      <c r="AO526" s="10"/>
      <c r="AP526" s="10"/>
      <c r="AQ526" s="10"/>
      <c r="AR526" s="10"/>
      <c r="AS526" s="10"/>
      <c r="AT526" s="10"/>
      <c r="AU526" s="10"/>
      <c r="AV526" s="10"/>
      <c r="AW526" s="10"/>
      <c r="AX526" s="10"/>
      <c r="AY526" s="10"/>
      <c r="AZ526" s="10"/>
      <c r="BA526" s="10"/>
    </row>
    <row r="527" spans="1:53" x14ac:dyDescent="0.25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  <c r="AJ527" s="10"/>
      <c r="AK527" s="10"/>
      <c r="AL527" s="10"/>
      <c r="AM527" s="10"/>
      <c r="AN527" s="10"/>
      <c r="AO527" s="10"/>
      <c r="AP527" s="10"/>
      <c r="AQ527" s="10"/>
      <c r="AR527" s="10"/>
      <c r="AS527" s="10"/>
      <c r="AT527" s="10"/>
      <c r="AU527" s="10"/>
      <c r="AV527" s="10"/>
      <c r="AW527" s="10"/>
      <c r="AX527" s="10"/>
      <c r="AY527" s="10"/>
      <c r="AZ527" s="10"/>
      <c r="BA527" s="10"/>
    </row>
    <row r="528" spans="1:53" x14ac:dyDescent="0.25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  <c r="AJ528" s="10"/>
      <c r="AK528" s="10"/>
      <c r="AL528" s="10"/>
      <c r="AM528" s="10"/>
      <c r="AN528" s="10"/>
      <c r="AO528" s="10"/>
      <c r="AP528" s="10"/>
      <c r="AQ528" s="10"/>
      <c r="AR528" s="10"/>
      <c r="AS528" s="10"/>
      <c r="AT528" s="10"/>
      <c r="AU528" s="10"/>
      <c r="AV528" s="10"/>
      <c r="AW528" s="10"/>
      <c r="AX528" s="10"/>
      <c r="AY528" s="10"/>
      <c r="AZ528" s="10"/>
      <c r="BA528" s="10"/>
    </row>
    <row r="529" spans="1:53" x14ac:dyDescent="0.25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  <c r="AJ529" s="10"/>
      <c r="AK529" s="10"/>
      <c r="AL529" s="10"/>
      <c r="AM529" s="10"/>
      <c r="AN529" s="10"/>
      <c r="AO529" s="10"/>
      <c r="AP529" s="10"/>
      <c r="AQ529" s="10"/>
      <c r="AR529" s="10"/>
      <c r="AS529" s="10"/>
      <c r="AT529" s="10"/>
      <c r="AU529" s="10"/>
      <c r="AV529" s="10"/>
      <c r="AW529" s="10"/>
      <c r="AX529" s="10"/>
      <c r="AY529" s="10"/>
      <c r="AZ529" s="10"/>
      <c r="BA529" s="10"/>
    </row>
    <row r="530" spans="1:53" x14ac:dyDescent="0.25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  <c r="AJ530" s="10"/>
      <c r="AK530" s="10"/>
      <c r="AL530" s="10"/>
      <c r="AM530" s="10"/>
      <c r="AN530" s="10"/>
      <c r="AO530" s="10"/>
      <c r="AP530" s="10"/>
      <c r="AQ530" s="10"/>
      <c r="AR530" s="10"/>
      <c r="AS530" s="10"/>
      <c r="AT530" s="10"/>
      <c r="AU530" s="10"/>
      <c r="AV530" s="10"/>
      <c r="AW530" s="10"/>
      <c r="AX530" s="10"/>
      <c r="AY530" s="10"/>
      <c r="AZ530" s="10"/>
      <c r="BA530" s="10"/>
    </row>
    <row r="531" spans="1:53" x14ac:dyDescent="0.25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J531" s="10"/>
      <c r="AK531" s="10"/>
      <c r="AL531" s="10"/>
      <c r="AM531" s="10"/>
      <c r="AN531" s="10"/>
      <c r="AO531" s="10"/>
      <c r="AP531" s="10"/>
      <c r="AQ531" s="10"/>
      <c r="AR531" s="10"/>
      <c r="AS531" s="10"/>
      <c r="AT531" s="10"/>
      <c r="AU531" s="10"/>
      <c r="AV531" s="10"/>
      <c r="AW531" s="10"/>
      <c r="AX531" s="10"/>
      <c r="AY531" s="10"/>
      <c r="AZ531" s="10"/>
      <c r="BA531" s="10"/>
    </row>
    <row r="532" spans="1:53" x14ac:dyDescent="0.25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J532" s="10"/>
      <c r="AK532" s="10"/>
      <c r="AL532" s="10"/>
      <c r="AM532" s="10"/>
      <c r="AN532" s="10"/>
      <c r="AO532" s="10"/>
      <c r="AP532" s="10"/>
      <c r="AQ532" s="10"/>
      <c r="AR532" s="10"/>
      <c r="AS532" s="10"/>
      <c r="AT532" s="10"/>
      <c r="AU532" s="10"/>
      <c r="AV532" s="10"/>
      <c r="AW532" s="10"/>
      <c r="AX532" s="10"/>
      <c r="AY532" s="10"/>
      <c r="AZ532" s="10"/>
      <c r="BA532" s="10"/>
    </row>
    <row r="533" spans="1:53" x14ac:dyDescent="0.25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  <c r="AJ533" s="10"/>
      <c r="AK533" s="10"/>
      <c r="AL533" s="10"/>
      <c r="AM533" s="10"/>
      <c r="AN533" s="10"/>
      <c r="AO533" s="10"/>
      <c r="AP533" s="10"/>
      <c r="AQ533" s="10"/>
      <c r="AR533" s="10"/>
      <c r="AS533" s="10"/>
      <c r="AT533" s="10"/>
      <c r="AU533" s="10"/>
      <c r="AV533" s="10"/>
      <c r="AW533" s="10"/>
      <c r="AX533" s="10"/>
      <c r="AY533" s="10"/>
      <c r="AZ533" s="10"/>
      <c r="BA533" s="10"/>
    </row>
    <row r="534" spans="1:53" x14ac:dyDescent="0.25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0"/>
      <c r="AM534" s="10"/>
      <c r="AN534" s="10"/>
      <c r="AO534" s="10"/>
      <c r="AP534" s="10"/>
      <c r="AQ534" s="10"/>
      <c r="AR534" s="10"/>
      <c r="AS534" s="10"/>
      <c r="AT534" s="10"/>
      <c r="AU534" s="10"/>
      <c r="AV534" s="10"/>
      <c r="AW534" s="10"/>
      <c r="AX534" s="10"/>
      <c r="AY534" s="10"/>
      <c r="AZ534" s="10"/>
      <c r="BA534" s="10"/>
    </row>
    <row r="535" spans="1:53" x14ac:dyDescent="0.25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J535" s="10"/>
      <c r="AK535" s="10"/>
      <c r="AL535" s="10"/>
      <c r="AM535" s="10"/>
      <c r="AN535" s="10"/>
      <c r="AO535" s="10"/>
      <c r="AP535" s="10"/>
      <c r="AQ535" s="10"/>
      <c r="AR535" s="10"/>
      <c r="AS535" s="10"/>
      <c r="AT535" s="10"/>
      <c r="AU535" s="10"/>
      <c r="AV535" s="10"/>
      <c r="AW535" s="10"/>
      <c r="AX535" s="10"/>
      <c r="AY535" s="10"/>
      <c r="AZ535" s="10"/>
      <c r="BA535" s="10"/>
    </row>
    <row r="536" spans="1:53" x14ac:dyDescent="0.25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J536" s="10"/>
      <c r="AK536" s="10"/>
      <c r="AL536" s="10"/>
      <c r="AM536" s="10"/>
      <c r="AN536" s="10"/>
      <c r="AO536" s="10"/>
      <c r="AP536" s="10"/>
      <c r="AQ536" s="10"/>
      <c r="AR536" s="10"/>
      <c r="AS536" s="10"/>
      <c r="AT536" s="10"/>
      <c r="AU536" s="10"/>
      <c r="AV536" s="10"/>
      <c r="AW536" s="10"/>
      <c r="AX536" s="10"/>
      <c r="AY536" s="10"/>
      <c r="AZ536" s="10"/>
      <c r="BA536" s="10"/>
    </row>
    <row r="537" spans="1:53" x14ac:dyDescent="0.25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J537" s="10"/>
      <c r="AK537" s="10"/>
      <c r="AL537" s="10"/>
      <c r="AM537" s="10"/>
      <c r="AN537" s="10"/>
      <c r="AO537" s="10"/>
      <c r="AP537" s="10"/>
      <c r="AQ537" s="10"/>
      <c r="AR537" s="10"/>
      <c r="AS537" s="10"/>
      <c r="AT537" s="10"/>
      <c r="AU537" s="10"/>
      <c r="AV537" s="10"/>
      <c r="AW537" s="10"/>
      <c r="AX537" s="10"/>
      <c r="AY537" s="10"/>
      <c r="AZ537" s="10"/>
      <c r="BA537" s="10"/>
    </row>
    <row r="538" spans="1:53" x14ac:dyDescent="0.25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J538" s="10"/>
      <c r="AK538" s="10"/>
      <c r="AL538" s="10"/>
      <c r="AM538" s="10"/>
      <c r="AN538" s="10"/>
      <c r="AO538" s="10"/>
      <c r="AP538" s="10"/>
      <c r="AQ538" s="10"/>
      <c r="AR538" s="10"/>
      <c r="AS538" s="10"/>
      <c r="AT538" s="10"/>
      <c r="AU538" s="10"/>
      <c r="AV538" s="10"/>
      <c r="AW538" s="10"/>
      <c r="AX538" s="10"/>
      <c r="AY538" s="10"/>
      <c r="AZ538" s="10"/>
      <c r="BA538" s="10"/>
    </row>
    <row r="539" spans="1:53" x14ac:dyDescent="0.25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0"/>
      <c r="AM539" s="10"/>
      <c r="AN539" s="10"/>
      <c r="AO539" s="10"/>
      <c r="AP539" s="10"/>
      <c r="AQ539" s="10"/>
      <c r="AR539" s="10"/>
      <c r="AS539" s="10"/>
      <c r="AT539" s="10"/>
      <c r="AU539" s="10"/>
      <c r="AV539" s="10"/>
      <c r="AW539" s="10"/>
      <c r="AX539" s="10"/>
      <c r="AY539" s="10"/>
      <c r="AZ539" s="10"/>
      <c r="BA539" s="10"/>
    </row>
    <row r="540" spans="1:53" x14ac:dyDescent="0.25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  <c r="AJ540" s="10"/>
      <c r="AK540" s="10"/>
      <c r="AL540" s="10"/>
      <c r="AM540" s="10"/>
      <c r="AN540" s="10"/>
      <c r="AO540" s="10"/>
      <c r="AP540" s="10"/>
      <c r="AQ540" s="10"/>
      <c r="AR540" s="10"/>
      <c r="AS540" s="10"/>
      <c r="AT540" s="10"/>
      <c r="AU540" s="10"/>
      <c r="AV540" s="10"/>
      <c r="AW540" s="10"/>
      <c r="AX540" s="10"/>
      <c r="AY540" s="10"/>
      <c r="AZ540" s="10"/>
      <c r="BA540" s="10"/>
    </row>
    <row r="541" spans="1:53" x14ac:dyDescent="0.25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  <c r="AJ541" s="10"/>
      <c r="AK541" s="10"/>
      <c r="AL541" s="10"/>
      <c r="AM541" s="10"/>
      <c r="AN541" s="10"/>
      <c r="AO541" s="10"/>
      <c r="AP541" s="10"/>
      <c r="AQ541" s="10"/>
      <c r="AR541" s="10"/>
      <c r="AS541" s="10"/>
      <c r="AT541" s="10"/>
      <c r="AU541" s="10"/>
      <c r="AV541" s="10"/>
      <c r="AW541" s="10"/>
      <c r="AX541" s="10"/>
      <c r="AY541" s="10"/>
      <c r="AZ541" s="10"/>
      <c r="BA541" s="10"/>
    </row>
    <row r="542" spans="1:53" x14ac:dyDescent="0.25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  <c r="AJ542" s="10"/>
      <c r="AK542" s="10"/>
      <c r="AL542" s="10"/>
      <c r="AM542" s="10"/>
      <c r="AN542" s="10"/>
      <c r="AO542" s="10"/>
      <c r="AP542" s="10"/>
      <c r="AQ542" s="10"/>
      <c r="AR542" s="10"/>
      <c r="AS542" s="10"/>
      <c r="AT542" s="10"/>
      <c r="AU542" s="10"/>
      <c r="AV542" s="10"/>
      <c r="AW542" s="10"/>
      <c r="AX542" s="10"/>
      <c r="AY542" s="10"/>
      <c r="AZ542" s="10"/>
      <c r="BA542" s="10"/>
    </row>
    <row r="543" spans="1:53" x14ac:dyDescent="0.25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  <c r="AJ543" s="10"/>
      <c r="AK543" s="10"/>
      <c r="AL543" s="10"/>
      <c r="AM543" s="10"/>
      <c r="AN543" s="10"/>
      <c r="AO543" s="10"/>
      <c r="AP543" s="10"/>
      <c r="AQ543" s="10"/>
      <c r="AR543" s="10"/>
      <c r="AS543" s="10"/>
      <c r="AT543" s="10"/>
      <c r="AU543" s="10"/>
      <c r="AV543" s="10"/>
      <c r="AW543" s="10"/>
      <c r="AX543" s="10"/>
      <c r="AY543" s="10"/>
      <c r="AZ543" s="10"/>
      <c r="BA543" s="10"/>
    </row>
    <row r="544" spans="1:53" x14ac:dyDescent="0.25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  <c r="AJ544" s="10"/>
      <c r="AK544" s="10"/>
      <c r="AL544" s="10"/>
      <c r="AM544" s="10"/>
      <c r="AN544" s="10"/>
      <c r="AO544" s="10"/>
      <c r="AP544" s="10"/>
      <c r="AQ544" s="10"/>
      <c r="AR544" s="10"/>
      <c r="AS544" s="10"/>
      <c r="AT544" s="10"/>
      <c r="AU544" s="10"/>
      <c r="AV544" s="10"/>
      <c r="AW544" s="10"/>
      <c r="AX544" s="10"/>
      <c r="AY544" s="10"/>
      <c r="AZ544" s="10"/>
      <c r="BA544" s="10"/>
    </row>
    <row r="545" spans="1:53" x14ac:dyDescent="0.25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  <c r="AJ545" s="10"/>
      <c r="AK545" s="10"/>
      <c r="AL545" s="10"/>
      <c r="AM545" s="10"/>
      <c r="AN545" s="10"/>
      <c r="AO545" s="10"/>
      <c r="AP545" s="10"/>
      <c r="AQ545" s="10"/>
      <c r="AR545" s="10"/>
      <c r="AS545" s="10"/>
      <c r="AT545" s="10"/>
      <c r="AU545" s="10"/>
      <c r="AV545" s="10"/>
      <c r="AW545" s="10"/>
      <c r="AX545" s="10"/>
      <c r="AY545" s="10"/>
      <c r="AZ545" s="10"/>
      <c r="BA545" s="10"/>
    </row>
    <row r="546" spans="1:53" x14ac:dyDescent="0.25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  <c r="AJ546" s="10"/>
      <c r="AK546" s="10"/>
      <c r="AL546" s="10"/>
      <c r="AM546" s="10"/>
      <c r="AN546" s="10"/>
      <c r="AO546" s="10"/>
      <c r="AP546" s="10"/>
      <c r="AQ546" s="10"/>
      <c r="AR546" s="10"/>
      <c r="AS546" s="10"/>
      <c r="AT546" s="10"/>
      <c r="AU546" s="10"/>
      <c r="AV546" s="10"/>
      <c r="AW546" s="10"/>
      <c r="AX546" s="10"/>
      <c r="AY546" s="10"/>
      <c r="AZ546" s="10"/>
      <c r="BA546" s="10"/>
    </row>
    <row r="547" spans="1:53" x14ac:dyDescent="0.25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  <c r="AJ547" s="10"/>
      <c r="AK547" s="10"/>
      <c r="AL547" s="10"/>
      <c r="AM547" s="10"/>
      <c r="AN547" s="10"/>
      <c r="AO547" s="10"/>
      <c r="AP547" s="10"/>
      <c r="AQ547" s="10"/>
      <c r="AR547" s="10"/>
      <c r="AS547" s="10"/>
      <c r="AT547" s="10"/>
      <c r="AU547" s="10"/>
      <c r="AV547" s="10"/>
      <c r="AW547" s="10"/>
      <c r="AX547" s="10"/>
      <c r="AY547" s="10"/>
      <c r="AZ547" s="10"/>
      <c r="BA547" s="10"/>
    </row>
    <row r="548" spans="1:53" x14ac:dyDescent="0.25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  <c r="AJ548" s="10"/>
      <c r="AK548" s="10"/>
      <c r="AL548" s="10"/>
      <c r="AM548" s="10"/>
      <c r="AN548" s="10"/>
      <c r="AO548" s="10"/>
      <c r="AP548" s="10"/>
      <c r="AQ548" s="10"/>
      <c r="AR548" s="10"/>
      <c r="AS548" s="10"/>
      <c r="AT548" s="10"/>
      <c r="AU548" s="10"/>
      <c r="AV548" s="10"/>
      <c r="AW548" s="10"/>
      <c r="AX548" s="10"/>
      <c r="AY548" s="10"/>
      <c r="AZ548" s="10"/>
      <c r="BA548" s="10"/>
    </row>
    <row r="549" spans="1:53" x14ac:dyDescent="0.25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  <c r="AJ549" s="10"/>
      <c r="AK549" s="10"/>
      <c r="AL549" s="10"/>
      <c r="AM549" s="10"/>
      <c r="AN549" s="10"/>
      <c r="AO549" s="10"/>
      <c r="AP549" s="10"/>
      <c r="AQ549" s="10"/>
      <c r="AR549" s="10"/>
      <c r="AS549" s="10"/>
      <c r="AT549" s="10"/>
      <c r="AU549" s="10"/>
      <c r="AV549" s="10"/>
      <c r="AW549" s="10"/>
      <c r="AX549" s="10"/>
      <c r="AY549" s="10"/>
      <c r="AZ549" s="10"/>
      <c r="BA549" s="10"/>
    </row>
    <row r="550" spans="1:53" x14ac:dyDescent="0.25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  <c r="AJ550" s="10"/>
      <c r="AK550" s="10"/>
      <c r="AL550" s="10"/>
      <c r="AM550" s="10"/>
      <c r="AN550" s="10"/>
      <c r="AO550" s="10"/>
      <c r="AP550" s="10"/>
      <c r="AQ550" s="10"/>
      <c r="AR550" s="10"/>
      <c r="AS550" s="10"/>
      <c r="AT550" s="10"/>
      <c r="AU550" s="10"/>
      <c r="AV550" s="10"/>
      <c r="AW550" s="10"/>
      <c r="AX550" s="10"/>
      <c r="AY550" s="10"/>
      <c r="AZ550" s="10"/>
      <c r="BA550" s="10"/>
    </row>
    <row r="551" spans="1:53" x14ac:dyDescent="0.25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  <c r="AJ551" s="10"/>
      <c r="AK551" s="10"/>
      <c r="AL551" s="10"/>
      <c r="AM551" s="10"/>
      <c r="AN551" s="10"/>
      <c r="AO551" s="10"/>
      <c r="AP551" s="10"/>
      <c r="AQ551" s="10"/>
      <c r="AR551" s="10"/>
      <c r="AS551" s="10"/>
      <c r="AT551" s="10"/>
      <c r="AU551" s="10"/>
      <c r="AV551" s="10"/>
      <c r="AW551" s="10"/>
      <c r="AX551" s="10"/>
      <c r="AY551" s="10"/>
      <c r="AZ551" s="10"/>
      <c r="BA551" s="10"/>
    </row>
    <row r="552" spans="1:53" x14ac:dyDescent="0.25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  <c r="AJ552" s="10"/>
      <c r="AK552" s="10"/>
      <c r="AL552" s="10"/>
      <c r="AM552" s="10"/>
      <c r="AN552" s="10"/>
      <c r="AO552" s="10"/>
      <c r="AP552" s="10"/>
      <c r="AQ552" s="10"/>
      <c r="AR552" s="10"/>
      <c r="AS552" s="10"/>
      <c r="AT552" s="10"/>
      <c r="AU552" s="10"/>
      <c r="AV552" s="10"/>
      <c r="AW552" s="10"/>
      <c r="AX552" s="10"/>
      <c r="AY552" s="10"/>
      <c r="AZ552" s="10"/>
      <c r="BA552" s="10"/>
    </row>
    <row r="553" spans="1:53" x14ac:dyDescent="0.25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  <c r="AJ553" s="10"/>
      <c r="AK553" s="10"/>
      <c r="AL553" s="10"/>
      <c r="AM553" s="10"/>
      <c r="AN553" s="10"/>
      <c r="AO553" s="10"/>
      <c r="AP553" s="10"/>
      <c r="AQ553" s="10"/>
      <c r="AR553" s="10"/>
      <c r="AS553" s="10"/>
      <c r="AT553" s="10"/>
      <c r="AU553" s="10"/>
      <c r="AV553" s="10"/>
      <c r="AW553" s="10"/>
      <c r="AX553" s="10"/>
      <c r="AY553" s="10"/>
      <c r="AZ553" s="10"/>
      <c r="BA553" s="10"/>
    </row>
    <row r="554" spans="1:53" x14ac:dyDescent="0.25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  <c r="AJ554" s="10"/>
      <c r="AK554" s="10"/>
      <c r="AL554" s="10"/>
      <c r="AM554" s="10"/>
      <c r="AN554" s="10"/>
      <c r="AO554" s="10"/>
      <c r="AP554" s="10"/>
      <c r="AQ554" s="10"/>
      <c r="AR554" s="10"/>
      <c r="AS554" s="10"/>
      <c r="AT554" s="10"/>
      <c r="AU554" s="10"/>
      <c r="AV554" s="10"/>
      <c r="AW554" s="10"/>
      <c r="AX554" s="10"/>
      <c r="AY554" s="10"/>
      <c r="AZ554" s="10"/>
      <c r="BA554" s="10"/>
    </row>
    <row r="555" spans="1:53" x14ac:dyDescent="0.25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  <c r="AJ555" s="10"/>
      <c r="AK555" s="10"/>
      <c r="AL555" s="10"/>
      <c r="AM555" s="10"/>
      <c r="AN555" s="10"/>
      <c r="AO555" s="10"/>
      <c r="AP555" s="10"/>
      <c r="AQ555" s="10"/>
      <c r="AR555" s="10"/>
      <c r="AS555" s="10"/>
      <c r="AT555" s="10"/>
      <c r="AU555" s="10"/>
      <c r="AV555" s="10"/>
      <c r="AW555" s="10"/>
      <c r="AX555" s="10"/>
      <c r="AY555" s="10"/>
      <c r="AZ555" s="10"/>
      <c r="BA555" s="10"/>
    </row>
    <row r="556" spans="1:53" x14ac:dyDescent="0.25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  <c r="AJ556" s="10"/>
      <c r="AK556" s="10"/>
      <c r="AL556" s="10"/>
      <c r="AM556" s="10"/>
      <c r="AN556" s="10"/>
      <c r="AO556" s="10"/>
      <c r="AP556" s="10"/>
      <c r="AQ556" s="10"/>
      <c r="AR556" s="10"/>
      <c r="AS556" s="10"/>
      <c r="AT556" s="10"/>
      <c r="AU556" s="10"/>
      <c r="AV556" s="10"/>
      <c r="AW556" s="10"/>
      <c r="AX556" s="10"/>
      <c r="AY556" s="10"/>
      <c r="AZ556" s="10"/>
      <c r="BA556" s="10"/>
    </row>
    <row r="557" spans="1:53" x14ac:dyDescent="0.25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  <c r="AJ557" s="10"/>
      <c r="AK557" s="10"/>
      <c r="AL557" s="10"/>
      <c r="AM557" s="10"/>
      <c r="AN557" s="10"/>
      <c r="AO557" s="10"/>
      <c r="AP557" s="10"/>
      <c r="AQ557" s="10"/>
      <c r="AR557" s="10"/>
      <c r="AS557" s="10"/>
      <c r="AT557" s="10"/>
      <c r="AU557" s="10"/>
      <c r="AV557" s="10"/>
      <c r="AW557" s="10"/>
      <c r="AX557" s="10"/>
      <c r="AY557" s="10"/>
      <c r="AZ557" s="10"/>
      <c r="BA557" s="10"/>
    </row>
    <row r="558" spans="1:53" x14ac:dyDescent="0.25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  <c r="AJ558" s="10"/>
      <c r="AK558" s="10"/>
      <c r="AL558" s="10"/>
      <c r="AM558" s="10"/>
      <c r="AN558" s="10"/>
      <c r="AO558" s="10"/>
      <c r="AP558" s="10"/>
      <c r="AQ558" s="10"/>
      <c r="AR558" s="10"/>
      <c r="AS558" s="10"/>
      <c r="AT558" s="10"/>
      <c r="AU558" s="10"/>
      <c r="AV558" s="10"/>
      <c r="AW558" s="10"/>
      <c r="AX558" s="10"/>
      <c r="AY558" s="10"/>
      <c r="AZ558" s="10"/>
      <c r="BA558" s="10"/>
    </row>
    <row r="559" spans="1:53" x14ac:dyDescent="0.25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  <c r="AJ559" s="10"/>
      <c r="AK559" s="10"/>
      <c r="AL559" s="10"/>
      <c r="AM559" s="10"/>
      <c r="AN559" s="10"/>
      <c r="AO559" s="10"/>
      <c r="AP559" s="10"/>
      <c r="AQ559" s="10"/>
      <c r="AR559" s="10"/>
      <c r="AS559" s="10"/>
      <c r="AT559" s="10"/>
      <c r="AU559" s="10"/>
      <c r="AV559" s="10"/>
      <c r="AW559" s="10"/>
      <c r="AX559" s="10"/>
      <c r="AY559" s="10"/>
      <c r="AZ559" s="10"/>
      <c r="BA559" s="10"/>
    </row>
    <row r="560" spans="1:53" x14ac:dyDescent="0.25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  <c r="AJ560" s="10"/>
      <c r="AK560" s="10"/>
      <c r="AL560" s="10"/>
      <c r="AM560" s="10"/>
      <c r="AN560" s="10"/>
      <c r="AO560" s="10"/>
      <c r="AP560" s="10"/>
      <c r="AQ560" s="10"/>
      <c r="AR560" s="10"/>
      <c r="AS560" s="10"/>
      <c r="AT560" s="10"/>
      <c r="AU560" s="10"/>
      <c r="AV560" s="10"/>
      <c r="AW560" s="10"/>
      <c r="AX560" s="10"/>
      <c r="AY560" s="10"/>
      <c r="AZ560" s="10"/>
      <c r="BA560" s="10"/>
    </row>
    <row r="561" spans="1:53" x14ac:dyDescent="0.25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  <c r="AJ561" s="10"/>
      <c r="AK561" s="10"/>
      <c r="AL561" s="10"/>
      <c r="AM561" s="10"/>
      <c r="AN561" s="10"/>
      <c r="AO561" s="10"/>
      <c r="AP561" s="10"/>
      <c r="AQ561" s="10"/>
      <c r="AR561" s="10"/>
      <c r="AS561" s="10"/>
      <c r="AT561" s="10"/>
      <c r="AU561" s="10"/>
      <c r="AV561" s="10"/>
      <c r="AW561" s="10"/>
      <c r="AX561" s="10"/>
      <c r="AY561" s="10"/>
      <c r="AZ561" s="10"/>
      <c r="BA561" s="10"/>
    </row>
    <row r="562" spans="1:53" x14ac:dyDescent="0.25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  <c r="AJ562" s="10"/>
      <c r="AK562" s="10"/>
      <c r="AL562" s="10"/>
      <c r="AM562" s="10"/>
      <c r="AN562" s="10"/>
      <c r="AO562" s="10"/>
      <c r="AP562" s="10"/>
      <c r="AQ562" s="10"/>
      <c r="AR562" s="10"/>
      <c r="AS562" s="10"/>
      <c r="AT562" s="10"/>
      <c r="AU562" s="10"/>
      <c r="AV562" s="10"/>
      <c r="AW562" s="10"/>
      <c r="AX562" s="10"/>
      <c r="AY562" s="10"/>
      <c r="AZ562" s="10"/>
      <c r="BA562" s="10"/>
    </row>
    <row r="563" spans="1:53" x14ac:dyDescent="0.25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  <c r="AJ563" s="10"/>
      <c r="AK563" s="10"/>
      <c r="AL563" s="10"/>
      <c r="AM563" s="10"/>
      <c r="AN563" s="10"/>
      <c r="AO563" s="10"/>
      <c r="AP563" s="10"/>
      <c r="AQ563" s="10"/>
      <c r="AR563" s="10"/>
      <c r="AS563" s="10"/>
      <c r="AT563" s="10"/>
      <c r="AU563" s="10"/>
      <c r="AV563" s="10"/>
      <c r="AW563" s="10"/>
      <c r="AX563" s="10"/>
      <c r="AY563" s="10"/>
      <c r="AZ563" s="10"/>
      <c r="BA563" s="10"/>
    </row>
    <row r="564" spans="1:53" x14ac:dyDescent="0.25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  <c r="AJ564" s="10"/>
      <c r="AK564" s="10"/>
      <c r="AL564" s="10"/>
      <c r="AM564" s="10"/>
      <c r="AN564" s="10"/>
      <c r="AO564" s="10"/>
      <c r="AP564" s="10"/>
      <c r="AQ564" s="10"/>
      <c r="AR564" s="10"/>
      <c r="AS564" s="10"/>
      <c r="AT564" s="10"/>
      <c r="AU564" s="10"/>
      <c r="AV564" s="10"/>
      <c r="AW564" s="10"/>
      <c r="AX564" s="10"/>
      <c r="AY564" s="10"/>
      <c r="AZ564" s="10"/>
      <c r="BA564" s="10"/>
    </row>
    <row r="565" spans="1:53" x14ac:dyDescent="0.25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  <c r="AJ565" s="10"/>
      <c r="AK565" s="10"/>
      <c r="AL565" s="10"/>
      <c r="AM565" s="10"/>
      <c r="AN565" s="10"/>
      <c r="AO565" s="10"/>
      <c r="AP565" s="10"/>
      <c r="AQ565" s="10"/>
      <c r="AR565" s="10"/>
      <c r="AS565" s="10"/>
      <c r="AT565" s="10"/>
      <c r="AU565" s="10"/>
      <c r="AV565" s="10"/>
      <c r="AW565" s="10"/>
      <c r="AX565" s="10"/>
      <c r="AY565" s="10"/>
      <c r="AZ565" s="10"/>
      <c r="BA565" s="10"/>
    </row>
    <row r="566" spans="1:53" x14ac:dyDescent="0.25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  <c r="AJ566" s="10"/>
      <c r="AK566" s="10"/>
      <c r="AL566" s="10"/>
      <c r="AM566" s="10"/>
      <c r="AN566" s="10"/>
      <c r="AO566" s="10"/>
      <c r="AP566" s="10"/>
      <c r="AQ566" s="10"/>
      <c r="AR566" s="10"/>
      <c r="AS566" s="10"/>
      <c r="AT566" s="10"/>
      <c r="AU566" s="10"/>
      <c r="AV566" s="10"/>
      <c r="AW566" s="10"/>
      <c r="AX566" s="10"/>
      <c r="AY566" s="10"/>
      <c r="AZ566" s="10"/>
      <c r="BA566" s="10"/>
    </row>
    <row r="567" spans="1:53" x14ac:dyDescent="0.25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  <c r="AJ567" s="10"/>
      <c r="AK567" s="10"/>
      <c r="AL567" s="10"/>
      <c r="AM567" s="10"/>
      <c r="AN567" s="10"/>
      <c r="AO567" s="10"/>
      <c r="AP567" s="10"/>
      <c r="AQ567" s="10"/>
      <c r="AR567" s="10"/>
      <c r="AS567" s="10"/>
      <c r="AT567" s="10"/>
      <c r="AU567" s="10"/>
      <c r="AV567" s="10"/>
      <c r="AW567" s="10"/>
      <c r="AX567" s="10"/>
      <c r="AY567" s="10"/>
      <c r="AZ567" s="10"/>
      <c r="BA567" s="10"/>
    </row>
    <row r="568" spans="1:53" x14ac:dyDescent="0.25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  <c r="AJ568" s="10"/>
      <c r="AK568" s="10"/>
      <c r="AL568" s="10"/>
      <c r="AM568" s="10"/>
      <c r="AN568" s="10"/>
      <c r="AO568" s="10"/>
      <c r="AP568" s="10"/>
      <c r="AQ568" s="10"/>
      <c r="AR568" s="10"/>
      <c r="AS568" s="10"/>
      <c r="AT568" s="10"/>
      <c r="AU568" s="10"/>
      <c r="AV568" s="10"/>
      <c r="AW568" s="10"/>
      <c r="AX568" s="10"/>
      <c r="AY568" s="10"/>
      <c r="AZ568" s="10"/>
      <c r="BA568" s="10"/>
    </row>
    <row r="569" spans="1:53" x14ac:dyDescent="0.25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  <c r="AJ569" s="10"/>
      <c r="AK569" s="10"/>
      <c r="AL569" s="10"/>
      <c r="AM569" s="10"/>
      <c r="AN569" s="10"/>
      <c r="AO569" s="10"/>
      <c r="AP569" s="10"/>
      <c r="AQ569" s="10"/>
      <c r="AR569" s="10"/>
      <c r="AS569" s="10"/>
      <c r="AT569" s="10"/>
      <c r="AU569" s="10"/>
      <c r="AV569" s="10"/>
      <c r="AW569" s="10"/>
      <c r="AX569" s="10"/>
      <c r="AY569" s="10"/>
      <c r="AZ569" s="10"/>
      <c r="BA569" s="10"/>
    </row>
    <row r="570" spans="1:53" x14ac:dyDescent="0.25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  <c r="AJ570" s="10"/>
      <c r="AK570" s="10"/>
      <c r="AL570" s="10"/>
      <c r="AM570" s="10"/>
      <c r="AN570" s="10"/>
      <c r="AO570" s="10"/>
      <c r="AP570" s="10"/>
      <c r="AQ570" s="10"/>
      <c r="AR570" s="10"/>
      <c r="AS570" s="10"/>
      <c r="AT570" s="10"/>
      <c r="AU570" s="10"/>
      <c r="AV570" s="10"/>
      <c r="AW570" s="10"/>
      <c r="AX570" s="10"/>
      <c r="AY570" s="10"/>
      <c r="AZ570" s="10"/>
      <c r="BA570" s="10"/>
    </row>
    <row r="571" spans="1:53" x14ac:dyDescent="0.25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  <c r="AJ571" s="10"/>
      <c r="AK571" s="10"/>
      <c r="AL571" s="10"/>
      <c r="AM571" s="10"/>
      <c r="AN571" s="10"/>
      <c r="AO571" s="10"/>
      <c r="AP571" s="10"/>
      <c r="AQ571" s="10"/>
      <c r="AR571" s="10"/>
      <c r="AS571" s="10"/>
      <c r="AT571" s="10"/>
      <c r="AU571" s="10"/>
      <c r="AV571" s="10"/>
      <c r="AW571" s="10"/>
      <c r="AX571" s="10"/>
      <c r="AY571" s="10"/>
      <c r="AZ571" s="10"/>
      <c r="BA571" s="10"/>
    </row>
    <row r="572" spans="1:53" x14ac:dyDescent="0.25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  <c r="AJ572" s="10"/>
      <c r="AK572" s="10"/>
      <c r="AL572" s="10"/>
      <c r="AM572" s="10"/>
      <c r="AN572" s="10"/>
      <c r="AO572" s="10"/>
      <c r="AP572" s="10"/>
      <c r="AQ572" s="10"/>
      <c r="AR572" s="10"/>
      <c r="AS572" s="10"/>
      <c r="AT572" s="10"/>
      <c r="AU572" s="10"/>
      <c r="AV572" s="10"/>
      <c r="AW572" s="10"/>
      <c r="AX572" s="10"/>
      <c r="AY572" s="10"/>
      <c r="AZ572" s="10"/>
      <c r="BA572" s="10"/>
    </row>
    <row r="573" spans="1:53" x14ac:dyDescent="0.2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  <c r="AJ573" s="10"/>
      <c r="AK573" s="10"/>
      <c r="AL573" s="10"/>
      <c r="AM573" s="10"/>
      <c r="AN573" s="10"/>
      <c r="AO573" s="10"/>
      <c r="AP573" s="10"/>
      <c r="AQ573" s="10"/>
      <c r="AR573" s="10"/>
      <c r="AS573" s="10"/>
      <c r="AT573" s="10"/>
      <c r="AU573" s="10"/>
      <c r="AV573" s="10"/>
      <c r="AW573" s="10"/>
      <c r="AX573" s="10"/>
      <c r="AY573" s="10"/>
      <c r="AZ573" s="10"/>
      <c r="BA573" s="10"/>
    </row>
    <row r="574" spans="1:53" x14ac:dyDescent="0.25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  <c r="AJ574" s="10"/>
      <c r="AK574" s="10"/>
      <c r="AL574" s="10"/>
      <c r="AM574" s="10"/>
      <c r="AN574" s="10"/>
      <c r="AO574" s="10"/>
      <c r="AP574" s="10"/>
      <c r="AQ574" s="10"/>
      <c r="AR574" s="10"/>
      <c r="AS574" s="10"/>
      <c r="AT574" s="10"/>
      <c r="AU574" s="10"/>
      <c r="AV574" s="10"/>
      <c r="AW574" s="10"/>
      <c r="AX574" s="10"/>
      <c r="AY574" s="10"/>
      <c r="AZ574" s="10"/>
      <c r="BA574" s="10"/>
    </row>
    <row r="575" spans="1:53" x14ac:dyDescent="0.25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  <c r="AJ575" s="10"/>
      <c r="AK575" s="10"/>
      <c r="AL575" s="10"/>
      <c r="AM575" s="10"/>
      <c r="AN575" s="10"/>
      <c r="AO575" s="10"/>
      <c r="AP575" s="10"/>
      <c r="AQ575" s="10"/>
      <c r="AR575" s="10"/>
      <c r="AS575" s="10"/>
      <c r="AT575" s="10"/>
      <c r="AU575" s="10"/>
      <c r="AV575" s="10"/>
      <c r="AW575" s="10"/>
      <c r="AX575" s="10"/>
      <c r="AY575" s="10"/>
      <c r="AZ575" s="10"/>
      <c r="BA575" s="10"/>
    </row>
    <row r="576" spans="1:53" x14ac:dyDescent="0.25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  <c r="AJ576" s="10"/>
      <c r="AK576" s="10"/>
      <c r="AL576" s="10"/>
      <c r="AM576" s="10"/>
      <c r="AN576" s="10"/>
      <c r="AO576" s="10"/>
      <c r="AP576" s="10"/>
      <c r="AQ576" s="10"/>
      <c r="AR576" s="10"/>
      <c r="AS576" s="10"/>
      <c r="AT576" s="10"/>
      <c r="AU576" s="10"/>
      <c r="AV576" s="10"/>
      <c r="AW576" s="10"/>
      <c r="AX576" s="10"/>
      <c r="AY576" s="10"/>
      <c r="AZ576" s="10"/>
      <c r="BA576" s="10"/>
    </row>
    <row r="577" spans="1:53" x14ac:dyDescent="0.25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  <c r="AJ577" s="10"/>
      <c r="AK577" s="10"/>
      <c r="AL577" s="10"/>
      <c r="AM577" s="10"/>
      <c r="AN577" s="10"/>
      <c r="AO577" s="10"/>
      <c r="AP577" s="10"/>
      <c r="AQ577" s="10"/>
      <c r="AR577" s="10"/>
      <c r="AS577" s="10"/>
      <c r="AT577" s="10"/>
      <c r="AU577" s="10"/>
      <c r="AV577" s="10"/>
      <c r="AW577" s="10"/>
      <c r="AX577" s="10"/>
      <c r="AY577" s="10"/>
      <c r="AZ577" s="10"/>
      <c r="BA577" s="10"/>
    </row>
    <row r="578" spans="1:53" x14ac:dyDescent="0.25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  <c r="AJ578" s="10"/>
      <c r="AK578" s="10"/>
      <c r="AL578" s="10"/>
      <c r="AM578" s="10"/>
      <c r="AN578" s="10"/>
      <c r="AO578" s="10"/>
      <c r="AP578" s="10"/>
      <c r="AQ578" s="10"/>
      <c r="AR578" s="10"/>
      <c r="AS578" s="10"/>
      <c r="AT578" s="10"/>
      <c r="AU578" s="10"/>
      <c r="AV578" s="10"/>
      <c r="AW578" s="10"/>
      <c r="AX578" s="10"/>
      <c r="AY578" s="10"/>
      <c r="AZ578" s="10"/>
      <c r="BA578" s="10"/>
    </row>
    <row r="579" spans="1:53" x14ac:dyDescent="0.25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  <c r="AJ579" s="10"/>
      <c r="AK579" s="10"/>
      <c r="AL579" s="10"/>
      <c r="AM579" s="10"/>
      <c r="AN579" s="10"/>
      <c r="AO579" s="10"/>
      <c r="AP579" s="10"/>
      <c r="AQ579" s="10"/>
      <c r="AR579" s="10"/>
      <c r="AS579" s="10"/>
      <c r="AT579" s="10"/>
      <c r="AU579" s="10"/>
      <c r="AV579" s="10"/>
      <c r="AW579" s="10"/>
      <c r="AX579" s="10"/>
      <c r="AY579" s="10"/>
      <c r="AZ579" s="10"/>
      <c r="BA579" s="10"/>
    </row>
    <row r="580" spans="1:53" x14ac:dyDescent="0.25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  <c r="AJ580" s="10"/>
      <c r="AK580" s="10"/>
      <c r="AL580" s="10"/>
      <c r="AM580" s="10"/>
      <c r="AN580" s="10"/>
      <c r="AO580" s="10"/>
      <c r="AP580" s="10"/>
      <c r="AQ580" s="10"/>
      <c r="AR580" s="10"/>
      <c r="AS580" s="10"/>
      <c r="AT580" s="10"/>
      <c r="AU580" s="10"/>
      <c r="AV580" s="10"/>
      <c r="AW580" s="10"/>
      <c r="AX580" s="10"/>
      <c r="AY580" s="10"/>
      <c r="AZ580" s="10"/>
      <c r="BA580" s="10"/>
    </row>
    <row r="581" spans="1:53" x14ac:dyDescent="0.25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  <c r="AJ581" s="10"/>
      <c r="AK581" s="10"/>
      <c r="AL581" s="10"/>
      <c r="AM581" s="10"/>
      <c r="AN581" s="10"/>
      <c r="AO581" s="10"/>
      <c r="AP581" s="10"/>
      <c r="AQ581" s="10"/>
      <c r="AR581" s="10"/>
      <c r="AS581" s="10"/>
      <c r="AT581" s="10"/>
      <c r="AU581" s="10"/>
      <c r="AV581" s="10"/>
      <c r="AW581" s="10"/>
      <c r="AX581" s="10"/>
      <c r="AY581" s="10"/>
      <c r="AZ581" s="10"/>
      <c r="BA581" s="10"/>
    </row>
    <row r="582" spans="1:53" x14ac:dyDescent="0.25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  <c r="AJ582" s="10"/>
      <c r="AK582" s="10"/>
      <c r="AL582" s="10"/>
      <c r="AM582" s="10"/>
      <c r="AN582" s="10"/>
      <c r="AO582" s="10"/>
      <c r="AP582" s="10"/>
      <c r="AQ582" s="10"/>
      <c r="AR582" s="10"/>
      <c r="AS582" s="10"/>
      <c r="AT582" s="10"/>
      <c r="AU582" s="10"/>
      <c r="AV582" s="10"/>
      <c r="AW582" s="10"/>
      <c r="AX582" s="10"/>
      <c r="AY582" s="10"/>
      <c r="AZ582" s="10"/>
      <c r="BA582" s="10"/>
    </row>
    <row r="583" spans="1:53" x14ac:dyDescent="0.25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0"/>
      <c r="AM583" s="10"/>
      <c r="AN583" s="10"/>
      <c r="AO583" s="10"/>
      <c r="AP583" s="10"/>
      <c r="AQ583" s="10"/>
      <c r="AR583" s="10"/>
      <c r="AS583" s="10"/>
      <c r="AT583" s="10"/>
      <c r="AU583" s="10"/>
      <c r="AV583" s="10"/>
      <c r="AW583" s="10"/>
      <c r="AX583" s="10"/>
      <c r="AY583" s="10"/>
      <c r="AZ583" s="10"/>
      <c r="BA583" s="10"/>
    </row>
    <row r="584" spans="1:53" x14ac:dyDescent="0.25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  <c r="AJ584" s="10"/>
      <c r="AK584" s="10"/>
      <c r="AL584" s="10"/>
      <c r="AM584" s="10"/>
      <c r="AN584" s="10"/>
      <c r="AO584" s="10"/>
      <c r="AP584" s="10"/>
      <c r="AQ584" s="10"/>
      <c r="AR584" s="10"/>
      <c r="AS584" s="10"/>
      <c r="AT584" s="10"/>
      <c r="AU584" s="10"/>
      <c r="AV584" s="10"/>
      <c r="AW584" s="10"/>
      <c r="AX584" s="10"/>
      <c r="AY584" s="10"/>
      <c r="AZ584" s="10"/>
      <c r="BA584" s="10"/>
    </row>
    <row r="585" spans="1:53" x14ac:dyDescent="0.25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0"/>
      <c r="AM585" s="10"/>
      <c r="AN585" s="10"/>
      <c r="AO585" s="10"/>
      <c r="AP585" s="10"/>
      <c r="AQ585" s="10"/>
      <c r="AR585" s="10"/>
      <c r="AS585" s="10"/>
      <c r="AT585" s="10"/>
      <c r="AU585" s="10"/>
      <c r="AV585" s="10"/>
      <c r="AW585" s="10"/>
      <c r="AX585" s="10"/>
      <c r="AY585" s="10"/>
      <c r="AZ585" s="10"/>
      <c r="BA585" s="10"/>
    </row>
    <row r="586" spans="1:53" x14ac:dyDescent="0.25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  <c r="AJ586" s="10"/>
      <c r="AK586" s="10"/>
      <c r="AL586" s="10"/>
      <c r="AM586" s="10"/>
      <c r="AN586" s="10"/>
      <c r="AO586" s="10"/>
      <c r="AP586" s="10"/>
      <c r="AQ586" s="10"/>
      <c r="AR586" s="10"/>
      <c r="AS586" s="10"/>
      <c r="AT586" s="10"/>
      <c r="AU586" s="10"/>
      <c r="AV586" s="10"/>
      <c r="AW586" s="10"/>
      <c r="AX586" s="10"/>
      <c r="AY586" s="10"/>
      <c r="AZ586" s="10"/>
      <c r="BA586" s="10"/>
    </row>
    <row r="587" spans="1:53" x14ac:dyDescent="0.25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  <c r="AJ587" s="10"/>
      <c r="AK587" s="10"/>
      <c r="AL587" s="10"/>
      <c r="AM587" s="10"/>
      <c r="AN587" s="10"/>
      <c r="AO587" s="10"/>
      <c r="AP587" s="10"/>
      <c r="AQ587" s="10"/>
      <c r="AR587" s="10"/>
      <c r="AS587" s="10"/>
      <c r="AT587" s="10"/>
      <c r="AU587" s="10"/>
      <c r="AV587" s="10"/>
      <c r="AW587" s="10"/>
      <c r="AX587" s="10"/>
      <c r="AY587" s="10"/>
      <c r="AZ587" s="10"/>
      <c r="BA587" s="10"/>
    </row>
    <row r="588" spans="1:53" x14ac:dyDescent="0.25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  <c r="AJ588" s="10"/>
      <c r="AK588" s="10"/>
      <c r="AL588" s="10"/>
      <c r="AM588" s="10"/>
      <c r="AN588" s="10"/>
      <c r="AO588" s="10"/>
      <c r="AP588" s="10"/>
      <c r="AQ588" s="10"/>
      <c r="AR588" s="10"/>
      <c r="AS588" s="10"/>
      <c r="AT588" s="10"/>
      <c r="AU588" s="10"/>
      <c r="AV588" s="10"/>
      <c r="AW588" s="10"/>
      <c r="AX588" s="10"/>
      <c r="AY588" s="10"/>
      <c r="AZ588" s="10"/>
      <c r="BA588" s="10"/>
    </row>
    <row r="589" spans="1:53" x14ac:dyDescent="0.25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10"/>
      <c r="AM589" s="10"/>
      <c r="AN589" s="10"/>
      <c r="AO589" s="10"/>
      <c r="AP589" s="10"/>
      <c r="AQ589" s="10"/>
      <c r="AR589" s="10"/>
      <c r="AS589" s="10"/>
      <c r="AT589" s="10"/>
      <c r="AU589" s="10"/>
      <c r="AV589" s="10"/>
      <c r="AW589" s="10"/>
      <c r="AX589" s="10"/>
      <c r="AY589" s="10"/>
      <c r="AZ589" s="10"/>
      <c r="BA589" s="10"/>
    </row>
    <row r="590" spans="1:53" x14ac:dyDescent="0.25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  <c r="AJ590" s="10"/>
      <c r="AK590" s="10"/>
      <c r="AL590" s="10"/>
      <c r="AM590" s="10"/>
      <c r="AN590" s="10"/>
      <c r="AO590" s="10"/>
      <c r="AP590" s="10"/>
      <c r="AQ590" s="10"/>
      <c r="AR590" s="10"/>
      <c r="AS590" s="10"/>
      <c r="AT590" s="10"/>
      <c r="AU590" s="10"/>
      <c r="AV590" s="10"/>
      <c r="AW590" s="10"/>
      <c r="AX590" s="10"/>
      <c r="AY590" s="10"/>
      <c r="AZ590" s="10"/>
      <c r="BA590" s="10"/>
    </row>
    <row r="591" spans="1:53" x14ac:dyDescent="0.25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  <c r="AJ591" s="10"/>
      <c r="AK591" s="10"/>
      <c r="AL591" s="10"/>
      <c r="AM591" s="10"/>
      <c r="AN591" s="10"/>
      <c r="AO591" s="10"/>
      <c r="AP591" s="10"/>
      <c r="AQ591" s="10"/>
      <c r="AR591" s="10"/>
      <c r="AS591" s="10"/>
      <c r="AT591" s="10"/>
      <c r="AU591" s="10"/>
      <c r="AV591" s="10"/>
      <c r="AW591" s="10"/>
      <c r="AX591" s="10"/>
      <c r="AY591" s="10"/>
      <c r="AZ591" s="10"/>
      <c r="BA591" s="10"/>
    </row>
    <row r="592" spans="1:53" x14ac:dyDescent="0.25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  <c r="AJ592" s="10"/>
      <c r="AK592" s="10"/>
      <c r="AL592" s="10"/>
      <c r="AM592" s="10"/>
      <c r="AN592" s="10"/>
      <c r="AO592" s="10"/>
      <c r="AP592" s="10"/>
      <c r="AQ592" s="10"/>
      <c r="AR592" s="10"/>
      <c r="AS592" s="10"/>
      <c r="AT592" s="10"/>
      <c r="AU592" s="10"/>
      <c r="AV592" s="10"/>
      <c r="AW592" s="10"/>
      <c r="AX592" s="10"/>
      <c r="AY592" s="10"/>
      <c r="AZ592" s="10"/>
      <c r="BA592" s="10"/>
    </row>
    <row r="593" spans="1:53" x14ac:dyDescent="0.25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  <c r="AJ593" s="10"/>
      <c r="AK593" s="10"/>
      <c r="AL593" s="10"/>
      <c r="AM593" s="10"/>
      <c r="AN593" s="10"/>
      <c r="AO593" s="10"/>
      <c r="AP593" s="10"/>
      <c r="AQ593" s="10"/>
      <c r="AR593" s="10"/>
      <c r="AS593" s="10"/>
      <c r="AT593" s="10"/>
      <c r="AU593" s="10"/>
      <c r="AV593" s="10"/>
      <c r="AW593" s="10"/>
      <c r="AX593" s="10"/>
      <c r="AY593" s="10"/>
      <c r="AZ593" s="10"/>
      <c r="BA593" s="10"/>
    </row>
    <row r="594" spans="1:53" x14ac:dyDescent="0.25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J594" s="10"/>
      <c r="AK594" s="10"/>
      <c r="AL594" s="10"/>
      <c r="AM594" s="10"/>
      <c r="AN594" s="10"/>
      <c r="AO594" s="10"/>
      <c r="AP594" s="10"/>
      <c r="AQ594" s="10"/>
      <c r="AR594" s="10"/>
      <c r="AS594" s="10"/>
      <c r="AT594" s="10"/>
      <c r="AU594" s="10"/>
      <c r="AV594" s="10"/>
      <c r="AW594" s="10"/>
      <c r="AX594" s="10"/>
      <c r="AY594" s="10"/>
      <c r="AZ594" s="10"/>
      <c r="BA594" s="10"/>
    </row>
    <row r="595" spans="1:53" x14ac:dyDescent="0.25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  <c r="AJ595" s="10"/>
      <c r="AK595" s="10"/>
      <c r="AL595" s="10"/>
      <c r="AM595" s="10"/>
      <c r="AN595" s="10"/>
      <c r="AO595" s="10"/>
      <c r="AP595" s="10"/>
      <c r="AQ595" s="10"/>
      <c r="AR595" s="10"/>
      <c r="AS595" s="10"/>
      <c r="AT595" s="10"/>
      <c r="AU595" s="10"/>
      <c r="AV595" s="10"/>
      <c r="AW595" s="10"/>
      <c r="AX595" s="10"/>
      <c r="AY595" s="10"/>
      <c r="AZ595" s="10"/>
      <c r="BA595" s="10"/>
    </row>
    <row r="596" spans="1:53" x14ac:dyDescent="0.25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  <c r="AJ596" s="10"/>
      <c r="AK596" s="10"/>
      <c r="AL596" s="10"/>
      <c r="AM596" s="10"/>
      <c r="AN596" s="10"/>
      <c r="AO596" s="10"/>
      <c r="AP596" s="10"/>
      <c r="AQ596" s="10"/>
      <c r="AR596" s="10"/>
      <c r="AS596" s="10"/>
      <c r="AT596" s="10"/>
      <c r="AU596" s="10"/>
      <c r="AV596" s="10"/>
      <c r="AW596" s="10"/>
      <c r="AX596" s="10"/>
      <c r="AY596" s="10"/>
      <c r="AZ596" s="10"/>
      <c r="BA596" s="10"/>
    </row>
    <row r="597" spans="1:53" x14ac:dyDescent="0.25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  <c r="AJ597" s="10"/>
      <c r="AK597" s="10"/>
      <c r="AL597" s="10"/>
      <c r="AM597" s="10"/>
      <c r="AN597" s="10"/>
      <c r="AO597" s="10"/>
      <c r="AP597" s="10"/>
      <c r="AQ597" s="10"/>
      <c r="AR597" s="10"/>
      <c r="AS597" s="10"/>
      <c r="AT597" s="10"/>
      <c r="AU597" s="10"/>
      <c r="AV597" s="10"/>
      <c r="AW597" s="10"/>
      <c r="AX597" s="10"/>
      <c r="AY597" s="10"/>
      <c r="AZ597" s="10"/>
      <c r="BA597" s="10"/>
    </row>
    <row r="598" spans="1:53" x14ac:dyDescent="0.25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  <c r="AJ598" s="10"/>
      <c r="AK598" s="10"/>
      <c r="AL598" s="10"/>
      <c r="AM598" s="10"/>
      <c r="AN598" s="10"/>
      <c r="AO598" s="10"/>
      <c r="AP598" s="10"/>
      <c r="AQ598" s="10"/>
      <c r="AR598" s="10"/>
      <c r="AS598" s="10"/>
      <c r="AT598" s="10"/>
      <c r="AU598" s="10"/>
      <c r="AV598" s="10"/>
      <c r="AW598" s="10"/>
      <c r="AX598" s="10"/>
      <c r="AY598" s="10"/>
      <c r="AZ598" s="10"/>
      <c r="BA598" s="10"/>
    </row>
    <row r="599" spans="1:53" x14ac:dyDescent="0.25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J599" s="10"/>
      <c r="AK599" s="10"/>
      <c r="AL599" s="10"/>
      <c r="AM599" s="10"/>
      <c r="AN599" s="10"/>
      <c r="AO599" s="10"/>
      <c r="AP599" s="10"/>
      <c r="AQ599" s="10"/>
      <c r="AR599" s="10"/>
      <c r="AS599" s="10"/>
      <c r="AT599" s="10"/>
      <c r="AU599" s="10"/>
      <c r="AV599" s="10"/>
      <c r="AW599" s="10"/>
      <c r="AX599" s="10"/>
      <c r="AY599" s="10"/>
      <c r="AZ599" s="10"/>
      <c r="BA599" s="10"/>
    </row>
    <row r="600" spans="1:53" x14ac:dyDescent="0.25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  <c r="AJ600" s="10"/>
      <c r="AK600" s="10"/>
      <c r="AL600" s="10"/>
      <c r="AM600" s="10"/>
      <c r="AN600" s="10"/>
      <c r="AO600" s="10"/>
      <c r="AP600" s="10"/>
      <c r="AQ600" s="10"/>
      <c r="AR600" s="10"/>
      <c r="AS600" s="10"/>
      <c r="AT600" s="10"/>
      <c r="AU600" s="10"/>
      <c r="AV600" s="10"/>
      <c r="AW600" s="10"/>
      <c r="AX600" s="10"/>
      <c r="AY600" s="10"/>
      <c r="AZ600" s="10"/>
      <c r="BA600" s="10"/>
    </row>
    <row r="601" spans="1:53" x14ac:dyDescent="0.25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  <c r="AJ601" s="10"/>
      <c r="AK601" s="10"/>
      <c r="AL601" s="10"/>
      <c r="AM601" s="10"/>
      <c r="AN601" s="10"/>
      <c r="AO601" s="10"/>
      <c r="AP601" s="10"/>
      <c r="AQ601" s="10"/>
      <c r="AR601" s="10"/>
      <c r="AS601" s="10"/>
      <c r="AT601" s="10"/>
      <c r="AU601" s="10"/>
      <c r="AV601" s="10"/>
      <c r="AW601" s="10"/>
      <c r="AX601" s="10"/>
      <c r="AY601" s="10"/>
      <c r="AZ601" s="10"/>
      <c r="BA601" s="10"/>
    </row>
    <row r="602" spans="1:53" x14ac:dyDescent="0.25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  <c r="AJ602" s="10"/>
      <c r="AK602" s="10"/>
      <c r="AL602" s="10"/>
      <c r="AM602" s="10"/>
      <c r="AN602" s="10"/>
      <c r="AO602" s="10"/>
      <c r="AP602" s="10"/>
      <c r="AQ602" s="10"/>
      <c r="AR602" s="10"/>
      <c r="AS602" s="10"/>
      <c r="AT602" s="10"/>
      <c r="AU602" s="10"/>
      <c r="AV602" s="10"/>
      <c r="AW602" s="10"/>
      <c r="AX602" s="10"/>
      <c r="AY602" s="10"/>
      <c r="AZ602" s="10"/>
      <c r="BA602" s="10"/>
    </row>
    <row r="603" spans="1:53" x14ac:dyDescent="0.25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  <c r="AJ603" s="10"/>
      <c r="AK603" s="10"/>
      <c r="AL603" s="10"/>
      <c r="AM603" s="10"/>
      <c r="AN603" s="10"/>
      <c r="AO603" s="10"/>
      <c r="AP603" s="10"/>
      <c r="AQ603" s="10"/>
      <c r="AR603" s="10"/>
      <c r="AS603" s="10"/>
      <c r="AT603" s="10"/>
      <c r="AU603" s="10"/>
      <c r="AV603" s="10"/>
      <c r="AW603" s="10"/>
      <c r="AX603" s="10"/>
      <c r="AY603" s="10"/>
      <c r="AZ603" s="10"/>
      <c r="BA603" s="10"/>
    </row>
    <row r="604" spans="1:53" x14ac:dyDescent="0.25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J604" s="10"/>
      <c r="AK604" s="10"/>
      <c r="AL604" s="10"/>
      <c r="AM604" s="10"/>
      <c r="AN604" s="10"/>
      <c r="AO604" s="10"/>
      <c r="AP604" s="10"/>
      <c r="AQ604" s="10"/>
      <c r="AR604" s="10"/>
      <c r="AS604" s="10"/>
      <c r="AT604" s="10"/>
      <c r="AU604" s="10"/>
      <c r="AV604" s="10"/>
      <c r="AW604" s="10"/>
      <c r="AX604" s="10"/>
      <c r="AY604" s="10"/>
      <c r="AZ604" s="10"/>
      <c r="BA604" s="10"/>
    </row>
    <row r="605" spans="1:53" x14ac:dyDescent="0.25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  <c r="AJ605" s="10"/>
      <c r="AK605" s="10"/>
      <c r="AL605" s="10"/>
      <c r="AM605" s="10"/>
      <c r="AN605" s="10"/>
      <c r="AO605" s="10"/>
      <c r="AP605" s="10"/>
      <c r="AQ605" s="10"/>
      <c r="AR605" s="10"/>
      <c r="AS605" s="10"/>
      <c r="AT605" s="10"/>
      <c r="AU605" s="10"/>
      <c r="AV605" s="10"/>
      <c r="AW605" s="10"/>
      <c r="AX605" s="10"/>
      <c r="AY605" s="10"/>
      <c r="AZ605" s="10"/>
      <c r="BA605" s="10"/>
    </row>
    <row r="606" spans="1:53" x14ac:dyDescent="0.25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  <c r="AJ606" s="10"/>
      <c r="AK606" s="10"/>
      <c r="AL606" s="10"/>
      <c r="AM606" s="10"/>
      <c r="AN606" s="10"/>
      <c r="AO606" s="10"/>
      <c r="AP606" s="10"/>
      <c r="AQ606" s="10"/>
      <c r="AR606" s="10"/>
      <c r="AS606" s="10"/>
      <c r="AT606" s="10"/>
      <c r="AU606" s="10"/>
      <c r="AV606" s="10"/>
      <c r="AW606" s="10"/>
      <c r="AX606" s="10"/>
      <c r="AY606" s="10"/>
      <c r="AZ606" s="10"/>
      <c r="BA606" s="10"/>
    </row>
    <row r="607" spans="1:53" x14ac:dyDescent="0.25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  <c r="AJ607" s="10"/>
      <c r="AK607" s="10"/>
      <c r="AL607" s="10"/>
      <c r="AM607" s="10"/>
      <c r="AN607" s="10"/>
      <c r="AO607" s="10"/>
      <c r="AP607" s="10"/>
      <c r="AQ607" s="10"/>
      <c r="AR607" s="10"/>
      <c r="AS607" s="10"/>
      <c r="AT607" s="10"/>
      <c r="AU607" s="10"/>
      <c r="AV607" s="10"/>
      <c r="AW607" s="10"/>
      <c r="AX607" s="10"/>
      <c r="AY607" s="10"/>
      <c r="AZ607" s="10"/>
      <c r="BA607" s="10"/>
    </row>
    <row r="608" spans="1:53" x14ac:dyDescent="0.25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  <c r="AJ608" s="10"/>
      <c r="AK608" s="10"/>
      <c r="AL608" s="10"/>
      <c r="AM608" s="10"/>
      <c r="AN608" s="10"/>
      <c r="AO608" s="10"/>
      <c r="AP608" s="10"/>
      <c r="AQ608" s="10"/>
      <c r="AR608" s="10"/>
      <c r="AS608" s="10"/>
      <c r="AT608" s="10"/>
      <c r="AU608" s="10"/>
      <c r="AV608" s="10"/>
      <c r="AW608" s="10"/>
      <c r="AX608" s="10"/>
      <c r="AY608" s="10"/>
      <c r="AZ608" s="10"/>
      <c r="BA608" s="10"/>
    </row>
    <row r="609" spans="1:53" x14ac:dyDescent="0.25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  <c r="AJ609" s="10"/>
      <c r="AK609" s="10"/>
      <c r="AL609" s="10"/>
      <c r="AM609" s="10"/>
      <c r="AN609" s="10"/>
      <c r="AO609" s="10"/>
      <c r="AP609" s="10"/>
      <c r="AQ609" s="10"/>
      <c r="AR609" s="10"/>
      <c r="AS609" s="10"/>
      <c r="AT609" s="10"/>
      <c r="AU609" s="10"/>
      <c r="AV609" s="10"/>
      <c r="AW609" s="10"/>
      <c r="AX609" s="10"/>
      <c r="AY609" s="10"/>
      <c r="AZ609" s="10"/>
      <c r="BA609" s="10"/>
    </row>
    <row r="610" spans="1:53" x14ac:dyDescent="0.25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  <c r="AJ610" s="10"/>
      <c r="AK610" s="10"/>
      <c r="AL610" s="10"/>
      <c r="AM610" s="10"/>
      <c r="AN610" s="10"/>
      <c r="AO610" s="10"/>
      <c r="AP610" s="10"/>
      <c r="AQ610" s="10"/>
      <c r="AR610" s="10"/>
      <c r="AS610" s="10"/>
      <c r="AT610" s="10"/>
      <c r="AU610" s="10"/>
      <c r="AV610" s="10"/>
      <c r="AW610" s="10"/>
      <c r="AX610" s="10"/>
      <c r="AY610" s="10"/>
      <c r="AZ610" s="10"/>
      <c r="BA610" s="10"/>
    </row>
    <row r="611" spans="1:53" x14ac:dyDescent="0.25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  <c r="AJ611" s="10"/>
      <c r="AK611" s="10"/>
      <c r="AL611" s="10"/>
      <c r="AM611" s="10"/>
      <c r="AN611" s="10"/>
      <c r="AO611" s="10"/>
      <c r="AP611" s="10"/>
      <c r="AQ611" s="10"/>
      <c r="AR611" s="10"/>
      <c r="AS611" s="10"/>
      <c r="AT611" s="10"/>
      <c r="AU611" s="10"/>
      <c r="AV611" s="10"/>
      <c r="AW611" s="10"/>
      <c r="AX611" s="10"/>
      <c r="AY611" s="10"/>
      <c r="AZ611" s="10"/>
      <c r="BA611" s="10"/>
    </row>
    <row r="612" spans="1:53" x14ac:dyDescent="0.25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  <c r="AJ612" s="10"/>
      <c r="AK612" s="10"/>
      <c r="AL612" s="10"/>
      <c r="AM612" s="10"/>
      <c r="AN612" s="10"/>
      <c r="AO612" s="10"/>
      <c r="AP612" s="10"/>
      <c r="AQ612" s="10"/>
      <c r="AR612" s="10"/>
      <c r="AS612" s="10"/>
      <c r="AT612" s="10"/>
      <c r="AU612" s="10"/>
      <c r="AV612" s="10"/>
      <c r="AW612" s="10"/>
      <c r="AX612" s="10"/>
      <c r="AY612" s="10"/>
      <c r="AZ612" s="10"/>
      <c r="BA612" s="10"/>
    </row>
    <row r="613" spans="1:53" x14ac:dyDescent="0.25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  <c r="AJ613" s="10"/>
      <c r="AK613" s="10"/>
      <c r="AL613" s="10"/>
      <c r="AM613" s="10"/>
      <c r="AN613" s="10"/>
      <c r="AO613" s="10"/>
      <c r="AP613" s="10"/>
      <c r="AQ613" s="10"/>
      <c r="AR613" s="10"/>
      <c r="AS613" s="10"/>
      <c r="AT613" s="10"/>
      <c r="AU613" s="10"/>
      <c r="AV613" s="10"/>
      <c r="AW613" s="10"/>
      <c r="AX613" s="10"/>
      <c r="AY613" s="10"/>
      <c r="AZ613" s="10"/>
      <c r="BA613" s="10"/>
    </row>
    <row r="614" spans="1:53" x14ac:dyDescent="0.25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  <c r="AJ614" s="10"/>
      <c r="AK614" s="10"/>
      <c r="AL614" s="10"/>
      <c r="AM614" s="10"/>
      <c r="AN614" s="10"/>
      <c r="AO614" s="10"/>
      <c r="AP614" s="10"/>
      <c r="AQ614" s="10"/>
      <c r="AR614" s="10"/>
      <c r="AS614" s="10"/>
      <c r="AT614" s="10"/>
      <c r="AU614" s="10"/>
      <c r="AV614" s="10"/>
      <c r="AW614" s="10"/>
      <c r="AX614" s="10"/>
      <c r="AY614" s="10"/>
      <c r="AZ614" s="10"/>
      <c r="BA614" s="10"/>
    </row>
    <row r="615" spans="1:53" x14ac:dyDescent="0.25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  <c r="AJ615" s="10"/>
      <c r="AK615" s="10"/>
      <c r="AL615" s="10"/>
      <c r="AM615" s="10"/>
      <c r="AN615" s="10"/>
      <c r="AO615" s="10"/>
      <c r="AP615" s="10"/>
      <c r="AQ615" s="10"/>
      <c r="AR615" s="10"/>
      <c r="AS615" s="10"/>
      <c r="AT615" s="10"/>
      <c r="AU615" s="10"/>
      <c r="AV615" s="10"/>
      <c r="AW615" s="10"/>
      <c r="AX615" s="10"/>
      <c r="AY615" s="10"/>
      <c r="AZ615" s="10"/>
      <c r="BA615" s="10"/>
    </row>
    <row r="616" spans="1:53" x14ac:dyDescent="0.25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  <c r="AJ616" s="10"/>
      <c r="AK616" s="10"/>
      <c r="AL616" s="10"/>
      <c r="AM616" s="10"/>
      <c r="AN616" s="10"/>
      <c r="AO616" s="10"/>
      <c r="AP616" s="10"/>
      <c r="AQ616" s="10"/>
      <c r="AR616" s="10"/>
      <c r="AS616" s="10"/>
      <c r="AT616" s="10"/>
      <c r="AU616" s="10"/>
      <c r="AV616" s="10"/>
      <c r="AW616" s="10"/>
      <c r="AX616" s="10"/>
      <c r="AY616" s="10"/>
      <c r="AZ616" s="10"/>
      <c r="BA616" s="10"/>
    </row>
    <row r="617" spans="1:53" x14ac:dyDescent="0.25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  <c r="AJ617" s="10"/>
      <c r="AK617" s="10"/>
      <c r="AL617" s="10"/>
      <c r="AM617" s="10"/>
      <c r="AN617" s="10"/>
      <c r="AO617" s="10"/>
      <c r="AP617" s="10"/>
      <c r="AQ617" s="10"/>
      <c r="AR617" s="10"/>
      <c r="AS617" s="10"/>
      <c r="AT617" s="10"/>
      <c r="AU617" s="10"/>
      <c r="AV617" s="10"/>
      <c r="AW617" s="10"/>
      <c r="AX617" s="10"/>
      <c r="AY617" s="10"/>
      <c r="AZ617" s="10"/>
      <c r="BA617" s="10"/>
    </row>
    <row r="618" spans="1:53" x14ac:dyDescent="0.25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  <c r="AJ618" s="10"/>
      <c r="AK618" s="10"/>
      <c r="AL618" s="10"/>
      <c r="AM618" s="10"/>
      <c r="AN618" s="10"/>
      <c r="AO618" s="10"/>
      <c r="AP618" s="10"/>
      <c r="AQ618" s="10"/>
      <c r="AR618" s="10"/>
      <c r="AS618" s="10"/>
      <c r="AT618" s="10"/>
      <c r="AU618" s="10"/>
      <c r="AV618" s="10"/>
      <c r="AW618" s="10"/>
      <c r="AX618" s="10"/>
      <c r="AY618" s="10"/>
      <c r="AZ618" s="10"/>
      <c r="BA618" s="10"/>
    </row>
    <row r="619" spans="1:53" x14ac:dyDescent="0.25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  <c r="AJ619" s="10"/>
      <c r="AK619" s="10"/>
      <c r="AL619" s="10"/>
      <c r="AM619" s="10"/>
      <c r="AN619" s="10"/>
      <c r="AO619" s="10"/>
      <c r="AP619" s="10"/>
      <c r="AQ619" s="10"/>
      <c r="AR619" s="10"/>
      <c r="AS619" s="10"/>
      <c r="AT619" s="10"/>
      <c r="AU619" s="10"/>
      <c r="AV619" s="10"/>
      <c r="AW619" s="10"/>
      <c r="AX619" s="10"/>
      <c r="AY619" s="10"/>
      <c r="AZ619" s="10"/>
      <c r="BA619" s="10"/>
    </row>
    <row r="620" spans="1:53" x14ac:dyDescent="0.25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  <c r="AJ620" s="10"/>
      <c r="AK620" s="10"/>
      <c r="AL620" s="10"/>
      <c r="AM620" s="10"/>
      <c r="AN620" s="10"/>
      <c r="AO620" s="10"/>
      <c r="AP620" s="10"/>
      <c r="AQ620" s="10"/>
      <c r="AR620" s="10"/>
      <c r="AS620" s="10"/>
      <c r="AT620" s="10"/>
      <c r="AU620" s="10"/>
      <c r="AV620" s="10"/>
      <c r="AW620" s="10"/>
      <c r="AX620" s="10"/>
      <c r="AY620" s="10"/>
      <c r="AZ620" s="10"/>
      <c r="BA620" s="10"/>
    </row>
    <row r="621" spans="1:53" x14ac:dyDescent="0.25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  <c r="AJ621" s="10"/>
      <c r="AK621" s="10"/>
      <c r="AL621" s="10"/>
      <c r="AM621" s="10"/>
      <c r="AN621" s="10"/>
      <c r="AO621" s="10"/>
      <c r="AP621" s="10"/>
      <c r="AQ621" s="10"/>
      <c r="AR621" s="10"/>
      <c r="AS621" s="10"/>
      <c r="AT621" s="10"/>
      <c r="AU621" s="10"/>
      <c r="AV621" s="10"/>
      <c r="AW621" s="10"/>
      <c r="AX621" s="10"/>
      <c r="AY621" s="10"/>
      <c r="AZ621" s="10"/>
      <c r="BA621" s="10"/>
    </row>
    <row r="622" spans="1:53" x14ac:dyDescent="0.25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  <c r="AJ622" s="10"/>
      <c r="AK622" s="10"/>
      <c r="AL622" s="10"/>
      <c r="AM622" s="10"/>
      <c r="AN622" s="10"/>
      <c r="AO622" s="10"/>
      <c r="AP622" s="10"/>
      <c r="AQ622" s="10"/>
      <c r="AR622" s="10"/>
      <c r="AS622" s="10"/>
      <c r="AT622" s="10"/>
      <c r="AU622" s="10"/>
      <c r="AV622" s="10"/>
      <c r="AW622" s="10"/>
      <c r="AX622" s="10"/>
      <c r="AY622" s="10"/>
      <c r="AZ622" s="10"/>
      <c r="BA622" s="10"/>
    </row>
    <row r="623" spans="1:53" x14ac:dyDescent="0.25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  <c r="AJ623" s="10"/>
      <c r="AK623" s="10"/>
      <c r="AL623" s="10"/>
      <c r="AM623" s="10"/>
      <c r="AN623" s="10"/>
      <c r="AO623" s="10"/>
      <c r="AP623" s="10"/>
      <c r="AQ623" s="10"/>
      <c r="AR623" s="10"/>
      <c r="AS623" s="10"/>
      <c r="AT623" s="10"/>
      <c r="AU623" s="10"/>
      <c r="AV623" s="10"/>
      <c r="AW623" s="10"/>
      <c r="AX623" s="10"/>
      <c r="AY623" s="10"/>
      <c r="AZ623" s="10"/>
      <c r="BA623" s="10"/>
    </row>
    <row r="624" spans="1:53" x14ac:dyDescent="0.25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  <c r="AJ624" s="10"/>
      <c r="AK624" s="10"/>
      <c r="AL624" s="10"/>
      <c r="AM624" s="10"/>
      <c r="AN624" s="10"/>
      <c r="AO624" s="10"/>
      <c r="AP624" s="10"/>
      <c r="AQ624" s="10"/>
      <c r="AR624" s="10"/>
      <c r="AS624" s="10"/>
      <c r="AT624" s="10"/>
      <c r="AU624" s="10"/>
      <c r="AV624" s="10"/>
      <c r="AW624" s="10"/>
      <c r="AX624" s="10"/>
      <c r="AY624" s="10"/>
      <c r="AZ624" s="10"/>
      <c r="BA624" s="10"/>
    </row>
    <row r="625" spans="1:53" x14ac:dyDescent="0.2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  <c r="AJ625" s="10"/>
      <c r="AK625" s="10"/>
      <c r="AL625" s="10"/>
      <c r="AM625" s="10"/>
      <c r="AN625" s="10"/>
      <c r="AO625" s="10"/>
      <c r="AP625" s="10"/>
      <c r="AQ625" s="10"/>
      <c r="AR625" s="10"/>
      <c r="AS625" s="10"/>
      <c r="AT625" s="10"/>
      <c r="AU625" s="10"/>
      <c r="AV625" s="10"/>
      <c r="AW625" s="10"/>
      <c r="AX625" s="10"/>
      <c r="AY625" s="10"/>
      <c r="AZ625" s="10"/>
      <c r="BA625" s="10"/>
    </row>
    <row r="626" spans="1:53" x14ac:dyDescent="0.25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  <c r="AJ626" s="10"/>
      <c r="AK626" s="10"/>
      <c r="AL626" s="10"/>
      <c r="AM626" s="10"/>
      <c r="AN626" s="10"/>
      <c r="AO626" s="10"/>
      <c r="AP626" s="10"/>
      <c r="AQ626" s="10"/>
      <c r="AR626" s="10"/>
      <c r="AS626" s="10"/>
      <c r="AT626" s="10"/>
      <c r="AU626" s="10"/>
      <c r="AV626" s="10"/>
      <c r="AW626" s="10"/>
      <c r="AX626" s="10"/>
      <c r="AY626" s="10"/>
      <c r="AZ626" s="10"/>
      <c r="BA626" s="10"/>
    </row>
    <row r="627" spans="1:53" x14ac:dyDescent="0.25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  <c r="AJ627" s="10"/>
      <c r="AK627" s="10"/>
      <c r="AL627" s="10"/>
      <c r="AM627" s="10"/>
      <c r="AN627" s="10"/>
      <c r="AO627" s="10"/>
      <c r="AP627" s="10"/>
      <c r="AQ627" s="10"/>
      <c r="AR627" s="10"/>
      <c r="AS627" s="10"/>
      <c r="AT627" s="10"/>
      <c r="AU627" s="10"/>
      <c r="AV627" s="10"/>
      <c r="AW627" s="10"/>
      <c r="AX627" s="10"/>
      <c r="AY627" s="10"/>
      <c r="AZ627" s="10"/>
      <c r="BA627" s="10"/>
    </row>
    <row r="628" spans="1:53" x14ac:dyDescent="0.25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  <c r="AJ628" s="10"/>
      <c r="AK628" s="10"/>
      <c r="AL628" s="10"/>
      <c r="AM628" s="10"/>
      <c r="AN628" s="10"/>
      <c r="AO628" s="10"/>
      <c r="AP628" s="10"/>
      <c r="AQ628" s="10"/>
      <c r="AR628" s="10"/>
      <c r="AS628" s="10"/>
      <c r="AT628" s="10"/>
      <c r="AU628" s="10"/>
      <c r="AV628" s="10"/>
      <c r="AW628" s="10"/>
      <c r="AX628" s="10"/>
      <c r="AY628" s="10"/>
      <c r="AZ628" s="10"/>
      <c r="BA628" s="10"/>
    </row>
    <row r="629" spans="1:53" x14ac:dyDescent="0.25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  <c r="AJ629" s="10"/>
      <c r="AK629" s="10"/>
      <c r="AL629" s="10"/>
      <c r="AM629" s="10"/>
      <c r="AN629" s="10"/>
      <c r="AO629" s="10"/>
      <c r="AP629" s="10"/>
      <c r="AQ629" s="10"/>
      <c r="AR629" s="10"/>
      <c r="AS629" s="10"/>
      <c r="AT629" s="10"/>
      <c r="AU629" s="10"/>
      <c r="AV629" s="10"/>
      <c r="AW629" s="10"/>
      <c r="AX629" s="10"/>
      <c r="AY629" s="10"/>
      <c r="AZ629" s="10"/>
      <c r="BA629" s="10"/>
    </row>
    <row r="630" spans="1:53" x14ac:dyDescent="0.25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  <c r="AJ630" s="10"/>
      <c r="AK630" s="10"/>
      <c r="AL630" s="10"/>
      <c r="AM630" s="10"/>
      <c r="AN630" s="10"/>
      <c r="AO630" s="10"/>
      <c r="AP630" s="10"/>
      <c r="AQ630" s="10"/>
      <c r="AR630" s="10"/>
      <c r="AS630" s="10"/>
      <c r="AT630" s="10"/>
      <c r="AU630" s="10"/>
      <c r="AV630" s="10"/>
      <c r="AW630" s="10"/>
      <c r="AX630" s="10"/>
      <c r="AY630" s="10"/>
      <c r="AZ630" s="10"/>
      <c r="BA630" s="10"/>
    </row>
    <row r="631" spans="1:53" x14ac:dyDescent="0.25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  <c r="AJ631" s="10"/>
      <c r="AK631" s="10"/>
      <c r="AL631" s="10"/>
      <c r="AM631" s="10"/>
      <c r="AN631" s="10"/>
      <c r="AO631" s="10"/>
      <c r="AP631" s="10"/>
      <c r="AQ631" s="10"/>
      <c r="AR631" s="10"/>
      <c r="AS631" s="10"/>
      <c r="AT631" s="10"/>
      <c r="AU631" s="10"/>
      <c r="AV631" s="10"/>
      <c r="AW631" s="10"/>
      <c r="AX631" s="10"/>
      <c r="AY631" s="10"/>
      <c r="AZ631" s="10"/>
      <c r="BA631" s="10"/>
    </row>
    <row r="632" spans="1:53" x14ac:dyDescent="0.25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  <c r="AJ632" s="10"/>
      <c r="AK632" s="10"/>
      <c r="AL632" s="10"/>
      <c r="AM632" s="10"/>
      <c r="AN632" s="10"/>
      <c r="AO632" s="10"/>
      <c r="AP632" s="10"/>
      <c r="AQ632" s="10"/>
      <c r="AR632" s="10"/>
      <c r="AS632" s="10"/>
      <c r="AT632" s="10"/>
      <c r="AU632" s="10"/>
      <c r="AV632" s="10"/>
      <c r="AW632" s="10"/>
      <c r="AX632" s="10"/>
      <c r="AY632" s="10"/>
      <c r="AZ632" s="10"/>
      <c r="BA632" s="10"/>
    </row>
    <row r="633" spans="1:53" x14ac:dyDescent="0.25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  <c r="AJ633" s="10"/>
      <c r="AK633" s="10"/>
      <c r="AL633" s="10"/>
      <c r="AM633" s="10"/>
      <c r="AN633" s="10"/>
      <c r="AO633" s="10"/>
      <c r="AP633" s="10"/>
      <c r="AQ633" s="10"/>
      <c r="AR633" s="10"/>
      <c r="AS633" s="10"/>
      <c r="AT633" s="10"/>
      <c r="AU633" s="10"/>
      <c r="AV633" s="10"/>
      <c r="AW633" s="10"/>
      <c r="AX633" s="10"/>
      <c r="AY633" s="10"/>
      <c r="AZ633" s="10"/>
      <c r="BA633" s="10"/>
    </row>
    <row r="634" spans="1:53" x14ac:dyDescent="0.25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  <c r="AJ634" s="10"/>
      <c r="AK634" s="10"/>
      <c r="AL634" s="10"/>
      <c r="AM634" s="10"/>
      <c r="AN634" s="10"/>
      <c r="AO634" s="10"/>
      <c r="AP634" s="10"/>
      <c r="AQ634" s="10"/>
      <c r="AR634" s="10"/>
      <c r="AS634" s="10"/>
      <c r="AT634" s="10"/>
      <c r="AU634" s="10"/>
      <c r="AV634" s="10"/>
      <c r="AW634" s="10"/>
      <c r="AX634" s="10"/>
      <c r="AY634" s="10"/>
      <c r="AZ634" s="10"/>
      <c r="BA634" s="10"/>
    </row>
    <row r="635" spans="1:53" x14ac:dyDescent="0.25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  <c r="AJ635" s="10"/>
      <c r="AK635" s="10"/>
      <c r="AL635" s="10"/>
      <c r="AM635" s="10"/>
      <c r="AN635" s="10"/>
      <c r="AO635" s="10"/>
      <c r="AP635" s="10"/>
      <c r="AQ635" s="10"/>
      <c r="AR635" s="10"/>
      <c r="AS635" s="10"/>
      <c r="AT635" s="10"/>
      <c r="AU635" s="10"/>
      <c r="AV635" s="10"/>
      <c r="AW635" s="10"/>
      <c r="AX635" s="10"/>
      <c r="AY635" s="10"/>
      <c r="AZ635" s="10"/>
      <c r="BA635" s="10"/>
    </row>
    <row r="636" spans="1:53" x14ac:dyDescent="0.25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  <c r="AJ636" s="10"/>
      <c r="AK636" s="10"/>
      <c r="AL636" s="10"/>
      <c r="AM636" s="10"/>
      <c r="AN636" s="10"/>
      <c r="AO636" s="10"/>
      <c r="AP636" s="10"/>
      <c r="AQ636" s="10"/>
      <c r="AR636" s="10"/>
      <c r="AS636" s="10"/>
      <c r="AT636" s="10"/>
      <c r="AU636" s="10"/>
      <c r="AV636" s="10"/>
      <c r="AW636" s="10"/>
      <c r="AX636" s="10"/>
      <c r="AY636" s="10"/>
      <c r="AZ636" s="10"/>
      <c r="BA636" s="10"/>
    </row>
    <row r="637" spans="1:53" x14ac:dyDescent="0.25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  <c r="AJ637" s="10"/>
      <c r="AK637" s="10"/>
      <c r="AL637" s="10"/>
      <c r="AM637" s="10"/>
      <c r="AN637" s="10"/>
      <c r="AO637" s="10"/>
      <c r="AP637" s="10"/>
      <c r="AQ637" s="10"/>
      <c r="AR637" s="10"/>
      <c r="AS637" s="10"/>
      <c r="AT637" s="10"/>
      <c r="AU637" s="10"/>
      <c r="AV637" s="10"/>
      <c r="AW637" s="10"/>
      <c r="AX637" s="10"/>
      <c r="AY637" s="10"/>
      <c r="AZ637" s="10"/>
      <c r="BA637" s="10"/>
    </row>
    <row r="638" spans="1:53" x14ac:dyDescent="0.25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  <c r="AJ638" s="10"/>
      <c r="AK638" s="10"/>
      <c r="AL638" s="10"/>
      <c r="AM638" s="10"/>
      <c r="AN638" s="10"/>
      <c r="AO638" s="10"/>
      <c r="AP638" s="10"/>
      <c r="AQ638" s="10"/>
      <c r="AR638" s="10"/>
      <c r="AS638" s="10"/>
      <c r="AT638" s="10"/>
      <c r="AU638" s="10"/>
      <c r="AV638" s="10"/>
      <c r="AW638" s="10"/>
      <c r="AX638" s="10"/>
      <c r="AY638" s="10"/>
      <c r="AZ638" s="10"/>
      <c r="BA638" s="10"/>
    </row>
    <row r="639" spans="1:53" x14ac:dyDescent="0.25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  <c r="AJ639" s="10"/>
      <c r="AK639" s="10"/>
      <c r="AL639" s="10"/>
      <c r="AM639" s="10"/>
      <c r="AN639" s="10"/>
      <c r="AO639" s="10"/>
      <c r="AP639" s="10"/>
      <c r="AQ639" s="10"/>
      <c r="AR639" s="10"/>
      <c r="AS639" s="10"/>
      <c r="AT639" s="10"/>
      <c r="AU639" s="10"/>
      <c r="AV639" s="10"/>
      <c r="AW639" s="10"/>
      <c r="AX639" s="10"/>
      <c r="AY639" s="10"/>
      <c r="AZ639" s="10"/>
      <c r="BA639" s="10"/>
    </row>
    <row r="640" spans="1:53" x14ac:dyDescent="0.25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  <c r="AJ640" s="10"/>
      <c r="AK640" s="10"/>
      <c r="AL640" s="10"/>
      <c r="AM640" s="10"/>
      <c r="AN640" s="10"/>
      <c r="AO640" s="10"/>
      <c r="AP640" s="10"/>
      <c r="AQ640" s="10"/>
      <c r="AR640" s="10"/>
      <c r="AS640" s="10"/>
      <c r="AT640" s="10"/>
      <c r="AU640" s="10"/>
      <c r="AV640" s="10"/>
      <c r="AW640" s="10"/>
      <c r="AX640" s="10"/>
      <c r="AY640" s="10"/>
      <c r="AZ640" s="10"/>
      <c r="BA640" s="10"/>
    </row>
    <row r="641" spans="1:53" x14ac:dyDescent="0.25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  <c r="AI641" s="10"/>
      <c r="AJ641" s="10"/>
      <c r="AK641" s="10"/>
      <c r="AL641" s="10"/>
      <c r="AM641" s="10"/>
      <c r="AN641" s="10"/>
      <c r="AO641" s="10"/>
      <c r="AP641" s="10"/>
      <c r="AQ641" s="10"/>
      <c r="AR641" s="10"/>
      <c r="AS641" s="10"/>
      <c r="AT641" s="10"/>
      <c r="AU641" s="10"/>
      <c r="AV641" s="10"/>
      <c r="AW641" s="10"/>
      <c r="AX641" s="10"/>
      <c r="AY641" s="10"/>
      <c r="AZ641" s="10"/>
      <c r="BA641" s="10"/>
    </row>
    <row r="642" spans="1:53" x14ac:dyDescent="0.25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  <c r="AJ642" s="10"/>
      <c r="AK642" s="10"/>
      <c r="AL642" s="10"/>
      <c r="AM642" s="10"/>
      <c r="AN642" s="10"/>
      <c r="AO642" s="10"/>
      <c r="AP642" s="10"/>
      <c r="AQ642" s="10"/>
      <c r="AR642" s="10"/>
      <c r="AS642" s="10"/>
      <c r="AT642" s="10"/>
      <c r="AU642" s="10"/>
      <c r="AV642" s="10"/>
      <c r="AW642" s="10"/>
      <c r="AX642" s="10"/>
      <c r="AY642" s="10"/>
      <c r="AZ642" s="10"/>
      <c r="BA642" s="10"/>
    </row>
    <row r="643" spans="1:53" x14ac:dyDescent="0.25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  <c r="AJ643" s="10"/>
      <c r="AK643" s="10"/>
      <c r="AL643" s="10"/>
      <c r="AM643" s="10"/>
      <c r="AN643" s="10"/>
      <c r="AO643" s="10"/>
      <c r="AP643" s="10"/>
      <c r="AQ643" s="10"/>
      <c r="AR643" s="10"/>
      <c r="AS643" s="10"/>
      <c r="AT643" s="10"/>
      <c r="AU643" s="10"/>
      <c r="AV643" s="10"/>
      <c r="AW643" s="10"/>
      <c r="AX643" s="10"/>
      <c r="AY643" s="10"/>
      <c r="AZ643" s="10"/>
      <c r="BA643" s="10"/>
    </row>
    <row r="644" spans="1:53" x14ac:dyDescent="0.25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  <c r="AJ644" s="10"/>
      <c r="AK644" s="10"/>
      <c r="AL644" s="10"/>
      <c r="AM644" s="10"/>
      <c r="AN644" s="10"/>
      <c r="AO644" s="10"/>
      <c r="AP644" s="10"/>
      <c r="AQ644" s="10"/>
      <c r="AR644" s="10"/>
      <c r="AS644" s="10"/>
      <c r="AT644" s="10"/>
      <c r="AU644" s="10"/>
      <c r="AV644" s="10"/>
      <c r="AW644" s="10"/>
      <c r="AX644" s="10"/>
      <c r="AY644" s="10"/>
      <c r="AZ644" s="10"/>
      <c r="BA644" s="10"/>
    </row>
    <row r="645" spans="1:53" x14ac:dyDescent="0.25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  <c r="AJ645" s="10"/>
      <c r="AK645" s="10"/>
      <c r="AL645" s="10"/>
      <c r="AM645" s="10"/>
      <c r="AN645" s="10"/>
      <c r="AO645" s="10"/>
      <c r="AP645" s="10"/>
      <c r="AQ645" s="10"/>
      <c r="AR645" s="10"/>
      <c r="AS645" s="10"/>
      <c r="AT645" s="10"/>
      <c r="AU645" s="10"/>
      <c r="AV645" s="10"/>
      <c r="AW645" s="10"/>
      <c r="AX645" s="10"/>
      <c r="AY645" s="10"/>
      <c r="AZ645" s="10"/>
      <c r="BA645" s="10"/>
    </row>
    <row r="646" spans="1:53" x14ac:dyDescent="0.25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  <c r="AJ646" s="10"/>
      <c r="AK646" s="10"/>
      <c r="AL646" s="10"/>
      <c r="AM646" s="10"/>
      <c r="AN646" s="10"/>
      <c r="AO646" s="10"/>
      <c r="AP646" s="10"/>
      <c r="AQ646" s="10"/>
      <c r="AR646" s="10"/>
      <c r="AS646" s="10"/>
      <c r="AT646" s="10"/>
      <c r="AU646" s="10"/>
      <c r="AV646" s="10"/>
      <c r="AW646" s="10"/>
      <c r="AX646" s="10"/>
      <c r="AY646" s="10"/>
      <c r="AZ646" s="10"/>
      <c r="BA646" s="10"/>
    </row>
    <row r="647" spans="1:53" x14ac:dyDescent="0.25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  <c r="AJ647" s="10"/>
      <c r="AK647" s="10"/>
      <c r="AL647" s="10"/>
      <c r="AM647" s="10"/>
      <c r="AN647" s="10"/>
      <c r="AO647" s="10"/>
      <c r="AP647" s="10"/>
      <c r="AQ647" s="10"/>
      <c r="AR647" s="10"/>
      <c r="AS647" s="10"/>
      <c r="AT647" s="10"/>
      <c r="AU647" s="10"/>
      <c r="AV647" s="10"/>
      <c r="AW647" s="10"/>
      <c r="AX647" s="10"/>
      <c r="AY647" s="10"/>
      <c r="AZ647" s="10"/>
      <c r="BA647" s="10"/>
    </row>
    <row r="648" spans="1:53" x14ac:dyDescent="0.25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  <c r="AJ648" s="10"/>
      <c r="AK648" s="10"/>
      <c r="AL648" s="10"/>
      <c r="AM648" s="10"/>
      <c r="AN648" s="10"/>
      <c r="AO648" s="10"/>
      <c r="AP648" s="10"/>
      <c r="AQ648" s="10"/>
      <c r="AR648" s="10"/>
      <c r="AS648" s="10"/>
      <c r="AT648" s="10"/>
      <c r="AU648" s="10"/>
      <c r="AV648" s="10"/>
      <c r="AW648" s="10"/>
      <c r="AX648" s="10"/>
      <c r="AY648" s="10"/>
      <c r="AZ648" s="10"/>
      <c r="BA648" s="10"/>
    </row>
    <row r="649" spans="1:53" x14ac:dyDescent="0.25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  <c r="AJ649" s="10"/>
      <c r="AK649" s="10"/>
      <c r="AL649" s="10"/>
      <c r="AM649" s="10"/>
      <c r="AN649" s="10"/>
      <c r="AO649" s="10"/>
      <c r="AP649" s="10"/>
      <c r="AQ649" s="10"/>
      <c r="AR649" s="10"/>
      <c r="AS649" s="10"/>
      <c r="AT649" s="10"/>
      <c r="AU649" s="10"/>
      <c r="AV649" s="10"/>
      <c r="AW649" s="10"/>
      <c r="AX649" s="10"/>
      <c r="AY649" s="10"/>
      <c r="AZ649" s="10"/>
      <c r="BA649" s="10"/>
    </row>
    <row r="650" spans="1:53" x14ac:dyDescent="0.25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  <c r="AJ650" s="10"/>
      <c r="AK650" s="10"/>
      <c r="AL650" s="10"/>
      <c r="AM650" s="10"/>
      <c r="AN650" s="10"/>
      <c r="AO650" s="10"/>
      <c r="AP650" s="10"/>
      <c r="AQ650" s="10"/>
      <c r="AR650" s="10"/>
      <c r="AS650" s="10"/>
      <c r="AT650" s="10"/>
      <c r="AU650" s="10"/>
      <c r="AV650" s="10"/>
      <c r="AW650" s="10"/>
      <c r="AX650" s="10"/>
      <c r="AY650" s="10"/>
      <c r="AZ650" s="10"/>
      <c r="BA650" s="10"/>
    </row>
    <row r="651" spans="1:53" x14ac:dyDescent="0.25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  <c r="AJ651" s="10"/>
      <c r="AK651" s="10"/>
      <c r="AL651" s="10"/>
      <c r="AM651" s="10"/>
      <c r="AN651" s="10"/>
      <c r="AO651" s="10"/>
      <c r="AP651" s="10"/>
      <c r="AQ651" s="10"/>
      <c r="AR651" s="10"/>
      <c r="AS651" s="10"/>
      <c r="AT651" s="10"/>
      <c r="AU651" s="10"/>
      <c r="AV651" s="10"/>
      <c r="AW651" s="10"/>
      <c r="AX651" s="10"/>
      <c r="AY651" s="10"/>
      <c r="AZ651" s="10"/>
      <c r="BA651" s="10"/>
    </row>
    <row r="652" spans="1:53" x14ac:dyDescent="0.25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  <c r="AJ652" s="10"/>
      <c r="AK652" s="10"/>
      <c r="AL652" s="10"/>
      <c r="AM652" s="10"/>
      <c r="AN652" s="10"/>
      <c r="AO652" s="10"/>
      <c r="AP652" s="10"/>
      <c r="AQ652" s="10"/>
      <c r="AR652" s="10"/>
      <c r="AS652" s="10"/>
      <c r="AT652" s="10"/>
      <c r="AU652" s="10"/>
      <c r="AV652" s="10"/>
      <c r="AW652" s="10"/>
      <c r="AX652" s="10"/>
      <c r="AY652" s="10"/>
      <c r="AZ652" s="10"/>
      <c r="BA652" s="10"/>
    </row>
    <row r="653" spans="1:53" x14ac:dyDescent="0.25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  <c r="AJ653" s="10"/>
      <c r="AK653" s="10"/>
      <c r="AL653" s="10"/>
      <c r="AM653" s="10"/>
      <c r="AN653" s="10"/>
      <c r="AO653" s="10"/>
      <c r="AP653" s="10"/>
      <c r="AQ653" s="10"/>
      <c r="AR653" s="10"/>
      <c r="AS653" s="10"/>
      <c r="AT653" s="10"/>
      <c r="AU653" s="10"/>
      <c r="AV653" s="10"/>
      <c r="AW653" s="10"/>
      <c r="AX653" s="10"/>
      <c r="AY653" s="10"/>
      <c r="AZ653" s="10"/>
      <c r="BA653" s="10"/>
    </row>
    <row r="654" spans="1:53" x14ac:dyDescent="0.25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  <c r="AJ654" s="10"/>
      <c r="AK654" s="10"/>
      <c r="AL654" s="10"/>
      <c r="AM654" s="10"/>
      <c r="AN654" s="10"/>
      <c r="AO654" s="10"/>
      <c r="AP654" s="10"/>
      <c r="AQ654" s="10"/>
      <c r="AR654" s="10"/>
      <c r="AS654" s="10"/>
      <c r="AT654" s="10"/>
      <c r="AU654" s="10"/>
      <c r="AV654" s="10"/>
      <c r="AW654" s="10"/>
      <c r="AX654" s="10"/>
      <c r="AY654" s="10"/>
      <c r="AZ654" s="10"/>
      <c r="BA654" s="10"/>
    </row>
    <row r="655" spans="1:53" x14ac:dyDescent="0.25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  <c r="AJ655" s="10"/>
      <c r="AK655" s="10"/>
      <c r="AL655" s="10"/>
      <c r="AM655" s="10"/>
      <c r="AN655" s="10"/>
      <c r="AO655" s="10"/>
      <c r="AP655" s="10"/>
      <c r="AQ655" s="10"/>
      <c r="AR655" s="10"/>
      <c r="AS655" s="10"/>
      <c r="AT655" s="10"/>
      <c r="AU655" s="10"/>
      <c r="AV655" s="10"/>
      <c r="AW655" s="10"/>
      <c r="AX655" s="10"/>
      <c r="AY655" s="10"/>
      <c r="AZ655" s="10"/>
      <c r="BA655" s="10"/>
    </row>
    <row r="656" spans="1:53" x14ac:dyDescent="0.25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  <c r="AJ656" s="10"/>
      <c r="AK656" s="10"/>
      <c r="AL656" s="10"/>
      <c r="AM656" s="10"/>
      <c r="AN656" s="10"/>
      <c r="AO656" s="10"/>
      <c r="AP656" s="10"/>
      <c r="AQ656" s="10"/>
      <c r="AR656" s="10"/>
      <c r="AS656" s="10"/>
      <c r="AT656" s="10"/>
      <c r="AU656" s="10"/>
      <c r="AV656" s="10"/>
      <c r="AW656" s="10"/>
      <c r="AX656" s="10"/>
      <c r="AY656" s="10"/>
      <c r="AZ656" s="10"/>
      <c r="BA656" s="10"/>
    </row>
    <row r="657" spans="1:53" x14ac:dyDescent="0.25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  <c r="AJ657" s="10"/>
      <c r="AK657" s="10"/>
      <c r="AL657" s="10"/>
      <c r="AM657" s="10"/>
      <c r="AN657" s="10"/>
      <c r="AO657" s="10"/>
      <c r="AP657" s="10"/>
      <c r="AQ657" s="10"/>
      <c r="AR657" s="10"/>
      <c r="AS657" s="10"/>
      <c r="AT657" s="10"/>
      <c r="AU657" s="10"/>
      <c r="AV657" s="10"/>
      <c r="AW657" s="10"/>
      <c r="AX657" s="10"/>
      <c r="AY657" s="10"/>
      <c r="AZ657" s="10"/>
      <c r="BA657" s="10"/>
    </row>
    <row r="658" spans="1:53" x14ac:dyDescent="0.25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  <c r="AJ658" s="10"/>
      <c r="AK658" s="10"/>
      <c r="AL658" s="10"/>
      <c r="AM658" s="10"/>
      <c r="AN658" s="10"/>
      <c r="AO658" s="10"/>
      <c r="AP658" s="10"/>
      <c r="AQ658" s="10"/>
      <c r="AR658" s="10"/>
      <c r="AS658" s="10"/>
      <c r="AT658" s="10"/>
      <c r="AU658" s="10"/>
      <c r="AV658" s="10"/>
      <c r="AW658" s="10"/>
      <c r="AX658" s="10"/>
      <c r="AY658" s="10"/>
      <c r="AZ658" s="10"/>
      <c r="BA658" s="10"/>
    </row>
    <row r="659" spans="1:53" x14ac:dyDescent="0.25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  <c r="AJ659" s="10"/>
      <c r="AK659" s="10"/>
      <c r="AL659" s="10"/>
      <c r="AM659" s="10"/>
      <c r="AN659" s="10"/>
      <c r="AO659" s="10"/>
      <c r="AP659" s="10"/>
      <c r="AQ659" s="10"/>
      <c r="AR659" s="10"/>
      <c r="AS659" s="10"/>
      <c r="AT659" s="10"/>
      <c r="AU659" s="10"/>
      <c r="AV659" s="10"/>
      <c r="AW659" s="10"/>
      <c r="AX659" s="10"/>
      <c r="AY659" s="10"/>
      <c r="AZ659" s="10"/>
      <c r="BA659" s="10"/>
    </row>
    <row r="660" spans="1:53" x14ac:dyDescent="0.25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  <c r="AJ660" s="10"/>
      <c r="AK660" s="10"/>
      <c r="AL660" s="10"/>
      <c r="AM660" s="10"/>
      <c r="AN660" s="10"/>
      <c r="AO660" s="10"/>
      <c r="AP660" s="10"/>
      <c r="AQ660" s="10"/>
      <c r="AR660" s="10"/>
      <c r="AS660" s="10"/>
      <c r="AT660" s="10"/>
      <c r="AU660" s="10"/>
      <c r="AV660" s="10"/>
      <c r="AW660" s="10"/>
      <c r="AX660" s="10"/>
      <c r="AY660" s="10"/>
      <c r="AZ660" s="10"/>
      <c r="BA660" s="10"/>
    </row>
    <row r="661" spans="1:53" x14ac:dyDescent="0.25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  <c r="AJ661" s="10"/>
      <c r="AK661" s="10"/>
      <c r="AL661" s="10"/>
      <c r="AM661" s="10"/>
      <c r="AN661" s="10"/>
      <c r="AO661" s="10"/>
      <c r="AP661" s="10"/>
      <c r="AQ661" s="10"/>
      <c r="AR661" s="10"/>
      <c r="AS661" s="10"/>
      <c r="AT661" s="10"/>
      <c r="AU661" s="10"/>
      <c r="AV661" s="10"/>
      <c r="AW661" s="10"/>
      <c r="AX661" s="10"/>
      <c r="AY661" s="10"/>
      <c r="AZ661" s="10"/>
      <c r="BA661" s="10"/>
    </row>
    <row r="662" spans="1:53" x14ac:dyDescent="0.25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  <c r="AJ662" s="10"/>
      <c r="AK662" s="10"/>
      <c r="AL662" s="10"/>
      <c r="AM662" s="10"/>
      <c r="AN662" s="10"/>
      <c r="AO662" s="10"/>
      <c r="AP662" s="10"/>
      <c r="AQ662" s="10"/>
      <c r="AR662" s="10"/>
      <c r="AS662" s="10"/>
      <c r="AT662" s="10"/>
      <c r="AU662" s="10"/>
      <c r="AV662" s="10"/>
      <c r="AW662" s="10"/>
      <c r="AX662" s="10"/>
      <c r="AY662" s="10"/>
      <c r="AZ662" s="10"/>
      <c r="BA662" s="10"/>
    </row>
    <row r="663" spans="1:53" x14ac:dyDescent="0.25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  <c r="AJ663" s="10"/>
      <c r="AK663" s="10"/>
      <c r="AL663" s="10"/>
      <c r="AM663" s="10"/>
      <c r="AN663" s="10"/>
      <c r="AO663" s="10"/>
      <c r="AP663" s="10"/>
      <c r="AQ663" s="10"/>
      <c r="AR663" s="10"/>
      <c r="AS663" s="10"/>
      <c r="AT663" s="10"/>
      <c r="AU663" s="10"/>
      <c r="AV663" s="10"/>
      <c r="AW663" s="10"/>
      <c r="AX663" s="10"/>
      <c r="AY663" s="10"/>
      <c r="AZ663" s="10"/>
      <c r="BA663" s="10"/>
    </row>
    <row r="664" spans="1:53" x14ac:dyDescent="0.25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  <c r="AJ664" s="10"/>
      <c r="AK664" s="10"/>
      <c r="AL664" s="10"/>
      <c r="AM664" s="10"/>
      <c r="AN664" s="10"/>
      <c r="AO664" s="10"/>
      <c r="AP664" s="10"/>
      <c r="AQ664" s="10"/>
      <c r="AR664" s="10"/>
      <c r="AS664" s="10"/>
      <c r="AT664" s="10"/>
      <c r="AU664" s="10"/>
      <c r="AV664" s="10"/>
      <c r="AW664" s="10"/>
      <c r="AX664" s="10"/>
      <c r="AY664" s="10"/>
      <c r="AZ664" s="10"/>
      <c r="BA664" s="10"/>
    </row>
    <row r="665" spans="1:53" x14ac:dyDescent="0.25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  <c r="AJ665" s="10"/>
      <c r="AK665" s="10"/>
      <c r="AL665" s="10"/>
      <c r="AM665" s="10"/>
      <c r="AN665" s="10"/>
      <c r="AO665" s="10"/>
      <c r="AP665" s="10"/>
      <c r="AQ665" s="10"/>
      <c r="AR665" s="10"/>
      <c r="AS665" s="10"/>
      <c r="AT665" s="10"/>
      <c r="AU665" s="10"/>
      <c r="AV665" s="10"/>
      <c r="AW665" s="10"/>
      <c r="AX665" s="10"/>
      <c r="AY665" s="10"/>
      <c r="AZ665" s="10"/>
      <c r="BA665" s="10"/>
    </row>
    <row r="666" spans="1:53" x14ac:dyDescent="0.25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  <c r="AJ666" s="10"/>
      <c r="AK666" s="10"/>
      <c r="AL666" s="10"/>
      <c r="AM666" s="10"/>
      <c r="AN666" s="10"/>
      <c r="AO666" s="10"/>
      <c r="AP666" s="10"/>
      <c r="AQ666" s="10"/>
      <c r="AR666" s="10"/>
      <c r="AS666" s="10"/>
      <c r="AT666" s="10"/>
      <c r="AU666" s="10"/>
      <c r="AV666" s="10"/>
      <c r="AW666" s="10"/>
      <c r="AX666" s="10"/>
      <c r="AY666" s="10"/>
      <c r="AZ666" s="10"/>
      <c r="BA666" s="10"/>
    </row>
    <row r="667" spans="1:53" x14ac:dyDescent="0.25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  <c r="AJ667" s="10"/>
      <c r="AK667" s="10"/>
      <c r="AL667" s="10"/>
      <c r="AM667" s="10"/>
      <c r="AN667" s="10"/>
      <c r="AO667" s="10"/>
      <c r="AP667" s="10"/>
      <c r="AQ667" s="10"/>
      <c r="AR667" s="10"/>
      <c r="AS667" s="10"/>
      <c r="AT667" s="10"/>
      <c r="AU667" s="10"/>
      <c r="AV667" s="10"/>
      <c r="AW667" s="10"/>
      <c r="AX667" s="10"/>
      <c r="AY667" s="10"/>
      <c r="AZ667" s="10"/>
      <c r="BA667" s="10"/>
    </row>
    <row r="668" spans="1:53" x14ac:dyDescent="0.25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  <c r="AJ668" s="10"/>
      <c r="AK668" s="10"/>
      <c r="AL668" s="10"/>
      <c r="AM668" s="10"/>
      <c r="AN668" s="10"/>
      <c r="AO668" s="10"/>
      <c r="AP668" s="10"/>
      <c r="AQ668" s="10"/>
      <c r="AR668" s="10"/>
      <c r="AS668" s="10"/>
      <c r="AT668" s="10"/>
      <c r="AU668" s="10"/>
      <c r="AV668" s="10"/>
      <c r="AW668" s="10"/>
      <c r="AX668" s="10"/>
      <c r="AY668" s="10"/>
      <c r="AZ668" s="10"/>
      <c r="BA668" s="10"/>
    </row>
    <row r="669" spans="1:53" x14ac:dyDescent="0.25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  <c r="AJ669" s="10"/>
      <c r="AK669" s="10"/>
      <c r="AL669" s="10"/>
      <c r="AM669" s="10"/>
      <c r="AN669" s="10"/>
      <c r="AO669" s="10"/>
      <c r="AP669" s="10"/>
      <c r="AQ669" s="10"/>
      <c r="AR669" s="10"/>
      <c r="AS669" s="10"/>
      <c r="AT669" s="10"/>
      <c r="AU669" s="10"/>
      <c r="AV669" s="10"/>
      <c r="AW669" s="10"/>
      <c r="AX669" s="10"/>
      <c r="AY669" s="10"/>
      <c r="AZ669" s="10"/>
      <c r="BA669" s="10"/>
    </row>
    <row r="670" spans="1:53" x14ac:dyDescent="0.25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  <c r="AJ670" s="10"/>
      <c r="AK670" s="10"/>
      <c r="AL670" s="10"/>
      <c r="AM670" s="10"/>
      <c r="AN670" s="10"/>
      <c r="AO670" s="10"/>
      <c r="AP670" s="10"/>
      <c r="AQ670" s="10"/>
      <c r="AR670" s="10"/>
      <c r="AS670" s="10"/>
      <c r="AT670" s="10"/>
      <c r="AU670" s="10"/>
      <c r="AV670" s="10"/>
      <c r="AW670" s="10"/>
      <c r="AX670" s="10"/>
      <c r="AY670" s="10"/>
      <c r="AZ670" s="10"/>
      <c r="BA670" s="10"/>
    </row>
    <row r="671" spans="1:53" x14ac:dyDescent="0.25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  <c r="AI671" s="10"/>
      <c r="AJ671" s="10"/>
      <c r="AK671" s="10"/>
      <c r="AL671" s="10"/>
      <c r="AM671" s="10"/>
      <c r="AN671" s="10"/>
      <c r="AO671" s="10"/>
      <c r="AP671" s="10"/>
      <c r="AQ671" s="10"/>
      <c r="AR671" s="10"/>
      <c r="AS671" s="10"/>
      <c r="AT671" s="10"/>
      <c r="AU671" s="10"/>
      <c r="AV671" s="10"/>
      <c r="AW671" s="10"/>
      <c r="AX671" s="10"/>
      <c r="AY671" s="10"/>
      <c r="AZ671" s="10"/>
      <c r="BA671" s="10"/>
    </row>
    <row r="672" spans="1:53" x14ac:dyDescent="0.25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  <c r="AI672" s="10"/>
      <c r="AJ672" s="10"/>
      <c r="AK672" s="10"/>
      <c r="AL672" s="10"/>
      <c r="AM672" s="10"/>
      <c r="AN672" s="10"/>
      <c r="AO672" s="10"/>
      <c r="AP672" s="10"/>
      <c r="AQ672" s="10"/>
      <c r="AR672" s="10"/>
      <c r="AS672" s="10"/>
      <c r="AT672" s="10"/>
      <c r="AU672" s="10"/>
      <c r="AV672" s="10"/>
      <c r="AW672" s="10"/>
      <c r="AX672" s="10"/>
      <c r="AY672" s="10"/>
      <c r="AZ672" s="10"/>
      <c r="BA672" s="10"/>
    </row>
    <row r="673" spans="1:53" x14ac:dyDescent="0.25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  <c r="AJ673" s="10"/>
      <c r="AK673" s="10"/>
      <c r="AL673" s="10"/>
      <c r="AM673" s="10"/>
      <c r="AN673" s="10"/>
      <c r="AO673" s="10"/>
      <c r="AP673" s="10"/>
      <c r="AQ673" s="10"/>
      <c r="AR673" s="10"/>
      <c r="AS673" s="10"/>
      <c r="AT673" s="10"/>
      <c r="AU673" s="10"/>
      <c r="AV673" s="10"/>
      <c r="AW673" s="10"/>
      <c r="AX673" s="10"/>
      <c r="AY673" s="10"/>
      <c r="AZ673" s="10"/>
      <c r="BA673" s="10"/>
    </row>
    <row r="674" spans="1:53" x14ac:dyDescent="0.25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  <c r="AI674" s="10"/>
      <c r="AJ674" s="10"/>
      <c r="AK674" s="10"/>
      <c r="AL674" s="10"/>
      <c r="AM674" s="10"/>
      <c r="AN674" s="10"/>
      <c r="AO674" s="10"/>
      <c r="AP674" s="10"/>
      <c r="AQ674" s="10"/>
      <c r="AR674" s="10"/>
      <c r="AS674" s="10"/>
      <c r="AT674" s="10"/>
      <c r="AU674" s="10"/>
      <c r="AV674" s="10"/>
      <c r="AW674" s="10"/>
      <c r="AX674" s="10"/>
      <c r="AY674" s="10"/>
      <c r="AZ674" s="10"/>
      <c r="BA674" s="10"/>
    </row>
    <row r="675" spans="1:53" x14ac:dyDescent="0.25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  <c r="AI675" s="10"/>
      <c r="AJ675" s="10"/>
      <c r="AK675" s="10"/>
      <c r="AL675" s="10"/>
      <c r="AM675" s="10"/>
      <c r="AN675" s="10"/>
      <c r="AO675" s="10"/>
      <c r="AP675" s="10"/>
      <c r="AQ675" s="10"/>
      <c r="AR675" s="10"/>
      <c r="AS675" s="10"/>
      <c r="AT675" s="10"/>
      <c r="AU675" s="10"/>
      <c r="AV675" s="10"/>
      <c r="AW675" s="10"/>
      <c r="AX675" s="10"/>
      <c r="AY675" s="10"/>
      <c r="AZ675" s="10"/>
      <c r="BA675" s="10"/>
    </row>
    <row r="676" spans="1:53" x14ac:dyDescent="0.25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  <c r="AI676" s="10"/>
      <c r="AJ676" s="10"/>
      <c r="AK676" s="10"/>
      <c r="AL676" s="10"/>
      <c r="AM676" s="10"/>
      <c r="AN676" s="10"/>
      <c r="AO676" s="10"/>
      <c r="AP676" s="10"/>
      <c r="AQ676" s="10"/>
      <c r="AR676" s="10"/>
      <c r="AS676" s="10"/>
      <c r="AT676" s="10"/>
      <c r="AU676" s="10"/>
      <c r="AV676" s="10"/>
      <c r="AW676" s="10"/>
      <c r="AX676" s="10"/>
      <c r="AY676" s="10"/>
      <c r="AZ676" s="10"/>
      <c r="BA676" s="10"/>
    </row>
    <row r="677" spans="1:53" x14ac:dyDescent="0.25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  <c r="AI677" s="10"/>
      <c r="AJ677" s="10"/>
      <c r="AK677" s="10"/>
      <c r="AL677" s="10"/>
      <c r="AM677" s="10"/>
      <c r="AN677" s="10"/>
      <c r="AO677" s="10"/>
      <c r="AP677" s="10"/>
      <c r="AQ677" s="10"/>
      <c r="AR677" s="10"/>
      <c r="AS677" s="10"/>
      <c r="AT677" s="10"/>
      <c r="AU677" s="10"/>
      <c r="AV677" s="10"/>
      <c r="AW677" s="10"/>
      <c r="AX677" s="10"/>
      <c r="AY677" s="10"/>
      <c r="AZ677" s="10"/>
      <c r="BA677" s="10"/>
    </row>
    <row r="678" spans="1:53" x14ac:dyDescent="0.25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  <c r="AI678" s="10"/>
      <c r="AJ678" s="10"/>
      <c r="AK678" s="10"/>
      <c r="AL678" s="10"/>
      <c r="AM678" s="10"/>
      <c r="AN678" s="10"/>
      <c r="AO678" s="10"/>
      <c r="AP678" s="10"/>
      <c r="AQ678" s="10"/>
      <c r="AR678" s="10"/>
      <c r="AS678" s="10"/>
      <c r="AT678" s="10"/>
      <c r="AU678" s="10"/>
      <c r="AV678" s="10"/>
      <c r="AW678" s="10"/>
      <c r="AX678" s="10"/>
      <c r="AY678" s="10"/>
      <c r="AZ678" s="10"/>
      <c r="BA678" s="10"/>
    </row>
    <row r="679" spans="1:53" x14ac:dyDescent="0.25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  <c r="AI679" s="10"/>
      <c r="AJ679" s="10"/>
      <c r="AK679" s="10"/>
      <c r="AL679" s="10"/>
      <c r="AM679" s="10"/>
      <c r="AN679" s="10"/>
      <c r="AO679" s="10"/>
      <c r="AP679" s="10"/>
      <c r="AQ679" s="10"/>
      <c r="AR679" s="10"/>
      <c r="AS679" s="10"/>
      <c r="AT679" s="10"/>
      <c r="AU679" s="10"/>
      <c r="AV679" s="10"/>
      <c r="AW679" s="10"/>
      <c r="AX679" s="10"/>
      <c r="AY679" s="10"/>
      <c r="AZ679" s="10"/>
      <c r="BA679" s="10"/>
    </row>
    <row r="680" spans="1:53" x14ac:dyDescent="0.25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  <c r="AI680" s="10"/>
      <c r="AJ680" s="10"/>
      <c r="AK680" s="10"/>
      <c r="AL680" s="10"/>
      <c r="AM680" s="10"/>
      <c r="AN680" s="10"/>
      <c r="AO680" s="10"/>
      <c r="AP680" s="10"/>
      <c r="AQ680" s="10"/>
      <c r="AR680" s="10"/>
      <c r="AS680" s="10"/>
      <c r="AT680" s="10"/>
      <c r="AU680" s="10"/>
      <c r="AV680" s="10"/>
      <c r="AW680" s="10"/>
      <c r="AX680" s="10"/>
      <c r="AY680" s="10"/>
      <c r="AZ680" s="10"/>
      <c r="BA680" s="10"/>
    </row>
    <row r="681" spans="1:53" x14ac:dyDescent="0.25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  <c r="AI681" s="10"/>
      <c r="AJ681" s="10"/>
      <c r="AK681" s="10"/>
      <c r="AL681" s="10"/>
      <c r="AM681" s="10"/>
      <c r="AN681" s="10"/>
      <c r="AO681" s="10"/>
      <c r="AP681" s="10"/>
      <c r="AQ681" s="10"/>
      <c r="AR681" s="10"/>
      <c r="AS681" s="10"/>
      <c r="AT681" s="10"/>
      <c r="AU681" s="10"/>
      <c r="AV681" s="10"/>
      <c r="AW681" s="10"/>
      <c r="AX681" s="10"/>
      <c r="AY681" s="10"/>
      <c r="AZ681" s="10"/>
      <c r="BA681" s="10"/>
    </row>
    <row r="682" spans="1:53" x14ac:dyDescent="0.25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0"/>
      <c r="AH682" s="10"/>
      <c r="AI682" s="10"/>
      <c r="AJ682" s="10"/>
      <c r="AK682" s="10"/>
      <c r="AL682" s="10"/>
      <c r="AM682" s="10"/>
      <c r="AN682" s="10"/>
      <c r="AO682" s="10"/>
      <c r="AP682" s="10"/>
      <c r="AQ682" s="10"/>
      <c r="AR682" s="10"/>
      <c r="AS682" s="10"/>
      <c r="AT682" s="10"/>
      <c r="AU682" s="10"/>
      <c r="AV682" s="10"/>
      <c r="AW682" s="10"/>
      <c r="AX682" s="10"/>
      <c r="AY682" s="10"/>
      <c r="AZ682" s="10"/>
      <c r="BA682" s="10"/>
    </row>
    <row r="683" spans="1:53" x14ac:dyDescent="0.25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0"/>
      <c r="AH683" s="10"/>
      <c r="AI683" s="10"/>
      <c r="AJ683" s="10"/>
      <c r="AK683" s="10"/>
      <c r="AL683" s="10"/>
      <c r="AM683" s="10"/>
      <c r="AN683" s="10"/>
      <c r="AO683" s="10"/>
      <c r="AP683" s="10"/>
      <c r="AQ683" s="10"/>
      <c r="AR683" s="10"/>
      <c r="AS683" s="10"/>
      <c r="AT683" s="10"/>
      <c r="AU683" s="10"/>
      <c r="AV683" s="10"/>
      <c r="AW683" s="10"/>
      <c r="AX683" s="10"/>
      <c r="AY683" s="10"/>
      <c r="AZ683" s="10"/>
      <c r="BA683" s="10"/>
    </row>
    <row r="684" spans="1:53" x14ac:dyDescent="0.25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  <c r="AG684" s="10"/>
      <c r="AH684" s="10"/>
      <c r="AI684" s="10"/>
      <c r="AJ684" s="10"/>
      <c r="AK684" s="10"/>
      <c r="AL684" s="10"/>
      <c r="AM684" s="10"/>
      <c r="AN684" s="10"/>
      <c r="AO684" s="10"/>
      <c r="AP684" s="10"/>
      <c r="AQ684" s="10"/>
      <c r="AR684" s="10"/>
      <c r="AS684" s="10"/>
      <c r="AT684" s="10"/>
      <c r="AU684" s="10"/>
      <c r="AV684" s="10"/>
      <c r="AW684" s="10"/>
      <c r="AX684" s="10"/>
      <c r="AY684" s="10"/>
      <c r="AZ684" s="10"/>
      <c r="BA684" s="10"/>
    </row>
    <row r="685" spans="1:53" x14ac:dyDescent="0.25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0"/>
      <c r="AH685" s="10"/>
      <c r="AI685" s="10"/>
      <c r="AJ685" s="10"/>
      <c r="AK685" s="10"/>
      <c r="AL685" s="10"/>
      <c r="AM685" s="10"/>
      <c r="AN685" s="10"/>
      <c r="AO685" s="10"/>
      <c r="AP685" s="10"/>
      <c r="AQ685" s="10"/>
      <c r="AR685" s="10"/>
      <c r="AS685" s="10"/>
      <c r="AT685" s="10"/>
      <c r="AU685" s="10"/>
      <c r="AV685" s="10"/>
      <c r="AW685" s="10"/>
      <c r="AX685" s="10"/>
      <c r="AY685" s="10"/>
      <c r="AZ685" s="10"/>
      <c r="BA685" s="10"/>
    </row>
    <row r="686" spans="1:53" x14ac:dyDescent="0.25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  <c r="AI686" s="10"/>
      <c r="AJ686" s="10"/>
      <c r="AK686" s="10"/>
      <c r="AL686" s="10"/>
      <c r="AM686" s="10"/>
      <c r="AN686" s="10"/>
      <c r="AO686" s="10"/>
      <c r="AP686" s="10"/>
      <c r="AQ686" s="10"/>
      <c r="AR686" s="10"/>
      <c r="AS686" s="10"/>
      <c r="AT686" s="10"/>
      <c r="AU686" s="10"/>
      <c r="AV686" s="10"/>
      <c r="AW686" s="10"/>
      <c r="AX686" s="10"/>
      <c r="AY686" s="10"/>
      <c r="AZ686" s="10"/>
      <c r="BA686" s="10"/>
    </row>
    <row r="687" spans="1:53" x14ac:dyDescent="0.25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0"/>
      <c r="AH687" s="10"/>
      <c r="AI687" s="10"/>
      <c r="AJ687" s="10"/>
      <c r="AK687" s="10"/>
      <c r="AL687" s="10"/>
      <c r="AM687" s="10"/>
      <c r="AN687" s="10"/>
      <c r="AO687" s="10"/>
      <c r="AP687" s="10"/>
      <c r="AQ687" s="10"/>
      <c r="AR687" s="10"/>
      <c r="AS687" s="10"/>
      <c r="AT687" s="10"/>
      <c r="AU687" s="10"/>
      <c r="AV687" s="10"/>
      <c r="AW687" s="10"/>
      <c r="AX687" s="10"/>
      <c r="AY687" s="10"/>
      <c r="AZ687" s="10"/>
      <c r="BA687" s="10"/>
    </row>
    <row r="688" spans="1:53" x14ac:dyDescent="0.25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0"/>
      <c r="AH688" s="10"/>
      <c r="AI688" s="10"/>
      <c r="AJ688" s="10"/>
      <c r="AK688" s="10"/>
      <c r="AL688" s="10"/>
      <c r="AM688" s="10"/>
      <c r="AN688" s="10"/>
      <c r="AO688" s="10"/>
      <c r="AP688" s="10"/>
      <c r="AQ688" s="10"/>
      <c r="AR688" s="10"/>
      <c r="AS688" s="10"/>
      <c r="AT688" s="10"/>
      <c r="AU688" s="10"/>
      <c r="AV688" s="10"/>
      <c r="AW688" s="10"/>
      <c r="AX688" s="10"/>
      <c r="AY688" s="10"/>
      <c r="AZ688" s="10"/>
      <c r="BA688" s="10"/>
    </row>
    <row r="689" spans="1:53" x14ac:dyDescent="0.25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  <c r="AG689" s="10"/>
      <c r="AH689" s="10"/>
      <c r="AI689" s="10"/>
      <c r="AJ689" s="10"/>
      <c r="AK689" s="10"/>
      <c r="AL689" s="10"/>
      <c r="AM689" s="10"/>
      <c r="AN689" s="10"/>
      <c r="AO689" s="10"/>
      <c r="AP689" s="10"/>
      <c r="AQ689" s="10"/>
      <c r="AR689" s="10"/>
      <c r="AS689" s="10"/>
      <c r="AT689" s="10"/>
      <c r="AU689" s="10"/>
      <c r="AV689" s="10"/>
      <c r="AW689" s="10"/>
      <c r="AX689" s="10"/>
      <c r="AY689" s="10"/>
      <c r="AZ689" s="10"/>
      <c r="BA689" s="10"/>
    </row>
    <row r="690" spans="1:53" x14ac:dyDescent="0.25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  <c r="AI690" s="10"/>
      <c r="AJ690" s="10"/>
      <c r="AK690" s="10"/>
      <c r="AL690" s="10"/>
      <c r="AM690" s="10"/>
      <c r="AN690" s="10"/>
      <c r="AO690" s="10"/>
      <c r="AP690" s="10"/>
      <c r="AQ690" s="10"/>
      <c r="AR690" s="10"/>
      <c r="AS690" s="10"/>
      <c r="AT690" s="10"/>
      <c r="AU690" s="10"/>
      <c r="AV690" s="10"/>
      <c r="AW690" s="10"/>
      <c r="AX690" s="10"/>
      <c r="AY690" s="10"/>
      <c r="AZ690" s="10"/>
      <c r="BA690" s="10"/>
    </row>
    <row r="691" spans="1:53" x14ac:dyDescent="0.25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/>
      <c r="AI691" s="10"/>
      <c r="AJ691" s="10"/>
      <c r="AK691" s="10"/>
      <c r="AL691" s="10"/>
      <c r="AM691" s="10"/>
      <c r="AN691" s="10"/>
      <c r="AO691" s="10"/>
      <c r="AP691" s="10"/>
      <c r="AQ691" s="10"/>
      <c r="AR691" s="10"/>
      <c r="AS691" s="10"/>
      <c r="AT691" s="10"/>
      <c r="AU691" s="10"/>
      <c r="AV691" s="10"/>
      <c r="AW691" s="10"/>
      <c r="AX691" s="10"/>
      <c r="AY691" s="10"/>
      <c r="AZ691" s="10"/>
      <c r="BA691" s="10"/>
    </row>
    <row r="692" spans="1:53" x14ac:dyDescent="0.25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  <c r="AI692" s="10"/>
      <c r="AJ692" s="10"/>
      <c r="AK692" s="10"/>
      <c r="AL692" s="10"/>
      <c r="AM692" s="10"/>
      <c r="AN692" s="10"/>
      <c r="AO692" s="10"/>
      <c r="AP692" s="10"/>
      <c r="AQ692" s="10"/>
      <c r="AR692" s="10"/>
      <c r="AS692" s="10"/>
      <c r="AT692" s="10"/>
      <c r="AU692" s="10"/>
      <c r="AV692" s="10"/>
      <c r="AW692" s="10"/>
      <c r="AX692" s="10"/>
      <c r="AY692" s="10"/>
      <c r="AZ692" s="10"/>
      <c r="BA692" s="10"/>
    </row>
    <row r="693" spans="1:53" x14ac:dyDescent="0.25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  <c r="AI693" s="10"/>
      <c r="AJ693" s="10"/>
      <c r="AK693" s="10"/>
      <c r="AL693" s="10"/>
      <c r="AM693" s="10"/>
      <c r="AN693" s="10"/>
      <c r="AO693" s="10"/>
      <c r="AP693" s="10"/>
      <c r="AQ693" s="10"/>
      <c r="AR693" s="10"/>
      <c r="AS693" s="10"/>
      <c r="AT693" s="10"/>
      <c r="AU693" s="10"/>
      <c r="AV693" s="10"/>
      <c r="AW693" s="10"/>
      <c r="AX693" s="10"/>
      <c r="AY693" s="10"/>
      <c r="AZ693" s="10"/>
      <c r="BA693" s="10"/>
    </row>
    <row r="694" spans="1:53" x14ac:dyDescent="0.25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  <c r="AI694" s="10"/>
      <c r="AJ694" s="10"/>
      <c r="AK694" s="10"/>
      <c r="AL694" s="10"/>
      <c r="AM694" s="10"/>
      <c r="AN694" s="10"/>
      <c r="AO694" s="10"/>
      <c r="AP694" s="10"/>
      <c r="AQ694" s="10"/>
      <c r="AR694" s="10"/>
      <c r="AS694" s="10"/>
      <c r="AT694" s="10"/>
      <c r="AU694" s="10"/>
      <c r="AV694" s="10"/>
      <c r="AW694" s="10"/>
      <c r="AX694" s="10"/>
      <c r="AY694" s="10"/>
      <c r="AZ694" s="10"/>
      <c r="BA694" s="10"/>
    </row>
    <row r="695" spans="1:53" x14ac:dyDescent="0.25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0"/>
      <c r="AH695" s="10"/>
      <c r="AI695" s="10"/>
      <c r="AJ695" s="10"/>
      <c r="AK695" s="10"/>
      <c r="AL695" s="10"/>
      <c r="AM695" s="10"/>
      <c r="AN695" s="10"/>
      <c r="AO695" s="10"/>
      <c r="AP695" s="10"/>
      <c r="AQ695" s="10"/>
      <c r="AR695" s="10"/>
      <c r="AS695" s="10"/>
      <c r="AT695" s="10"/>
      <c r="AU695" s="10"/>
      <c r="AV695" s="10"/>
      <c r="AW695" s="10"/>
      <c r="AX695" s="10"/>
      <c r="AY695" s="10"/>
      <c r="AZ695" s="10"/>
      <c r="BA695" s="10"/>
    </row>
    <row r="696" spans="1:53" x14ac:dyDescent="0.25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0"/>
      <c r="AH696" s="10"/>
      <c r="AI696" s="10"/>
      <c r="AJ696" s="10"/>
      <c r="AK696" s="10"/>
      <c r="AL696" s="10"/>
      <c r="AM696" s="10"/>
      <c r="AN696" s="10"/>
      <c r="AO696" s="10"/>
      <c r="AP696" s="10"/>
      <c r="AQ696" s="10"/>
      <c r="AR696" s="10"/>
      <c r="AS696" s="10"/>
      <c r="AT696" s="10"/>
      <c r="AU696" s="10"/>
      <c r="AV696" s="10"/>
      <c r="AW696" s="10"/>
      <c r="AX696" s="10"/>
      <c r="AY696" s="10"/>
      <c r="AZ696" s="10"/>
      <c r="BA696" s="10"/>
    </row>
    <row r="697" spans="1:53" x14ac:dyDescent="0.25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0"/>
      <c r="AH697" s="10"/>
      <c r="AI697" s="10"/>
      <c r="AJ697" s="10"/>
      <c r="AK697" s="10"/>
      <c r="AL697" s="10"/>
      <c r="AM697" s="10"/>
      <c r="AN697" s="10"/>
      <c r="AO697" s="10"/>
      <c r="AP697" s="10"/>
      <c r="AQ697" s="10"/>
      <c r="AR697" s="10"/>
      <c r="AS697" s="10"/>
      <c r="AT697" s="10"/>
      <c r="AU697" s="10"/>
      <c r="AV697" s="10"/>
      <c r="AW697" s="10"/>
      <c r="AX697" s="10"/>
      <c r="AY697" s="10"/>
      <c r="AZ697" s="10"/>
      <c r="BA697" s="10"/>
    </row>
    <row r="698" spans="1:53" x14ac:dyDescent="0.25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  <c r="AI698" s="10"/>
      <c r="AJ698" s="10"/>
      <c r="AK698" s="10"/>
      <c r="AL698" s="10"/>
      <c r="AM698" s="10"/>
      <c r="AN698" s="10"/>
      <c r="AO698" s="10"/>
      <c r="AP698" s="10"/>
      <c r="AQ698" s="10"/>
      <c r="AR698" s="10"/>
      <c r="AS698" s="10"/>
      <c r="AT698" s="10"/>
      <c r="AU698" s="10"/>
      <c r="AV698" s="10"/>
      <c r="AW698" s="10"/>
      <c r="AX698" s="10"/>
      <c r="AY698" s="10"/>
      <c r="AZ698" s="10"/>
      <c r="BA698" s="10"/>
    </row>
    <row r="699" spans="1:53" x14ac:dyDescent="0.25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0"/>
      <c r="AH699" s="10"/>
      <c r="AI699" s="10"/>
      <c r="AJ699" s="10"/>
      <c r="AK699" s="10"/>
      <c r="AL699" s="10"/>
      <c r="AM699" s="10"/>
      <c r="AN699" s="10"/>
      <c r="AO699" s="10"/>
      <c r="AP699" s="10"/>
      <c r="AQ699" s="10"/>
      <c r="AR699" s="10"/>
      <c r="AS699" s="10"/>
      <c r="AT699" s="10"/>
      <c r="AU699" s="10"/>
      <c r="AV699" s="10"/>
      <c r="AW699" s="10"/>
      <c r="AX699" s="10"/>
      <c r="AY699" s="10"/>
      <c r="AZ699" s="10"/>
      <c r="BA699" s="10"/>
    </row>
    <row r="700" spans="1:53" x14ac:dyDescent="0.25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  <c r="AI700" s="10"/>
      <c r="AJ700" s="10"/>
      <c r="AK700" s="10"/>
      <c r="AL700" s="10"/>
      <c r="AM700" s="10"/>
      <c r="AN700" s="10"/>
      <c r="AO700" s="10"/>
      <c r="AP700" s="10"/>
      <c r="AQ700" s="10"/>
      <c r="AR700" s="10"/>
      <c r="AS700" s="10"/>
      <c r="AT700" s="10"/>
      <c r="AU700" s="10"/>
      <c r="AV700" s="10"/>
      <c r="AW700" s="10"/>
      <c r="AX700" s="10"/>
      <c r="AY700" s="10"/>
      <c r="AZ700" s="10"/>
      <c r="BA700" s="10"/>
    </row>
    <row r="701" spans="1:53" x14ac:dyDescent="0.25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0"/>
      <c r="AH701" s="10"/>
      <c r="AI701" s="10"/>
      <c r="AJ701" s="10"/>
      <c r="AK701" s="10"/>
      <c r="AL701" s="10"/>
      <c r="AM701" s="10"/>
      <c r="AN701" s="10"/>
      <c r="AO701" s="10"/>
      <c r="AP701" s="10"/>
      <c r="AQ701" s="10"/>
      <c r="AR701" s="10"/>
      <c r="AS701" s="10"/>
      <c r="AT701" s="10"/>
      <c r="AU701" s="10"/>
      <c r="AV701" s="10"/>
      <c r="AW701" s="10"/>
      <c r="AX701" s="10"/>
      <c r="AY701" s="10"/>
      <c r="AZ701" s="10"/>
      <c r="BA701" s="10"/>
    </row>
    <row r="702" spans="1:53" x14ac:dyDescent="0.25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  <c r="AG702" s="10"/>
      <c r="AH702" s="10"/>
      <c r="AI702" s="10"/>
      <c r="AJ702" s="10"/>
      <c r="AK702" s="10"/>
      <c r="AL702" s="10"/>
      <c r="AM702" s="10"/>
      <c r="AN702" s="10"/>
      <c r="AO702" s="10"/>
      <c r="AP702" s="10"/>
      <c r="AQ702" s="10"/>
      <c r="AR702" s="10"/>
      <c r="AS702" s="10"/>
      <c r="AT702" s="10"/>
      <c r="AU702" s="10"/>
      <c r="AV702" s="10"/>
      <c r="AW702" s="10"/>
      <c r="AX702" s="10"/>
      <c r="AY702" s="10"/>
      <c r="AZ702" s="10"/>
      <c r="BA702" s="10"/>
    </row>
    <row r="703" spans="1:53" x14ac:dyDescent="0.25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  <c r="AI703" s="10"/>
      <c r="AJ703" s="10"/>
      <c r="AK703" s="10"/>
      <c r="AL703" s="10"/>
      <c r="AM703" s="10"/>
      <c r="AN703" s="10"/>
      <c r="AO703" s="10"/>
      <c r="AP703" s="10"/>
      <c r="AQ703" s="10"/>
      <c r="AR703" s="10"/>
      <c r="AS703" s="10"/>
      <c r="AT703" s="10"/>
      <c r="AU703" s="10"/>
      <c r="AV703" s="10"/>
      <c r="AW703" s="10"/>
      <c r="AX703" s="10"/>
      <c r="AY703" s="10"/>
      <c r="AZ703" s="10"/>
      <c r="BA703" s="10"/>
    </row>
    <row r="704" spans="1:53" x14ac:dyDescent="0.25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  <c r="AI704" s="10"/>
      <c r="AJ704" s="10"/>
      <c r="AK704" s="10"/>
      <c r="AL704" s="10"/>
      <c r="AM704" s="10"/>
      <c r="AN704" s="10"/>
      <c r="AO704" s="10"/>
      <c r="AP704" s="10"/>
      <c r="AQ704" s="10"/>
      <c r="AR704" s="10"/>
      <c r="AS704" s="10"/>
      <c r="AT704" s="10"/>
      <c r="AU704" s="10"/>
      <c r="AV704" s="10"/>
      <c r="AW704" s="10"/>
      <c r="AX704" s="10"/>
      <c r="AY704" s="10"/>
      <c r="AZ704" s="10"/>
      <c r="BA704" s="10"/>
    </row>
    <row r="705" spans="1:53" x14ac:dyDescent="0.25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0"/>
      <c r="AH705" s="10"/>
      <c r="AI705" s="10"/>
      <c r="AJ705" s="10"/>
      <c r="AK705" s="10"/>
      <c r="AL705" s="10"/>
      <c r="AM705" s="10"/>
      <c r="AN705" s="10"/>
      <c r="AO705" s="10"/>
      <c r="AP705" s="10"/>
      <c r="AQ705" s="10"/>
      <c r="AR705" s="10"/>
      <c r="AS705" s="10"/>
      <c r="AT705" s="10"/>
      <c r="AU705" s="10"/>
      <c r="AV705" s="10"/>
      <c r="AW705" s="10"/>
      <c r="AX705" s="10"/>
      <c r="AY705" s="10"/>
      <c r="AZ705" s="10"/>
      <c r="BA705" s="10"/>
    </row>
    <row r="706" spans="1:53" x14ac:dyDescent="0.25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0"/>
      <c r="AH706" s="10"/>
      <c r="AI706" s="10"/>
      <c r="AJ706" s="10"/>
      <c r="AK706" s="10"/>
      <c r="AL706" s="10"/>
      <c r="AM706" s="10"/>
      <c r="AN706" s="10"/>
      <c r="AO706" s="10"/>
      <c r="AP706" s="10"/>
      <c r="AQ706" s="10"/>
      <c r="AR706" s="10"/>
      <c r="AS706" s="10"/>
      <c r="AT706" s="10"/>
      <c r="AU706" s="10"/>
      <c r="AV706" s="10"/>
      <c r="AW706" s="10"/>
      <c r="AX706" s="10"/>
      <c r="AY706" s="10"/>
      <c r="AZ706" s="10"/>
      <c r="BA706" s="10"/>
    </row>
    <row r="707" spans="1:53" x14ac:dyDescent="0.25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0"/>
      <c r="AH707" s="10"/>
      <c r="AI707" s="10"/>
      <c r="AJ707" s="10"/>
      <c r="AK707" s="10"/>
      <c r="AL707" s="10"/>
      <c r="AM707" s="10"/>
      <c r="AN707" s="10"/>
      <c r="AO707" s="10"/>
      <c r="AP707" s="10"/>
      <c r="AQ707" s="10"/>
      <c r="AR707" s="10"/>
      <c r="AS707" s="10"/>
      <c r="AT707" s="10"/>
      <c r="AU707" s="10"/>
      <c r="AV707" s="10"/>
      <c r="AW707" s="10"/>
      <c r="AX707" s="10"/>
      <c r="AY707" s="10"/>
      <c r="AZ707" s="10"/>
      <c r="BA707" s="10"/>
    </row>
    <row r="708" spans="1:53" x14ac:dyDescent="0.25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  <c r="AI708" s="10"/>
      <c r="AJ708" s="10"/>
      <c r="AK708" s="10"/>
      <c r="AL708" s="10"/>
      <c r="AM708" s="10"/>
      <c r="AN708" s="10"/>
      <c r="AO708" s="10"/>
      <c r="AP708" s="10"/>
      <c r="AQ708" s="10"/>
      <c r="AR708" s="10"/>
      <c r="AS708" s="10"/>
      <c r="AT708" s="10"/>
      <c r="AU708" s="10"/>
      <c r="AV708" s="10"/>
      <c r="AW708" s="10"/>
      <c r="AX708" s="10"/>
      <c r="AY708" s="10"/>
      <c r="AZ708" s="10"/>
      <c r="BA708" s="10"/>
    </row>
    <row r="709" spans="1:53" x14ac:dyDescent="0.25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0"/>
      <c r="AH709" s="10"/>
      <c r="AI709" s="10"/>
      <c r="AJ709" s="10"/>
      <c r="AK709" s="10"/>
      <c r="AL709" s="10"/>
      <c r="AM709" s="10"/>
      <c r="AN709" s="10"/>
      <c r="AO709" s="10"/>
      <c r="AP709" s="10"/>
      <c r="AQ709" s="10"/>
      <c r="AR709" s="10"/>
      <c r="AS709" s="10"/>
      <c r="AT709" s="10"/>
      <c r="AU709" s="10"/>
      <c r="AV709" s="10"/>
      <c r="AW709" s="10"/>
      <c r="AX709" s="10"/>
      <c r="AY709" s="10"/>
      <c r="AZ709" s="10"/>
      <c r="BA709" s="10"/>
    </row>
    <row r="710" spans="1:53" x14ac:dyDescent="0.25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0"/>
      <c r="AH710" s="10"/>
      <c r="AI710" s="10"/>
      <c r="AJ710" s="10"/>
      <c r="AK710" s="10"/>
      <c r="AL710" s="10"/>
      <c r="AM710" s="10"/>
      <c r="AN710" s="10"/>
      <c r="AO710" s="10"/>
      <c r="AP710" s="10"/>
      <c r="AQ710" s="10"/>
      <c r="AR710" s="10"/>
      <c r="AS710" s="10"/>
      <c r="AT710" s="10"/>
      <c r="AU710" s="10"/>
      <c r="AV710" s="10"/>
      <c r="AW710" s="10"/>
      <c r="AX710" s="10"/>
      <c r="AY710" s="10"/>
      <c r="AZ710" s="10"/>
      <c r="BA710" s="10"/>
    </row>
    <row r="711" spans="1:53" x14ac:dyDescent="0.25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H711" s="10"/>
      <c r="AI711" s="10"/>
      <c r="AJ711" s="10"/>
      <c r="AK711" s="10"/>
      <c r="AL711" s="10"/>
      <c r="AM711" s="10"/>
      <c r="AN711" s="10"/>
      <c r="AO711" s="10"/>
      <c r="AP711" s="10"/>
      <c r="AQ711" s="10"/>
      <c r="AR711" s="10"/>
      <c r="AS711" s="10"/>
      <c r="AT711" s="10"/>
      <c r="AU711" s="10"/>
      <c r="AV711" s="10"/>
      <c r="AW711" s="10"/>
      <c r="AX711" s="10"/>
      <c r="AY711" s="10"/>
      <c r="AZ711" s="10"/>
      <c r="BA711" s="10"/>
    </row>
    <row r="712" spans="1:53" x14ac:dyDescent="0.25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H712" s="10"/>
      <c r="AI712" s="10"/>
      <c r="AJ712" s="10"/>
      <c r="AK712" s="10"/>
      <c r="AL712" s="10"/>
      <c r="AM712" s="10"/>
      <c r="AN712" s="10"/>
      <c r="AO712" s="10"/>
      <c r="AP712" s="10"/>
      <c r="AQ712" s="10"/>
      <c r="AR712" s="10"/>
      <c r="AS712" s="10"/>
      <c r="AT712" s="10"/>
      <c r="AU712" s="10"/>
      <c r="AV712" s="10"/>
      <c r="AW712" s="10"/>
      <c r="AX712" s="10"/>
      <c r="AY712" s="10"/>
      <c r="AZ712" s="10"/>
      <c r="BA712" s="10"/>
    </row>
    <row r="713" spans="1:53" x14ac:dyDescent="0.25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H713" s="10"/>
      <c r="AI713" s="10"/>
      <c r="AJ713" s="10"/>
      <c r="AK713" s="10"/>
      <c r="AL713" s="10"/>
      <c r="AM713" s="10"/>
      <c r="AN713" s="10"/>
      <c r="AO713" s="10"/>
      <c r="AP713" s="10"/>
      <c r="AQ713" s="10"/>
      <c r="AR713" s="10"/>
      <c r="AS713" s="10"/>
      <c r="AT713" s="10"/>
      <c r="AU713" s="10"/>
      <c r="AV713" s="10"/>
      <c r="AW713" s="10"/>
      <c r="AX713" s="10"/>
      <c r="AY713" s="10"/>
      <c r="AZ713" s="10"/>
      <c r="BA713" s="10"/>
    </row>
    <row r="714" spans="1:53" x14ac:dyDescent="0.25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  <c r="AI714" s="10"/>
      <c r="AJ714" s="10"/>
      <c r="AK714" s="10"/>
      <c r="AL714" s="10"/>
      <c r="AM714" s="10"/>
      <c r="AN714" s="10"/>
      <c r="AO714" s="10"/>
      <c r="AP714" s="10"/>
      <c r="AQ714" s="10"/>
      <c r="AR714" s="10"/>
      <c r="AS714" s="10"/>
      <c r="AT714" s="10"/>
      <c r="AU714" s="10"/>
      <c r="AV714" s="10"/>
      <c r="AW714" s="10"/>
      <c r="AX714" s="10"/>
      <c r="AY714" s="10"/>
      <c r="AZ714" s="10"/>
      <c r="BA714" s="10"/>
    </row>
    <row r="715" spans="1:53" x14ac:dyDescent="0.25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  <c r="AJ715" s="10"/>
      <c r="AK715" s="10"/>
      <c r="AL715" s="10"/>
      <c r="AM715" s="10"/>
      <c r="AN715" s="10"/>
      <c r="AO715" s="10"/>
      <c r="AP715" s="10"/>
      <c r="AQ715" s="10"/>
      <c r="AR715" s="10"/>
      <c r="AS715" s="10"/>
      <c r="AT715" s="10"/>
      <c r="AU715" s="10"/>
      <c r="AV715" s="10"/>
      <c r="AW715" s="10"/>
      <c r="AX715" s="10"/>
      <c r="AY715" s="10"/>
      <c r="AZ715" s="10"/>
      <c r="BA715" s="10"/>
    </row>
    <row r="716" spans="1:53" x14ac:dyDescent="0.25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  <c r="AI716" s="10"/>
      <c r="AJ716" s="10"/>
      <c r="AK716" s="10"/>
      <c r="AL716" s="10"/>
      <c r="AM716" s="10"/>
      <c r="AN716" s="10"/>
      <c r="AO716" s="10"/>
      <c r="AP716" s="10"/>
      <c r="AQ716" s="10"/>
      <c r="AR716" s="10"/>
      <c r="AS716" s="10"/>
      <c r="AT716" s="10"/>
      <c r="AU716" s="10"/>
      <c r="AV716" s="10"/>
      <c r="AW716" s="10"/>
      <c r="AX716" s="10"/>
      <c r="AY716" s="10"/>
      <c r="AZ716" s="10"/>
      <c r="BA716" s="10"/>
    </row>
    <row r="717" spans="1:53" x14ac:dyDescent="0.25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0"/>
      <c r="AH717" s="10"/>
      <c r="AI717" s="10"/>
      <c r="AJ717" s="10"/>
      <c r="AK717" s="10"/>
      <c r="AL717" s="10"/>
      <c r="AM717" s="10"/>
      <c r="AN717" s="10"/>
      <c r="AO717" s="10"/>
      <c r="AP717" s="10"/>
      <c r="AQ717" s="10"/>
      <c r="AR717" s="10"/>
      <c r="AS717" s="10"/>
      <c r="AT717" s="10"/>
      <c r="AU717" s="10"/>
      <c r="AV717" s="10"/>
      <c r="AW717" s="10"/>
      <c r="AX717" s="10"/>
      <c r="AY717" s="10"/>
      <c r="AZ717" s="10"/>
      <c r="BA717" s="10"/>
    </row>
    <row r="718" spans="1:53" x14ac:dyDescent="0.25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H718" s="10"/>
      <c r="AI718" s="10"/>
      <c r="AJ718" s="10"/>
      <c r="AK718" s="10"/>
      <c r="AL718" s="10"/>
      <c r="AM718" s="10"/>
      <c r="AN718" s="10"/>
      <c r="AO718" s="10"/>
      <c r="AP718" s="10"/>
      <c r="AQ718" s="10"/>
      <c r="AR718" s="10"/>
      <c r="AS718" s="10"/>
      <c r="AT718" s="10"/>
      <c r="AU718" s="10"/>
      <c r="AV718" s="10"/>
      <c r="AW718" s="10"/>
      <c r="AX718" s="10"/>
      <c r="AY718" s="10"/>
      <c r="AZ718" s="10"/>
      <c r="BA718" s="10"/>
    </row>
    <row r="719" spans="1:53" x14ac:dyDescent="0.25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  <c r="AI719" s="10"/>
      <c r="AJ719" s="10"/>
      <c r="AK719" s="10"/>
      <c r="AL719" s="10"/>
      <c r="AM719" s="10"/>
      <c r="AN719" s="10"/>
      <c r="AO719" s="10"/>
      <c r="AP719" s="10"/>
      <c r="AQ719" s="10"/>
      <c r="AR719" s="10"/>
      <c r="AS719" s="10"/>
      <c r="AT719" s="10"/>
      <c r="AU719" s="10"/>
      <c r="AV719" s="10"/>
      <c r="AW719" s="10"/>
      <c r="AX719" s="10"/>
      <c r="AY719" s="10"/>
      <c r="AZ719" s="10"/>
      <c r="BA719" s="10"/>
    </row>
    <row r="720" spans="1:53" x14ac:dyDescent="0.25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  <c r="AI720" s="10"/>
      <c r="AJ720" s="10"/>
      <c r="AK720" s="10"/>
      <c r="AL720" s="10"/>
      <c r="AM720" s="10"/>
      <c r="AN720" s="10"/>
      <c r="AO720" s="10"/>
      <c r="AP720" s="10"/>
      <c r="AQ720" s="10"/>
      <c r="AR720" s="10"/>
      <c r="AS720" s="10"/>
      <c r="AT720" s="10"/>
      <c r="AU720" s="10"/>
      <c r="AV720" s="10"/>
      <c r="AW720" s="10"/>
      <c r="AX720" s="10"/>
      <c r="AY720" s="10"/>
      <c r="AZ720" s="10"/>
      <c r="BA720" s="10"/>
    </row>
    <row r="721" spans="1:53" x14ac:dyDescent="0.25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0"/>
      <c r="AH721" s="10"/>
      <c r="AI721" s="10"/>
      <c r="AJ721" s="10"/>
      <c r="AK721" s="10"/>
      <c r="AL721" s="10"/>
      <c r="AM721" s="10"/>
      <c r="AN721" s="10"/>
      <c r="AO721" s="10"/>
      <c r="AP721" s="10"/>
      <c r="AQ721" s="10"/>
      <c r="AR721" s="10"/>
      <c r="AS721" s="10"/>
      <c r="AT721" s="10"/>
      <c r="AU721" s="10"/>
      <c r="AV721" s="10"/>
      <c r="AW721" s="10"/>
      <c r="AX721" s="10"/>
      <c r="AY721" s="10"/>
      <c r="AZ721" s="10"/>
      <c r="BA721" s="10"/>
    </row>
    <row r="722" spans="1:53" x14ac:dyDescent="0.25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  <c r="AI722" s="10"/>
      <c r="AJ722" s="10"/>
      <c r="AK722" s="10"/>
      <c r="AL722" s="10"/>
      <c r="AM722" s="10"/>
      <c r="AN722" s="10"/>
      <c r="AO722" s="10"/>
      <c r="AP722" s="10"/>
      <c r="AQ722" s="10"/>
      <c r="AR722" s="10"/>
      <c r="AS722" s="10"/>
      <c r="AT722" s="10"/>
      <c r="AU722" s="10"/>
      <c r="AV722" s="10"/>
      <c r="AW722" s="10"/>
      <c r="AX722" s="10"/>
      <c r="AY722" s="10"/>
      <c r="AZ722" s="10"/>
      <c r="BA722" s="10"/>
    </row>
    <row r="723" spans="1:53" x14ac:dyDescent="0.25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  <c r="AI723" s="10"/>
      <c r="AJ723" s="10"/>
      <c r="AK723" s="10"/>
      <c r="AL723" s="10"/>
      <c r="AM723" s="10"/>
      <c r="AN723" s="10"/>
      <c r="AO723" s="10"/>
      <c r="AP723" s="10"/>
      <c r="AQ723" s="10"/>
      <c r="AR723" s="10"/>
      <c r="AS723" s="10"/>
      <c r="AT723" s="10"/>
      <c r="AU723" s="10"/>
      <c r="AV723" s="10"/>
      <c r="AW723" s="10"/>
      <c r="AX723" s="10"/>
      <c r="AY723" s="10"/>
      <c r="AZ723" s="10"/>
      <c r="BA723" s="10"/>
    </row>
    <row r="724" spans="1:53" x14ac:dyDescent="0.25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  <c r="AI724" s="10"/>
      <c r="AJ724" s="10"/>
      <c r="AK724" s="10"/>
      <c r="AL724" s="10"/>
      <c r="AM724" s="10"/>
      <c r="AN724" s="10"/>
      <c r="AO724" s="10"/>
      <c r="AP724" s="10"/>
      <c r="AQ724" s="10"/>
      <c r="AR724" s="10"/>
      <c r="AS724" s="10"/>
      <c r="AT724" s="10"/>
      <c r="AU724" s="10"/>
      <c r="AV724" s="10"/>
      <c r="AW724" s="10"/>
      <c r="AX724" s="10"/>
      <c r="AY724" s="10"/>
      <c r="AZ724" s="10"/>
      <c r="BA724" s="10"/>
    </row>
    <row r="725" spans="1:53" x14ac:dyDescent="0.25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  <c r="AI725" s="10"/>
      <c r="AJ725" s="10"/>
      <c r="AK725" s="10"/>
      <c r="AL725" s="10"/>
      <c r="AM725" s="10"/>
      <c r="AN725" s="10"/>
      <c r="AO725" s="10"/>
      <c r="AP725" s="10"/>
      <c r="AQ725" s="10"/>
      <c r="AR725" s="10"/>
      <c r="AS725" s="10"/>
      <c r="AT725" s="10"/>
      <c r="AU725" s="10"/>
      <c r="AV725" s="10"/>
      <c r="AW725" s="10"/>
      <c r="AX725" s="10"/>
      <c r="AY725" s="10"/>
      <c r="AZ725" s="10"/>
      <c r="BA725" s="10"/>
    </row>
    <row r="726" spans="1:53" x14ac:dyDescent="0.25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  <c r="AI726" s="10"/>
      <c r="AJ726" s="10"/>
      <c r="AK726" s="10"/>
      <c r="AL726" s="10"/>
      <c r="AM726" s="10"/>
      <c r="AN726" s="10"/>
      <c r="AO726" s="10"/>
      <c r="AP726" s="10"/>
      <c r="AQ726" s="10"/>
      <c r="AR726" s="10"/>
      <c r="AS726" s="10"/>
      <c r="AT726" s="10"/>
      <c r="AU726" s="10"/>
      <c r="AV726" s="10"/>
      <c r="AW726" s="10"/>
      <c r="AX726" s="10"/>
      <c r="AY726" s="10"/>
      <c r="AZ726" s="10"/>
      <c r="BA726" s="10"/>
    </row>
    <row r="727" spans="1:53" x14ac:dyDescent="0.25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  <c r="AI727" s="10"/>
      <c r="AJ727" s="10"/>
      <c r="AK727" s="10"/>
      <c r="AL727" s="10"/>
      <c r="AM727" s="10"/>
      <c r="AN727" s="10"/>
      <c r="AO727" s="10"/>
      <c r="AP727" s="10"/>
      <c r="AQ727" s="10"/>
      <c r="AR727" s="10"/>
      <c r="AS727" s="10"/>
      <c r="AT727" s="10"/>
      <c r="AU727" s="10"/>
      <c r="AV727" s="10"/>
      <c r="AW727" s="10"/>
      <c r="AX727" s="10"/>
      <c r="AY727" s="10"/>
      <c r="AZ727" s="10"/>
      <c r="BA727" s="10"/>
    </row>
    <row r="728" spans="1:53" x14ac:dyDescent="0.25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  <c r="AI728" s="10"/>
      <c r="AJ728" s="10"/>
      <c r="AK728" s="10"/>
      <c r="AL728" s="10"/>
      <c r="AM728" s="10"/>
      <c r="AN728" s="10"/>
      <c r="AO728" s="10"/>
      <c r="AP728" s="10"/>
      <c r="AQ728" s="10"/>
      <c r="AR728" s="10"/>
      <c r="AS728" s="10"/>
      <c r="AT728" s="10"/>
      <c r="AU728" s="10"/>
      <c r="AV728" s="10"/>
      <c r="AW728" s="10"/>
      <c r="AX728" s="10"/>
      <c r="AY728" s="10"/>
      <c r="AZ728" s="10"/>
      <c r="BA728" s="10"/>
    </row>
    <row r="729" spans="1:53" x14ac:dyDescent="0.25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  <c r="AI729" s="10"/>
      <c r="AJ729" s="10"/>
      <c r="AK729" s="10"/>
      <c r="AL729" s="10"/>
      <c r="AM729" s="10"/>
      <c r="AN729" s="10"/>
      <c r="AO729" s="10"/>
      <c r="AP729" s="10"/>
      <c r="AQ729" s="10"/>
      <c r="AR729" s="10"/>
      <c r="AS729" s="10"/>
      <c r="AT729" s="10"/>
      <c r="AU729" s="10"/>
      <c r="AV729" s="10"/>
      <c r="AW729" s="10"/>
      <c r="AX729" s="10"/>
      <c r="AY729" s="10"/>
      <c r="AZ729" s="10"/>
      <c r="BA729" s="10"/>
    </row>
    <row r="730" spans="1:53" x14ac:dyDescent="0.25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  <c r="AI730" s="10"/>
      <c r="AJ730" s="10"/>
      <c r="AK730" s="10"/>
      <c r="AL730" s="10"/>
      <c r="AM730" s="10"/>
      <c r="AN730" s="10"/>
      <c r="AO730" s="10"/>
      <c r="AP730" s="10"/>
      <c r="AQ730" s="10"/>
      <c r="AR730" s="10"/>
      <c r="AS730" s="10"/>
      <c r="AT730" s="10"/>
      <c r="AU730" s="10"/>
      <c r="AV730" s="10"/>
      <c r="AW730" s="10"/>
      <c r="AX730" s="10"/>
      <c r="AY730" s="10"/>
      <c r="AZ730" s="10"/>
      <c r="BA730" s="10"/>
    </row>
    <row r="731" spans="1:53" x14ac:dyDescent="0.25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  <c r="AI731" s="10"/>
      <c r="AJ731" s="10"/>
      <c r="AK731" s="10"/>
      <c r="AL731" s="10"/>
      <c r="AM731" s="10"/>
      <c r="AN731" s="10"/>
      <c r="AO731" s="10"/>
      <c r="AP731" s="10"/>
      <c r="AQ731" s="10"/>
      <c r="AR731" s="10"/>
      <c r="AS731" s="10"/>
      <c r="AT731" s="10"/>
      <c r="AU731" s="10"/>
      <c r="AV731" s="10"/>
      <c r="AW731" s="10"/>
      <c r="AX731" s="10"/>
      <c r="AY731" s="10"/>
      <c r="AZ731" s="10"/>
      <c r="BA731" s="10"/>
    </row>
    <row r="732" spans="1:53" x14ac:dyDescent="0.25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  <c r="AI732" s="10"/>
      <c r="AJ732" s="10"/>
      <c r="AK732" s="10"/>
      <c r="AL732" s="10"/>
      <c r="AM732" s="10"/>
      <c r="AN732" s="10"/>
      <c r="AO732" s="10"/>
      <c r="AP732" s="10"/>
      <c r="AQ732" s="10"/>
      <c r="AR732" s="10"/>
      <c r="AS732" s="10"/>
      <c r="AT732" s="10"/>
      <c r="AU732" s="10"/>
      <c r="AV732" s="10"/>
      <c r="AW732" s="10"/>
      <c r="AX732" s="10"/>
      <c r="AY732" s="10"/>
      <c r="AZ732" s="10"/>
      <c r="BA732" s="10"/>
    </row>
    <row r="733" spans="1:53" x14ac:dyDescent="0.25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  <c r="AI733" s="10"/>
      <c r="AJ733" s="10"/>
      <c r="AK733" s="10"/>
      <c r="AL733" s="10"/>
      <c r="AM733" s="10"/>
      <c r="AN733" s="10"/>
      <c r="AO733" s="10"/>
      <c r="AP733" s="10"/>
      <c r="AQ733" s="10"/>
      <c r="AR733" s="10"/>
      <c r="AS733" s="10"/>
      <c r="AT733" s="10"/>
      <c r="AU733" s="10"/>
      <c r="AV733" s="10"/>
      <c r="AW733" s="10"/>
      <c r="AX733" s="10"/>
      <c r="AY733" s="10"/>
      <c r="AZ733" s="10"/>
      <c r="BA733" s="10"/>
    </row>
    <row r="734" spans="1:53" x14ac:dyDescent="0.25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  <c r="AI734" s="10"/>
      <c r="AJ734" s="10"/>
      <c r="AK734" s="10"/>
      <c r="AL734" s="10"/>
      <c r="AM734" s="10"/>
      <c r="AN734" s="10"/>
      <c r="AO734" s="10"/>
      <c r="AP734" s="10"/>
      <c r="AQ734" s="10"/>
      <c r="AR734" s="10"/>
      <c r="AS734" s="10"/>
      <c r="AT734" s="10"/>
      <c r="AU734" s="10"/>
      <c r="AV734" s="10"/>
      <c r="AW734" s="10"/>
      <c r="AX734" s="10"/>
      <c r="AY734" s="10"/>
      <c r="AZ734" s="10"/>
      <c r="BA734" s="10"/>
    </row>
    <row r="735" spans="1:53" x14ac:dyDescent="0.25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  <c r="AI735" s="10"/>
      <c r="AJ735" s="10"/>
      <c r="AK735" s="10"/>
      <c r="AL735" s="10"/>
      <c r="AM735" s="10"/>
      <c r="AN735" s="10"/>
      <c r="AO735" s="10"/>
      <c r="AP735" s="10"/>
      <c r="AQ735" s="10"/>
      <c r="AR735" s="10"/>
      <c r="AS735" s="10"/>
      <c r="AT735" s="10"/>
      <c r="AU735" s="10"/>
      <c r="AV735" s="10"/>
      <c r="AW735" s="10"/>
      <c r="AX735" s="10"/>
      <c r="AY735" s="10"/>
      <c r="AZ735" s="10"/>
      <c r="BA735" s="10"/>
    </row>
    <row r="736" spans="1:53" x14ac:dyDescent="0.25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  <c r="AI736" s="10"/>
      <c r="AJ736" s="10"/>
      <c r="AK736" s="10"/>
      <c r="AL736" s="10"/>
      <c r="AM736" s="10"/>
      <c r="AN736" s="10"/>
      <c r="AO736" s="10"/>
      <c r="AP736" s="10"/>
      <c r="AQ736" s="10"/>
      <c r="AR736" s="10"/>
      <c r="AS736" s="10"/>
      <c r="AT736" s="10"/>
      <c r="AU736" s="10"/>
      <c r="AV736" s="10"/>
      <c r="AW736" s="10"/>
      <c r="AX736" s="10"/>
      <c r="AY736" s="10"/>
      <c r="AZ736" s="10"/>
      <c r="BA736" s="10"/>
    </row>
    <row r="737" spans="1:53" x14ac:dyDescent="0.25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  <c r="AI737" s="10"/>
      <c r="AJ737" s="10"/>
      <c r="AK737" s="10"/>
      <c r="AL737" s="10"/>
      <c r="AM737" s="10"/>
      <c r="AN737" s="10"/>
      <c r="AO737" s="10"/>
      <c r="AP737" s="10"/>
      <c r="AQ737" s="10"/>
      <c r="AR737" s="10"/>
      <c r="AS737" s="10"/>
      <c r="AT737" s="10"/>
      <c r="AU737" s="10"/>
      <c r="AV737" s="10"/>
      <c r="AW737" s="10"/>
      <c r="AX737" s="10"/>
      <c r="AY737" s="10"/>
      <c r="AZ737" s="10"/>
      <c r="BA737" s="10"/>
    </row>
    <row r="738" spans="1:53" x14ac:dyDescent="0.25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0"/>
      <c r="AH738" s="10"/>
      <c r="AI738" s="10"/>
      <c r="AJ738" s="10"/>
      <c r="AK738" s="10"/>
      <c r="AL738" s="10"/>
      <c r="AM738" s="10"/>
      <c r="AN738" s="10"/>
      <c r="AO738" s="10"/>
      <c r="AP738" s="10"/>
      <c r="AQ738" s="10"/>
      <c r="AR738" s="10"/>
      <c r="AS738" s="10"/>
      <c r="AT738" s="10"/>
      <c r="AU738" s="10"/>
      <c r="AV738" s="10"/>
      <c r="AW738" s="10"/>
      <c r="AX738" s="10"/>
      <c r="AY738" s="10"/>
      <c r="AZ738" s="10"/>
      <c r="BA738" s="10"/>
    </row>
    <row r="739" spans="1:53" x14ac:dyDescent="0.25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0"/>
      <c r="AH739" s="10"/>
      <c r="AI739" s="10"/>
      <c r="AJ739" s="10"/>
      <c r="AK739" s="10"/>
      <c r="AL739" s="10"/>
      <c r="AM739" s="10"/>
      <c r="AN739" s="10"/>
      <c r="AO739" s="10"/>
      <c r="AP739" s="10"/>
      <c r="AQ739" s="10"/>
      <c r="AR739" s="10"/>
      <c r="AS739" s="10"/>
      <c r="AT739" s="10"/>
      <c r="AU739" s="10"/>
      <c r="AV739" s="10"/>
      <c r="AW739" s="10"/>
      <c r="AX739" s="10"/>
      <c r="AY739" s="10"/>
      <c r="AZ739" s="10"/>
      <c r="BA739" s="10"/>
    </row>
    <row r="740" spans="1:53" x14ac:dyDescent="0.25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0"/>
      <c r="AH740" s="10"/>
      <c r="AI740" s="10"/>
      <c r="AJ740" s="10"/>
      <c r="AK740" s="10"/>
      <c r="AL740" s="10"/>
      <c r="AM740" s="10"/>
      <c r="AN740" s="10"/>
      <c r="AO740" s="10"/>
      <c r="AP740" s="10"/>
      <c r="AQ740" s="10"/>
      <c r="AR740" s="10"/>
      <c r="AS740" s="10"/>
      <c r="AT740" s="10"/>
      <c r="AU740" s="10"/>
      <c r="AV740" s="10"/>
      <c r="AW740" s="10"/>
      <c r="AX740" s="10"/>
      <c r="AY740" s="10"/>
      <c r="AZ740" s="10"/>
      <c r="BA740" s="10"/>
    </row>
    <row r="741" spans="1:53" x14ac:dyDescent="0.25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0"/>
      <c r="AH741" s="10"/>
      <c r="AI741" s="10"/>
      <c r="AJ741" s="10"/>
      <c r="AK741" s="10"/>
      <c r="AL741" s="10"/>
      <c r="AM741" s="10"/>
      <c r="AN741" s="10"/>
      <c r="AO741" s="10"/>
      <c r="AP741" s="10"/>
      <c r="AQ741" s="10"/>
      <c r="AR741" s="10"/>
      <c r="AS741" s="10"/>
      <c r="AT741" s="10"/>
      <c r="AU741" s="10"/>
      <c r="AV741" s="10"/>
      <c r="AW741" s="10"/>
      <c r="AX741" s="10"/>
      <c r="AY741" s="10"/>
      <c r="AZ741" s="10"/>
      <c r="BA741" s="10"/>
    </row>
    <row r="742" spans="1:53" x14ac:dyDescent="0.25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/>
      <c r="AI742" s="10"/>
      <c r="AJ742" s="10"/>
      <c r="AK742" s="10"/>
      <c r="AL742" s="10"/>
      <c r="AM742" s="10"/>
      <c r="AN742" s="10"/>
      <c r="AO742" s="10"/>
      <c r="AP742" s="10"/>
      <c r="AQ742" s="10"/>
      <c r="AR742" s="10"/>
      <c r="AS742" s="10"/>
      <c r="AT742" s="10"/>
      <c r="AU742" s="10"/>
      <c r="AV742" s="10"/>
      <c r="AW742" s="10"/>
      <c r="AX742" s="10"/>
      <c r="AY742" s="10"/>
      <c r="AZ742" s="10"/>
      <c r="BA742" s="10"/>
    </row>
    <row r="743" spans="1:53" x14ac:dyDescent="0.25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0"/>
      <c r="AH743" s="10"/>
      <c r="AI743" s="10"/>
      <c r="AJ743" s="10"/>
      <c r="AK743" s="10"/>
      <c r="AL743" s="10"/>
      <c r="AM743" s="10"/>
      <c r="AN743" s="10"/>
      <c r="AO743" s="10"/>
      <c r="AP743" s="10"/>
      <c r="AQ743" s="10"/>
      <c r="AR743" s="10"/>
      <c r="AS743" s="10"/>
      <c r="AT743" s="10"/>
      <c r="AU743" s="10"/>
      <c r="AV743" s="10"/>
      <c r="AW743" s="10"/>
      <c r="AX743" s="10"/>
      <c r="AY743" s="10"/>
      <c r="AZ743" s="10"/>
      <c r="BA743" s="10"/>
    </row>
    <row r="744" spans="1:53" x14ac:dyDescent="0.25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  <c r="AI744" s="10"/>
      <c r="AJ744" s="10"/>
      <c r="AK744" s="10"/>
      <c r="AL744" s="10"/>
      <c r="AM744" s="10"/>
      <c r="AN744" s="10"/>
      <c r="AO744" s="10"/>
      <c r="AP744" s="10"/>
      <c r="AQ744" s="10"/>
      <c r="AR744" s="10"/>
      <c r="AS744" s="10"/>
      <c r="AT744" s="10"/>
      <c r="AU744" s="10"/>
      <c r="AV744" s="10"/>
      <c r="AW744" s="10"/>
      <c r="AX744" s="10"/>
      <c r="AY744" s="10"/>
      <c r="AZ744" s="10"/>
      <c r="BA744" s="10"/>
    </row>
    <row r="745" spans="1:53" x14ac:dyDescent="0.25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0"/>
      <c r="AH745" s="10"/>
      <c r="AI745" s="10"/>
      <c r="AJ745" s="10"/>
      <c r="AK745" s="10"/>
      <c r="AL745" s="10"/>
      <c r="AM745" s="10"/>
      <c r="AN745" s="10"/>
      <c r="AO745" s="10"/>
      <c r="AP745" s="10"/>
      <c r="AQ745" s="10"/>
      <c r="AR745" s="10"/>
      <c r="AS745" s="10"/>
      <c r="AT745" s="10"/>
      <c r="AU745" s="10"/>
      <c r="AV745" s="10"/>
      <c r="AW745" s="10"/>
      <c r="AX745" s="10"/>
      <c r="AY745" s="10"/>
      <c r="AZ745" s="10"/>
      <c r="BA745" s="10"/>
    </row>
    <row r="746" spans="1:53" x14ac:dyDescent="0.25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/>
      <c r="AH746" s="10"/>
      <c r="AI746" s="10"/>
      <c r="AJ746" s="10"/>
      <c r="AK746" s="10"/>
      <c r="AL746" s="10"/>
      <c r="AM746" s="10"/>
      <c r="AN746" s="10"/>
      <c r="AO746" s="10"/>
      <c r="AP746" s="10"/>
      <c r="AQ746" s="10"/>
      <c r="AR746" s="10"/>
      <c r="AS746" s="10"/>
      <c r="AT746" s="10"/>
      <c r="AU746" s="10"/>
      <c r="AV746" s="10"/>
      <c r="AW746" s="10"/>
      <c r="AX746" s="10"/>
      <c r="AY746" s="10"/>
      <c r="AZ746" s="10"/>
      <c r="BA746" s="10"/>
    </row>
    <row r="747" spans="1:53" x14ac:dyDescent="0.25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  <c r="AG747" s="10"/>
      <c r="AH747" s="10"/>
      <c r="AI747" s="10"/>
      <c r="AJ747" s="10"/>
      <c r="AK747" s="10"/>
      <c r="AL747" s="10"/>
      <c r="AM747" s="10"/>
      <c r="AN747" s="10"/>
      <c r="AO747" s="10"/>
      <c r="AP747" s="10"/>
      <c r="AQ747" s="10"/>
      <c r="AR747" s="10"/>
      <c r="AS747" s="10"/>
      <c r="AT747" s="10"/>
      <c r="AU747" s="10"/>
      <c r="AV747" s="10"/>
      <c r="AW747" s="10"/>
      <c r="AX747" s="10"/>
      <c r="AY747" s="10"/>
      <c r="AZ747" s="10"/>
      <c r="BA747" s="10"/>
    </row>
    <row r="748" spans="1:53" x14ac:dyDescent="0.25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0"/>
      <c r="AH748" s="10"/>
      <c r="AI748" s="10"/>
      <c r="AJ748" s="10"/>
      <c r="AK748" s="10"/>
      <c r="AL748" s="10"/>
      <c r="AM748" s="10"/>
      <c r="AN748" s="10"/>
      <c r="AO748" s="10"/>
      <c r="AP748" s="10"/>
      <c r="AQ748" s="10"/>
      <c r="AR748" s="10"/>
      <c r="AS748" s="10"/>
      <c r="AT748" s="10"/>
      <c r="AU748" s="10"/>
      <c r="AV748" s="10"/>
      <c r="AW748" s="10"/>
      <c r="AX748" s="10"/>
      <c r="AY748" s="10"/>
      <c r="AZ748" s="10"/>
      <c r="BA748" s="10"/>
    </row>
    <row r="749" spans="1:53" x14ac:dyDescent="0.25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  <c r="AG749" s="10"/>
      <c r="AH749" s="10"/>
      <c r="AI749" s="10"/>
      <c r="AJ749" s="10"/>
      <c r="AK749" s="10"/>
      <c r="AL749" s="10"/>
      <c r="AM749" s="10"/>
      <c r="AN749" s="10"/>
      <c r="AO749" s="10"/>
      <c r="AP749" s="10"/>
      <c r="AQ749" s="10"/>
      <c r="AR749" s="10"/>
      <c r="AS749" s="10"/>
      <c r="AT749" s="10"/>
      <c r="AU749" s="10"/>
      <c r="AV749" s="10"/>
      <c r="AW749" s="10"/>
      <c r="AX749" s="10"/>
      <c r="AY749" s="10"/>
      <c r="AZ749" s="10"/>
      <c r="BA749" s="10"/>
    </row>
    <row r="750" spans="1:53" x14ac:dyDescent="0.25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  <c r="AG750" s="10"/>
      <c r="AH750" s="10"/>
      <c r="AI750" s="10"/>
      <c r="AJ750" s="10"/>
      <c r="AK750" s="10"/>
      <c r="AL750" s="10"/>
      <c r="AM750" s="10"/>
      <c r="AN750" s="10"/>
      <c r="AO750" s="10"/>
      <c r="AP750" s="10"/>
      <c r="AQ750" s="10"/>
      <c r="AR750" s="10"/>
      <c r="AS750" s="10"/>
      <c r="AT750" s="10"/>
      <c r="AU750" s="10"/>
      <c r="AV750" s="10"/>
      <c r="AW750" s="10"/>
      <c r="AX750" s="10"/>
      <c r="AY750" s="10"/>
      <c r="AZ750" s="10"/>
      <c r="BA750" s="10"/>
    </row>
    <row r="751" spans="1:53" x14ac:dyDescent="0.25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  <c r="AG751" s="10"/>
      <c r="AH751" s="10"/>
      <c r="AI751" s="10"/>
      <c r="AJ751" s="10"/>
      <c r="AK751" s="10"/>
      <c r="AL751" s="10"/>
      <c r="AM751" s="10"/>
      <c r="AN751" s="10"/>
      <c r="AO751" s="10"/>
      <c r="AP751" s="10"/>
      <c r="AQ751" s="10"/>
      <c r="AR751" s="10"/>
      <c r="AS751" s="10"/>
      <c r="AT751" s="10"/>
      <c r="AU751" s="10"/>
      <c r="AV751" s="10"/>
      <c r="AW751" s="10"/>
      <c r="AX751" s="10"/>
      <c r="AY751" s="10"/>
      <c r="AZ751" s="10"/>
      <c r="BA751" s="10"/>
    </row>
    <row r="752" spans="1:53" x14ac:dyDescent="0.25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  <c r="AI752" s="10"/>
      <c r="AJ752" s="10"/>
      <c r="AK752" s="10"/>
      <c r="AL752" s="10"/>
      <c r="AM752" s="10"/>
      <c r="AN752" s="10"/>
      <c r="AO752" s="10"/>
      <c r="AP752" s="10"/>
      <c r="AQ752" s="10"/>
      <c r="AR752" s="10"/>
      <c r="AS752" s="10"/>
      <c r="AT752" s="10"/>
      <c r="AU752" s="10"/>
      <c r="AV752" s="10"/>
      <c r="AW752" s="10"/>
      <c r="AX752" s="10"/>
      <c r="AY752" s="10"/>
      <c r="AZ752" s="10"/>
      <c r="BA752" s="10"/>
    </row>
    <row r="753" spans="1:53" x14ac:dyDescent="0.25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  <c r="AI753" s="10"/>
      <c r="AJ753" s="10"/>
      <c r="AK753" s="10"/>
      <c r="AL753" s="10"/>
      <c r="AM753" s="10"/>
      <c r="AN753" s="10"/>
      <c r="AO753" s="10"/>
      <c r="AP753" s="10"/>
      <c r="AQ753" s="10"/>
      <c r="AR753" s="10"/>
      <c r="AS753" s="10"/>
      <c r="AT753" s="10"/>
      <c r="AU753" s="10"/>
      <c r="AV753" s="10"/>
      <c r="AW753" s="10"/>
      <c r="AX753" s="10"/>
      <c r="AY753" s="10"/>
      <c r="AZ753" s="10"/>
      <c r="BA753" s="10"/>
    </row>
    <row r="754" spans="1:53" x14ac:dyDescent="0.25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  <c r="AG754" s="10"/>
      <c r="AH754" s="10"/>
      <c r="AI754" s="10"/>
      <c r="AJ754" s="10"/>
      <c r="AK754" s="10"/>
      <c r="AL754" s="10"/>
      <c r="AM754" s="10"/>
      <c r="AN754" s="10"/>
      <c r="AO754" s="10"/>
      <c r="AP754" s="10"/>
      <c r="AQ754" s="10"/>
      <c r="AR754" s="10"/>
      <c r="AS754" s="10"/>
      <c r="AT754" s="10"/>
      <c r="AU754" s="10"/>
      <c r="AV754" s="10"/>
      <c r="AW754" s="10"/>
      <c r="AX754" s="10"/>
      <c r="AY754" s="10"/>
      <c r="AZ754" s="10"/>
      <c r="BA754" s="10"/>
    </row>
    <row r="755" spans="1:53" x14ac:dyDescent="0.25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0"/>
      <c r="AH755" s="10"/>
      <c r="AI755" s="10"/>
      <c r="AJ755" s="10"/>
      <c r="AK755" s="10"/>
      <c r="AL755" s="10"/>
      <c r="AM755" s="10"/>
      <c r="AN755" s="10"/>
      <c r="AO755" s="10"/>
      <c r="AP755" s="10"/>
      <c r="AQ755" s="10"/>
      <c r="AR755" s="10"/>
      <c r="AS755" s="10"/>
      <c r="AT755" s="10"/>
      <c r="AU755" s="10"/>
      <c r="AV755" s="10"/>
      <c r="AW755" s="10"/>
      <c r="AX755" s="10"/>
      <c r="AY755" s="10"/>
      <c r="AZ755" s="10"/>
      <c r="BA755" s="10"/>
    </row>
    <row r="756" spans="1:53" x14ac:dyDescent="0.25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0"/>
      <c r="AH756" s="10"/>
      <c r="AI756" s="10"/>
      <c r="AJ756" s="10"/>
      <c r="AK756" s="10"/>
      <c r="AL756" s="10"/>
      <c r="AM756" s="10"/>
      <c r="AN756" s="10"/>
      <c r="AO756" s="10"/>
      <c r="AP756" s="10"/>
      <c r="AQ756" s="10"/>
      <c r="AR756" s="10"/>
      <c r="AS756" s="10"/>
      <c r="AT756" s="10"/>
      <c r="AU756" s="10"/>
      <c r="AV756" s="10"/>
      <c r="AW756" s="10"/>
      <c r="AX756" s="10"/>
      <c r="AY756" s="10"/>
      <c r="AZ756" s="10"/>
      <c r="BA756" s="10"/>
    </row>
    <row r="757" spans="1:53" x14ac:dyDescent="0.25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  <c r="AI757" s="10"/>
      <c r="AJ757" s="10"/>
      <c r="AK757" s="10"/>
      <c r="AL757" s="10"/>
      <c r="AM757" s="10"/>
      <c r="AN757" s="10"/>
      <c r="AO757" s="10"/>
      <c r="AP757" s="10"/>
      <c r="AQ757" s="10"/>
      <c r="AR757" s="10"/>
      <c r="AS757" s="10"/>
      <c r="AT757" s="10"/>
      <c r="AU757" s="10"/>
      <c r="AV757" s="10"/>
      <c r="AW757" s="10"/>
      <c r="AX757" s="10"/>
      <c r="AY757" s="10"/>
      <c r="AZ757" s="10"/>
      <c r="BA757" s="10"/>
    </row>
    <row r="758" spans="1:53" x14ac:dyDescent="0.25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  <c r="AG758" s="10"/>
      <c r="AH758" s="10"/>
      <c r="AI758" s="10"/>
      <c r="AJ758" s="10"/>
      <c r="AK758" s="10"/>
      <c r="AL758" s="10"/>
      <c r="AM758" s="10"/>
      <c r="AN758" s="10"/>
      <c r="AO758" s="10"/>
      <c r="AP758" s="10"/>
      <c r="AQ758" s="10"/>
      <c r="AR758" s="10"/>
      <c r="AS758" s="10"/>
      <c r="AT758" s="10"/>
      <c r="AU758" s="10"/>
      <c r="AV758" s="10"/>
      <c r="AW758" s="10"/>
      <c r="AX758" s="10"/>
      <c r="AY758" s="10"/>
      <c r="AZ758" s="10"/>
      <c r="BA758" s="10"/>
    </row>
    <row r="759" spans="1:53" x14ac:dyDescent="0.25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0"/>
      <c r="AH759" s="10"/>
      <c r="AI759" s="10"/>
      <c r="AJ759" s="10"/>
      <c r="AK759" s="10"/>
      <c r="AL759" s="10"/>
      <c r="AM759" s="10"/>
      <c r="AN759" s="10"/>
      <c r="AO759" s="10"/>
      <c r="AP759" s="10"/>
      <c r="AQ759" s="10"/>
      <c r="AR759" s="10"/>
      <c r="AS759" s="10"/>
      <c r="AT759" s="10"/>
      <c r="AU759" s="10"/>
      <c r="AV759" s="10"/>
      <c r="AW759" s="10"/>
      <c r="AX759" s="10"/>
      <c r="AY759" s="10"/>
      <c r="AZ759" s="10"/>
      <c r="BA759" s="10"/>
    </row>
    <row r="760" spans="1:53" x14ac:dyDescent="0.25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  <c r="AI760" s="10"/>
      <c r="AJ760" s="10"/>
      <c r="AK760" s="10"/>
      <c r="AL760" s="10"/>
      <c r="AM760" s="10"/>
      <c r="AN760" s="10"/>
      <c r="AO760" s="10"/>
      <c r="AP760" s="10"/>
      <c r="AQ760" s="10"/>
      <c r="AR760" s="10"/>
      <c r="AS760" s="10"/>
      <c r="AT760" s="10"/>
      <c r="AU760" s="10"/>
      <c r="AV760" s="10"/>
      <c r="AW760" s="10"/>
      <c r="AX760" s="10"/>
      <c r="AY760" s="10"/>
      <c r="AZ760" s="10"/>
      <c r="BA760" s="10"/>
    </row>
    <row r="761" spans="1:53" x14ac:dyDescent="0.25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0"/>
      <c r="AH761" s="10"/>
      <c r="AI761" s="10"/>
      <c r="AJ761" s="10"/>
      <c r="AK761" s="10"/>
      <c r="AL761" s="10"/>
      <c r="AM761" s="10"/>
      <c r="AN761" s="10"/>
      <c r="AO761" s="10"/>
      <c r="AP761" s="10"/>
      <c r="AQ761" s="10"/>
      <c r="AR761" s="10"/>
      <c r="AS761" s="10"/>
      <c r="AT761" s="10"/>
      <c r="AU761" s="10"/>
      <c r="AV761" s="10"/>
      <c r="AW761" s="10"/>
      <c r="AX761" s="10"/>
      <c r="AY761" s="10"/>
      <c r="AZ761" s="10"/>
      <c r="BA761" s="10"/>
    </row>
    <row r="762" spans="1:53" x14ac:dyDescent="0.25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  <c r="AG762" s="10"/>
      <c r="AH762" s="10"/>
      <c r="AI762" s="10"/>
      <c r="AJ762" s="10"/>
      <c r="AK762" s="10"/>
      <c r="AL762" s="10"/>
      <c r="AM762" s="10"/>
      <c r="AN762" s="10"/>
      <c r="AO762" s="10"/>
      <c r="AP762" s="10"/>
      <c r="AQ762" s="10"/>
      <c r="AR762" s="10"/>
      <c r="AS762" s="10"/>
      <c r="AT762" s="10"/>
      <c r="AU762" s="10"/>
      <c r="AV762" s="10"/>
      <c r="AW762" s="10"/>
      <c r="AX762" s="10"/>
      <c r="AY762" s="10"/>
      <c r="AZ762" s="10"/>
      <c r="BA762" s="10"/>
    </row>
    <row r="763" spans="1:53" x14ac:dyDescent="0.25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  <c r="AI763" s="10"/>
      <c r="AJ763" s="10"/>
      <c r="AK763" s="10"/>
      <c r="AL763" s="10"/>
      <c r="AM763" s="10"/>
      <c r="AN763" s="10"/>
      <c r="AO763" s="10"/>
      <c r="AP763" s="10"/>
      <c r="AQ763" s="10"/>
      <c r="AR763" s="10"/>
      <c r="AS763" s="10"/>
      <c r="AT763" s="10"/>
      <c r="AU763" s="10"/>
      <c r="AV763" s="10"/>
      <c r="AW763" s="10"/>
      <c r="AX763" s="10"/>
      <c r="AY763" s="10"/>
      <c r="AZ763" s="10"/>
      <c r="BA763" s="10"/>
    </row>
    <row r="764" spans="1:53" x14ac:dyDescent="0.25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0"/>
      <c r="AH764" s="10"/>
      <c r="AI764" s="10"/>
      <c r="AJ764" s="10"/>
      <c r="AK764" s="10"/>
      <c r="AL764" s="10"/>
      <c r="AM764" s="10"/>
      <c r="AN764" s="10"/>
      <c r="AO764" s="10"/>
      <c r="AP764" s="10"/>
      <c r="AQ764" s="10"/>
      <c r="AR764" s="10"/>
      <c r="AS764" s="10"/>
      <c r="AT764" s="10"/>
      <c r="AU764" s="10"/>
      <c r="AV764" s="10"/>
      <c r="AW764" s="10"/>
      <c r="AX764" s="10"/>
      <c r="AY764" s="10"/>
      <c r="AZ764" s="10"/>
      <c r="BA764" s="10"/>
    </row>
    <row r="765" spans="1:53" x14ac:dyDescent="0.25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  <c r="AI765" s="10"/>
      <c r="AJ765" s="10"/>
      <c r="AK765" s="10"/>
      <c r="AL765" s="10"/>
      <c r="AM765" s="10"/>
      <c r="AN765" s="10"/>
      <c r="AO765" s="10"/>
      <c r="AP765" s="10"/>
      <c r="AQ765" s="10"/>
      <c r="AR765" s="10"/>
      <c r="AS765" s="10"/>
      <c r="AT765" s="10"/>
      <c r="AU765" s="10"/>
      <c r="AV765" s="10"/>
      <c r="AW765" s="10"/>
      <c r="AX765" s="10"/>
      <c r="AY765" s="10"/>
      <c r="AZ765" s="10"/>
      <c r="BA765" s="10"/>
    </row>
    <row r="766" spans="1:53" x14ac:dyDescent="0.25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0"/>
      <c r="AH766" s="10"/>
      <c r="AI766" s="10"/>
      <c r="AJ766" s="10"/>
      <c r="AK766" s="10"/>
      <c r="AL766" s="10"/>
      <c r="AM766" s="10"/>
      <c r="AN766" s="10"/>
      <c r="AO766" s="10"/>
      <c r="AP766" s="10"/>
      <c r="AQ766" s="10"/>
      <c r="AR766" s="10"/>
      <c r="AS766" s="10"/>
      <c r="AT766" s="10"/>
      <c r="AU766" s="10"/>
      <c r="AV766" s="10"/>
      <c r="AW766" s="10"/>
      <c r="AX766" s="10"/>
      <c r="AY766" s="10"/>
      <c r="AZ766" s="10"/>
      <c r="BA766" s="10"/>
    </row>
    <row r="767" spans="1:53" x14ac:dyDescent="0.25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0"/>
      <c r="AH767" s="10"/>
      <c r="AI767" s="10"/>
      <c r="AJ767" s="10"/>
      <c r="AK767" s="10"/>
      <c r="AL767" s="10"/>
      <c r="AM767" s="10"/>
      <c r="AN767" s="10"/>
      <c r="AO767" s="10"/>
      <c r="AP767" s="10"/>
      <c r="AQ767" s="10"/>
      <c r="AR767" s="10"/>
      <c r="AS767" s="10"/>
      <c r="AT767" s="10"/>
      <c r="AU767" s="10"/>
      <c r="AV767" s="10"/>
      <c r="AW767" s="10"/>
      <c r="AX767" s="10"/>
      <c r="AY767" s="10"/>
      <c r="AZ767" s="10"/>
      <c r="BA767" s="10"/>
    </row>
    <row r="768" spans="1:53" x14ac:dyDescent="0.25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/>
      <c r="AI768" s="10"/>
      <c r="AJ768" s="10"/>
      <c r="AK768" s="10"/>
      <c r="AL768" s="10"/>
      <c r="AM768" s="10"/>
      <c r="AN768" s="10"/>
      <c r="AO768" s="10"/>
      <c r="AP768" s="10"/>
      <c r="AQ768" s="10"/>
      <c r="AR768" s="10"/>
      <c r="AS768" s="10"/>
      <c r="AT768" s="10"/>
      <c r="AU768" s="10"/>
      <c r="AV768" s="10"/>
      <c r="AW768" s="10"/>
      <c r="AX768" s="10"/>
      <c r="AY768" s="10"/>
      <c r="AZ768" s="10"/>
      <c r="BA768" s="10"/>
    </row>
    <row r="769" spans="1:53" x14ac:dyDescent="0.25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  <c r="AI769" s="10"/>
      <c r="AJ769" s="10"/>
      <c r="AK769" s="10"/>
      <c r="AL769" s="10"/>
      <c r="AM769" s="10"/>
      <c r="AN769" s="10"/>
      <c r="AO769" s="10"/>
      <c r="AP769" s="10"/>
      <c r="AQ769" s="10"/>
      <c r="AR769" s="10"/>
      <c r="AS769" s="10"/>
      <c r="AT769" s="10"/>
      <c r="AU769" s="10"/>
      <c r="AV769" s="10"/>
      <c r="AW769" s="10"/>
      <c r="AX769" s="10"/>
      <c r="AY769" s="10"/>
      <c r="AZ769" s="10"/>
      <c r="BA769" s="10"/>
    </row>
    <row r="770" spans="1:53" x14ac:dyDescent="0.25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  <c r="AI770" s="10"/>
      <c r="AJ770" s="10"/>
      <c r="AK770" s="10"/>
      <c r="AL770" s="10"/>
      <c r="AM770" s="10"/>
      <c r="AN770" s="10"/>
      <c r="AO770" s="10"/>
      <c r="AP770" s="10"/>
      <c r="AQ770" s="10"/>
      <c r="AR770" s="10"/>
      <c r="AS770" s="10"/>
      <c r="AT770" s="10"/>
      <c r="AU770" s="10"/>
      <c r="AV770" s="10"/>
      <c r="AW770" s="10"/>
      <c r="AX770" s="10"/>
      <c r="AY770" s="10"/>
      <c r="AZ770" s="10"/>
      <c r="BA770" s="10"/>
    </row>
    <row r="771" spans="1:53" x14ac:dyDescent="0.25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/>
      <c r="AI771" s="10"/>
      <c r="AJ771" s="10"/>
      <c r="AK771" s="10"/>
      <c r="AL771" s="10"/>
      <c r="AM771" s="10"/>
      <c r="AN771" s="10"/>
      <c r="AO771" s="10"/>
      <c r="AP771" s="10"/>
      <c r="AQ771" s="10"/>
      <c r="AR771" s="10"/>
      <c r="AS771" s="10"/>
      <c r="AT771" s="10"/>
      <c r="AU771" s="10"/>
      <c r="AV771" s="10"/>
      <c r="AW771" s="10"/>
      <c r="AX771" s="10"/>
      <c r="AY771" s="10"/>
      <c r="AZ771" s="10"/>
      <c r="BA771" s="10"/>
    </row>
    <row r="772" spans="1:53" x14ac:dyDescent="0.25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  <c r="AI772" s="10"/>
      <c r="AJ772" s="10"/>
      <c r="AK772" s="10"/>
      <c r="AL772" s="10"/>
      <c r="AM772" s="10"/>
      <c r="AN772" s="10"/>
      <c r="AO772" s="10"/>
      <c r="AP772" s="10"/>
      <c r="AQ772" s="10"/>
      <c r="AR772" s="10"/>
      <c r="AS772" s="10"/>
      <c r="AT772" s="10"/>
      <c r="AU772" s="10"/>
      <c r="AV772" s="10"/>
      <c r="AW772" s="10"/>
      <c r="AX772" s="10"/>
      <c r="AY772" s="10"/>
      <c r="AZ772" s="10"/>
      <c r="BA772" s="10"/>
    </row>
    <row r="773" spans="1:53" x14ac:dyDescent="0.25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  <c r="AI773" s="10"/>
      <c r="AJ773" s="10"/>
      <c r="AK773" s="10"/>
      <c r="AL773" s="10"/>
      <c r="AM773" s="10"/>
      <c r="AN773" s="10"/>
      <c r="AO773" s="10"/>
      <c r="AP773" s="10"/>
      <c r="AQ773" s="10"/>
      <c r="AR773" s="10"/>
      <c r="AS773" s="10"/>
      <c r="AT773" s="10"/>
      <c r="AU773" s="10"/>
      <c r="AV773" s="10"/>
      <c r="AW773" s="10"/>
      <c r="AX773" s="10"/>
      <c r="AY773" s="10"/>
      <c r="AZ773" s="10"/>
      <c r="BA773" s="10"/>
    </row>
    <row r="774" spans="1:53" x14ac:dyDescent="0.25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0"/>
      <c r="AH774" s="10"/>
      <c r="AI774" s="10"/>
      <c r="AJ774" s="10"/>
      <c r="AK774" s="10"/>
      <c r="AL774" s="10"/>
      <c r="AM774" s="10"/>
      <c r="AN774" s="10"/>
      <c r="AO774" s="10"/>
      <c r="AP774" s="10"/>
      <c r="AQ774" s="10"/>
      <c r="AR774" s="10"/>
      <c r="AS774" s="10"/>
      <c r="AT774" s="10"/>
      <c r="AU774" s="10"/>
      <c r="AV774" s="10"/>
      <c r="AW774" s="10"/>
      <c r="AX774" s="10"/>
      <c r="AY774" s="10"/>
      <c r="AZ774" s="10"/>
      <c r="BA774" s="10"/>
    </row>
    <row r="775" spans="1:53" x14ac:dyDescent="0.25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0"/>
      <c r="AH775" s="10"/>
      <c r="AI775" s="10"/>
      <c r="AJ775" s="10"/>
      <c r="AK775" s="10"/>
      <c r="AL775" s="10"/>
      <c r="AM775" s="10"/>
      <c r="AN775" s="10"/>
      <c r="AO775" s="10"/>
      <c r="AP775" s="10"/>
      <c r="AQ775" s="10"/>
      <c r="AR775" s="10"/>
      <c r="AS775" s="10"/>
      <c r="AT775" s="10"/>
      <c r="AU775" s="10"/>
      <c r="AV775" s="10"/>
      <c r="AW775" s="10"/>
      <c r="AX775" s="10"/>
      <c r="AY775" s="10"/>
      <c r="AZ775" s="10"/>
      <c r="BA775" s="10"/>
    </row>
    <row r="776" spans="1:53" x14ac:dyDescent="0.25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  <c r="AI776" s="10"/>
      <c r="AJ776" s="10"/>
      <c r="AK776" s="10"/>
      <c r="AL776" s="10"/>
      <c r="AM776" s="10"/>
      <c r="AN776" s="10"/>
      <c r="AO776" s="10"/>
      <c r="AP776" s="10"/>
      <c r="AQ776" s="10"/>
      <c r="AR776" s="10"/>
      <c r="AS776" s="10"/>
      <c r="AT776" s="10"/>
      <c r="AU776" s="10"/>
      <c r="AV776" s="10"/>
      <c r="AW776" s="10"/>
      <c r="AX776" s="10"/>
      <c r="AY776" s="10"/>
      <c r="AZ776" s="10"/>
      <c r="BA776" s="10"/>
    </row>
    <row r="777" spans="1:53" x14ac:dyDescent="0.25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0"/>
      <c r="AH777" s="10"/>
      <c r="AI777" s="10"/>
      <c r="AJ777" s="10"/>
      <c r="AK777" s="10"/>
      <c r="AL777" s="10"/>
      <c r="AM777" s="10"/>
      <c r="AN777" s="10"/>
      <c r="AO777" s="10"/>
      <c r="AP777" s="10"/>
      <c r="AQ777" s="10"/>
      <c r="AR777" s="10"/>
      <c r="AS777" s="10"/>
      <c r="AT777" s="10"/>
      <c r="AU777" s="10"/>
      <c r="AV777" s="10"/>
      <c r="AW777" s="10"/>
      <c r="AX777" s="10"/>
      <c r="AY777" s="10"/>
      <c r="AZ777" s="10"/>
      <c r="BA777" s="10"/>
    </row>
    <row r="778" spans="1:53" x14ac:dyDescent="0.25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  <c r="AJ778" s="10"/>
      <c r="AK778" s="10"/>
      <c r="AL778" s="10"/>
      <c r="AM778" s="10"/>
      <c r="AN778" s="10"/>
      <c r="AO778" s="10"/>
      <c r="AP778" s="10"/>
      <c r="AQ778" s="10"/>
      <c r="AR778" s="10"/>
      <c r="AS778" s="10"/>
      <c r="AT778" s="10"/>
      <c r="AU778" s="10"/>
      <c r="AV778" s="10"/>
      <c r="AW778" s="10"/>
      <c r="AX778" s="10"/>
      <c r="AY778" s="10"/>
      <c r="AZ778" s="10"/>
      <c r="BA778" s="10"/>
    </row>
    <row r="779" spans="1:53" x14ac:dyDescent="0.25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/>
      <c r="AH779" s="10"/>
      <c r="AI779" s="10"/>
      <c r="AJ779" s="10"/>
      <c r="AK779" s="10"/>
      <c r="AL779" s="10"/>
      <c r="AM779" s="10"/>
      <c r="AN779" s="10"/>
      <c r="AO779" s="10"/>
      <c r="AP779" s="10"/>
      <c r="AQ779" s="10"/>
      <c r="AR779" s="10"/>
      <c r="AS779" s="10"/>
      <c r="AT779" s="10"/>
      <c r="AU779" s="10"/>
      <c r="AV779" s="10"/>
      <c r="AW779" s="10"/>
      <c r="AX779" s="10"/>
      <c r="AY779" s="10"/>
      <c r="AZ779" s="10"/>
      <c r="BA779" s="10"/>
    </row>
    <row r="780" spans="1:53" x14ac:dyDescent="0.25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  <c r="AI780" s="10"/>
      <c r="AJ780" s="10"/>
      <c r="AK780" s="10"/>
      <c r="AL780" s="10"/>
      <c r="AM780" s="10"/>
      <c r="AN780" s="10"/>
      <c r="AO780" s="10"/>
      <c r="AP780" s="10"/>
      <c r="AQ780" s="10"/>
      <c r="AR780" s="10"/>
      <c r="AS780" s="10"/>
      <c r="AT780" s="10"/>
      <c r="AU780" s="10"/>
      <c r="AV780" s="10"/>
      <c r="AW780" s="10"/>
      <c r="AX780" s="10"/>
      <c r="AY780" s="10"/>
      <c r="AZ780" s="10"/>
      <c r="BA780" s="10"/>
    </row>
    <row r="781" spans="1:53" x14ac:dyDescent="0.25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  <c r="AI781" s="10"/>
      <c r="AJ781" s="10"/>
      <c r="AK781" s="10"/>
      <c r="AL781" s="10"/>
      <c r="AM781" s="10"/>
      <c r="AN781" s="10"/>
      <c r="AO781" s="10"/>
      <c r="AP781" s="10"/>
      <c r="AQ781" s="10"/>
      <c r="AR781" s="10"/>
      <c r="AS781" s="10"/>
      <c r="AT781" s="10"/>
      <c r="AU781" s="10"/>
      <c r="AV781" s="10"/>
      <c r="AW781" s="10"/>
      <c r="AX781" s="10"/>
      <c r="AY781" s="10"/>
      <c r="AZ781" s="10"/>
      <c r="BA781" s="10"/>
    </row>
    <row r="782" spans="1:53" x14ac:dyDescent="0.25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  <c r="AI782" s="10"/>
      <c r="AJ782" s="10"/>
      <c r="AK782" s="10"/>
      <c r="AL782" s="10"/>
      <c r="AM782" s="10"/>
      <c r="AN782" s="10"/>
      <c r="AO782" s="10"/>
      <c r="AP782" s="10"/>
      <c r="AQ782" s="10"/>
      <c r="AR782" s="10"/>
      <c r="AS782" s="10"/>
      <c r="AT782" s="10"/>
      <c r="AU782" s="10"/>
      <c r="AV782" s="10"/>
      <c r="AW782" s="10"/>
      <c r="AX782" s="10"/>
      <c r="AY782" s="10"/>
      <c r="AZ782" s="10"/>
      <c r="BA782" s="10"/>
    </row>
    <row r="783" spans="1:53" x14ac:dyDescent="0.25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  <c r="AI783" s="10"/>
      <c r="AJ783" s="10"/>
      <c r="AK783" s="10"/>
      <c r="AL783" s="10"/>
      <c r="AM783" s="10"/>
      <c r="AN783" s="10"/>
      <c r="AO783" s="10"/>
      <c r="AP783" s="10"/>
      <c r="AQ783" s="10"/>
      <c r="AR783" s="10"/>
      <c r="AS783" s="10"/>
      <c r="AT783" s="10"/>
      <c r="AU783" s="10"/>
      <c r="AV783" s="10"/>
      <c r="AW783" s="10"/>
      <c r="AX783" s="10"/>
      <c r="AY783" s="10"/>
      <c r="AZ783" s="10"/>
      <c r="BA783" s="10"/>
    </row>
    <row r="784" spans="1:53" x14ac:dyDescent="0.25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  <c r="AI784" s="10"/>
      <c r="AJ784" s="10"/>
      <c r="AK784" s="10"/>
      <c r="AL784" s="10"/>
      <c r="AM784" s="10"/>
      <c r="AN784" s="10"/>
      <c r="AO784" s="10"/>
      <c r="AP784" s="10"/>
      <c r="AQ784" s="10"/>
      <c r="AR784" s="10"/>
      <c r="AS784" s="10"/>
      <c r="AT784" s="10"/>
      <c r="AU784" s="10"/>
      <c r="AV784" s="10"/>
      <c r="AW784" s="10"/>
      <c r="AX784" s="10"/>
      <c r="AY784" s="10"/>
      <c r="AZ784" s="10"/>
      <c r="BA784" s="10"/>
    </row>
    <row r="785" spans="1:53" x14ac:dyDescent="0.25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  <c r="AI785" s="10"/>
      <c r="AJ785" s="10"/>
      <c r="AK785" s="10"/>
      <c r="AL785" s="10"/>
      <c r="AM785" s="10"/>
      <c r="AN785" s="10"/>
      <c r="AO785" s="10"/>
      <c r="AP785" s="10"/>
      <c r="AQ785" s="10"/>
      <c r="AR785" s="10"/>
      <c r="AS785" s="10"/>
      <c r="AT785" s="10"/>
      <c r="AU785" s="10"/>
      <c r="AV785" s="10"/>
      <c r="AW785" s="10"/>
      <c r="AX785" s="10"/>
      <c r="AY785" s="10"/>
      <c r="AZ785" s="10"/>
      <c r="BA785" s="10"/>
    </row>
    <row r="786" spans="1:53" x14ac:dyDescent="0.25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  <c r="AI786" s="10"/>
      <c r="AJ786" s="10"/>
      <c r="AK786" s="10"/>
      <c r="AL786" s="10"/>
      <c r="AM786" s="10"/>
      <c r="AN786" s="10"/>
      <c r="AO786" s="10"/>
      <c r="AP786" s="10"/>
      <c r="AQ786" s="10"/>
      <c r="AR786" s="10"/>
      <c r="AS786" s="10"/>
      <c r="AT786" s="10"/>
      <c r="AU786" s="10"/>
      <c r="AV786" s="10"/>
      <c r="AW786" s="10"/>
      <c r="AX786" s="10"/>
      <c r="AY786" s="10"/>
      <c r="AZ786" s="10"/>
      <c r="BA786" s="10"/>
    </row>
    <row r="787" spans="1:53" x14ac:dyDescent="0.25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  <c r="AI787" s="10"/>
      <c r="AJ787" s="10"/>
      <c r="AK787" s="10"/>
      <c r="AL787" s="10"/>
      <c r="AM787" s="10"/>
      <c r="AN787" s="10"/>
      <c r="AO787" s="10"/>
      <c r="AP787" s="10"/>
      <c r="AQ787" s="10"/>
      <c r="AR787" s="10"/>
      <c r="AS787" s="10"/>
      <c r="AT787" s="10"/>
      <c r="AU787" s="10"/>
      <c r="AV787" s="10"/>
      <c r="AW787" s="10"/>
      <c r="AX787" s="10"/>
      <c r="AY787" s="10"/>
      <c r="AZ787" s="10"/>
      <c r="BA787" s="10"/>
    </row>
    <row r="788" spans="1:53" x14ac:dyDescent="0.25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  <c r="AI788" s="10"/>
      <c r="AJ788" s="10"/>
      <c r="AK788" s="10"/>
      <c r="AL788" s="10"/>
      <c r="AM788" s="10"/>
      <c r="AN788" s="10"/>
      <c r="AO788" s="10"/>
      <c r="AP788" s="10"/>
      <c r="AQ788" s="10"/>
      <c r="AR788" s="10"/>
      <c r="AS788" s="10"/>
      <c r="AT788" s="10"/>
      <c r="AU788" s="10"/>
      <c r="AV788" s="10"/>
      <c r="AW788" s="10"/>
      <c r="AX788" s="10"/>
      <c r="AY788" s="10"/>
      <c r="AZ788" s="10"/>
      <c r="BA788" s="10"/>
    </row>
    <row r="789" spans="1:53" x14ac:dyDescent="0.25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0"/>
      <c r="AH789" s="10"/>
      <c r="AI789" s="10"/>
      <c r="AJ789" s="10"/>
      <c r="AK789" s="10"/>
      <c r="AL789" s="10"/>
      <c r="AM789" s="10"/>
      <c r="AN789" s="10"/>
      <c r="AO789" s="10"/>
      <c r="AP789" s="10"/>
      <c r="AQ789" s="10"/>
      <c r="AR789" s="10"/>
      <c r="AS789" s="10"/>
      <c r="AT789" s="10"/>
      <c r="AU789" s="10"/>
      <c r="AV789" s="10"/>
      <c r="AW789" s="10"/>
      <c r="AX789" s="10"/>
      <c r="AY789" s="10"/>
      <c r="AZ789" s="10"/>
      <c r="BA789" s="10"/>
    </row>
    <row r="790" spans="1:53" x14ac:dyDescent="0.25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  <c r="AI790" s="10"/>
      <c r="AJ790" s="10"/>
      <c r="AK790" s="10"/>
      <c r="AL790" s="10"/>
      <c r="AM790" s="10"/>
      <c r="AN790" s="10"/>
      <c r="AO790" s="10"/>
      <c r="AP790" s="10"/>
      <c r="AQ790" s="10"/>
      <c r="AR790" s="10"/>
      <c r="AS790" s="10"/>
      <c r="AT790" s="10"/>
      <c r="AU790" s="10"/>
      <c r="AV790" s="10"/>
      <c r="AW790" s="10"/>
      <c r="AX790" s="10"/>
      <c r="AY790" s="10"/>
      <c r="AZ790" s="10"/>
      <c r="BA790" s="10"/>
    </row>
    <row r="791" spans="1:53" x14ac:dyDescent="0.25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/>
      <c r="AH791" s="10"/>
      <c r="AI791" s="10"/>
      <c r="AJ791" s="10"/>
      <c r="AK791" s="10"/>
      <c r="AL791" s="10"/>
      <c r="AM791" s="10"/>
      <c r="AN791" s="10"/>
      <c r="AO791" s="10"/>
      <c r="AP791" s="10"/>
      <c r="AQ791" s="10"/>
      <c r="AR791" s="10"/>
      <c r="AS791" s="10"/>
      <c r="AT791" s="10"/>
      <c r="AU791" s="10"/>
      <c r="AV791" s="10"/>
      <c r="AW791" s="10"/>
      <c r="AX791" s="10"/>
      <c r="AY791" s="10"/>
      <c r="AZ791" s="10"/>
      <c r="BA791" s="10"/>
    </row>
    <row r="792" spans="1:53" x14ac:dyDescent="0.25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0"/>
      <c r="AH792" s="10"/>
      <c r="AI792" s="10"/>
      <c r="AJ792" s="10"/>
      <c r="AK792" s="10"/>
      <c r="AL792" s="10"/>
      <c r="AM792" s="10"/>
      <c r="AN792" s="10"/>
      <c r="AO792" s="10"/>
      <c r="AP792" s="10"/>
      <c r="AQ792" s="10"/>
      <c r="AR792" s="10"/>
      <c r="AS792" s="10"/>
      <c r="AT792" s="10"/>
      <c r="AU792" s="10"/>
      <c r="AV792" s="10"/>
      <c r="AW792" s="10"/>
      <c r="AX792" s="10"/>
      <c r="AY792" s="10"/>
      <c r="AZ792" s="10"/>
      <c r="BA792" s="10"/>
    </row>
    <row r="793" spans="1:53" x14ac:dyDescent="0.25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0"/>
      <c r="AH793" s="10"/>
      <c r="AI793" s="10"/>
      <c r="AJ793" s="10"/>
      <c r="AK793" s="10"/>
      <c r="AL793" s="10"/>
      <c r="AM793" s="10"/>
      <c r="AN793" s="10"/>
      <c r="AO793" s="10"/>
      <c r="AP793" s="10"/>
      <c r="AQ793" s="10"/>
      <c r="AR793" s="10"/>
      <c r="AS793" s="10"/>
      <c r="AT793" s="10"/>
      <c r="AU793" s="10"/>
      <c r="AV793" s="10"/>
      <c r="AW793" s="10"/>
      <c r="AX793" s="10"/>
      <c r="AY793" s="10"/>
      <c r="AZ793" s="10"/>
      <c r="BA793" s="10"/>
    </row>
    <row r="794" spans="1:53" x14ac:dyDescent="0.25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0"/>
      <c r="AH794" s="10"/>
      <c r="AI794" s="10"/>
      <c r="AJ794" s="10"/>
      <c r="AK794" s="10"/>
      <c r="AL794" s="10"/>
      <c r="AM794" s="10"/>
      <c r="AN794" s="10"/>
      <c r="AO794" s="10"/>
      <c r="AP794" s="10"/>
      <c r="AQ794" s="10"/>
      <c r="AR794" s="10"/>
      <c r="AS794" s="10"/>
      <c r="AT794" s="10"/>
      <c r="AU794" s="10"/>
      <c r="AV794" s="10"/>
      <c r="AW794" s="10"/>
      <c r="AX794" s="10"/>
      <c r="AY794" s="10"/>
      <c r="AZ794" s="10"/>
      <c r="BA794" s="10"/>
    </row>
    <row r="795" spans="1:53" x14ac:dyDescent="0.25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0"/>
      <c r="AH795" s="10"/>
      <c r="AI795" s="10"/>
      <c r="AJ795" s="10"/>
      <c r="AK795" s="10"/>
      <c r="AL795" s="10"/>
      <c r="AM795" s="10"/>
      <c r="AN795" s="10"/>
      <c r="AO795" s="10"/>
      <c r="AP795" s="10"/>
      <c r="AQ795" s="10"/>
      <c r="AR795" s="10"/>
      <c r="AS795" s="10"/>
      <c r="AT795" s="10"/>
      <c r="AU795" s="10"/>
      <c r="AV795" s="10"/>
      <c r="AW795" s="10"/>
      <c r="AX795" s="10"/>
      <c r="AY795" s="10"/>
      <c r="AZ795" s="10"/>
      <c r="BA795" s="10"/>
    </row>
    <row r="796" spans="1:53" x14ac:dyDescent="0.25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0"/>
      <c r="AH796" s="10"/>
      <c r="AI796" s="10"/>
      <c r="AJ796" s="10"/>
      <c r="AK796" s="10"/>
      <c r="AL796" s="10"/>
      <c r="AM796" s="10"/>
      <c r="AN796" s="10"/>
      <c r="AO796" s="10"/>
      <c r="AP796" s="10"/>
      <c r="AQ796" s="10"/>
      <c r="AR796" s="10"/>
      <c r="AS796" s="10"/>
      <c r="AT796" s="10"/>
      <c r="AU796" s="10"/>
      <c r="AV796" s="10"/>
      <c r="AW796" s="10"/>
      <c r="AX796" s="10"/>
      <c r="AY796" s="10"/>
      <c r="AZ796" s="10"/>
      <c r="BA796" s="10"/>
    </row>
    <row r="797" spans="1:53" x14ac:dyDescent="0.25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  <c r="AI797" s="10"/>
      <c r="AJ797" s="10"/>
      <c r="AK797" s="10"/>
      <c r="AL797" s="10"/>
      <c r="AM797" s="10"/>
      <c r="AN797" s="10"/>
      <c r="AO797" s="10"/>
      <c r="AP797" s="10"/>
      <c r="AQ797" s="10"/>
      <c r="AR797" s="10"/>
      <c r="AS797" s="10"/>
      <c r="AT797" s="10"/>
      <c r="AU797" s="10"/>
      <c r="AV797" s="10"/>
      <c r="AW797" s="10"/>
      <c r="AX797" s="10"/>
      <c r="AY797" s="10"/>
      <c r="AZ797" s="10"/>
      <c r="BA797" s="10"/>
    </row>
    <row r="798" spans="1:53" x14ac:dyDescent="0.25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  <c r="AI798" s="10"/>
      <c r="AJ798" s="10"/>
      <c r="AK798" s="10"/>
      <c r="AL798" s="10"/>
      <c r="AM798" s="10"/>
      <c r="AN798" s="10"/>
      <c r="AO798" s="10"/>
      <c r="AP798" s="10"/>
      <c r="AQ798" s="10"/>
      <c r="AR798" s="10"/>
      <c r="AS798" s="10"/>
      <c r="AT798" s="10"/>
      <c r="AU798" s="10"/>
      <c r="AV798" s="10"/>
      <c r="AW798" s="10"/>
      <c r="AX798" s="10"/>
      <c r="AY798" s="10"/>
      <c r="AZ798" s="10"/>
      <c r="BA798" s="10"/>
    </row>
    <row r="799" spans="1:53" x14ac:dyDescent="0.25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  <c r="AJ799" s="10"/>
      <c r="AK799" s="10"/>
      <c r="AL799" s="10"/>
      <c r="AM799" s="10"/>
      <c r="AN799" s="10"/>
      <c r="AO799" s="10"/>
      <c r="AP799" s="10"/>
      <c r="AQ799" s="10"/>
      <c r="AR799" s="10"/>
      <c r="AS799" s="10"/>
      <c r="AT799" s="10"/>
      <c r="AU799" s="10"/>
      <c r="AV799" s="10"/>
      <c r="AW799" s="10"/>
      <c r="AX799" s="10"/>
      <c r="AY799" s="10"/>
      <c r="AZ799" s="10"/>
      <c r="BA799" s="10"/>
    </row>
    <row r="800" spans="1:53" x14ac:dyDescent="0.25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  <c r="AI800" s="10"/>
      <c r="AJ800" s="10"/>
      <c r="AK800" s="10"/>
      <c r="AL800" s="10"/>
      <c r="AM800" s="10"/>
      <c r="AN800" s="10"/>
      <c r="AO800" s="10"/>
      <c r="AP800" s="10"/>
      <c r="AQ800" s="10"/>
      <c r="AR800" s="10"/>
      <c r="AS800" s="10"/>
      <c r="AT800" s="10"/>
      <c r="AU800" s="10"/>
      <c r="AV800" s="10"/>
      <c r="AW800" s="10"/>
      <c r="AX800" s="10"/>
      <c r="AY800" s="10"/>
      <c r="AZ800" s="10"/>
      <c r="BA800" s="10"/>
    </row>
    <row r="801" spans="1:53" x14ac:dyDescent="0.25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  <c r="AI801" s="10"/>
      <c r="AJ801" s="10"/>
      <c r="AK801" s="10"/>
      <c r="AL801" s="10"/>
      <c r="AM801" s="10"/>
      <c r="AN801" s="10"/>
      <c r="AO801" s="10"/>
      <c r="AP801" s="10"/>
      <c r="AQ801" s="10"/>
      <c r="AR801" s="10"/>
      <c r="AS801" s="10"/>
      <c r="AT801" s="10"/>
      <c r="AU801" s="10"/>
      <c r="AV801" s="10"/>
      <c r="AW801" s="10"/>
      <c r="AX801" s="10"/>
      <c r="AY801" s="10"/>
      <c r="AZ801" s="10"/>
      <c r="BA801" s="10"/>
    </row>
    <row r="802" spans="1:53" x14ac:dyDescent="0.25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  <c r="AI802" s="10"/>
      <c r="AJ802" s="10"/>
      <c r="AK802" s="10"/>
      <c r="AL802" s="10"/>
      <c r="AM802" s="10"/>
      <c r="AN802" s="10"/>
      <c r="AO802" s="10"/>
      <c r="AP802" s="10"/>
      <c r="AQ802" s="10"/>
      <c r="AR802" s="10"/>
      <c r="AS802" s="10"/>
      <c r="AT802" s="10"/>
      <c r="AU802" s="10"/>
      <c r="AV802" s="10"/>
      <c r="AW802" s="10"/>
      <c r="AX802" s="10"/>
      <c r="AY802" s="10"/>
      <c r="AZ802" s="10"/>
      <c r="BA802" s="10"/>
    </row>
    <row r="803" spans="1:53" x14ac:dyDescent="0.25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  <c r="AI803" s="10"/>
      <c r="AJ803" s="10"/>
      <c r="AK803" s="10"/>
      <c r="AL803" s="10"/>
      <c r="AM803" s="10"/>
      <c r="AN803" s="10"/>
      <c r="AO803" s="10"/>
      <c r="AP803" s="10"/>
      <c r="AQ803" s="10"/>
      <c r="AR803" s="10"/>
      <c r="AS803" s="10"/>
      <c r="AT803" s="10"/>
      <c r="AU803" s="10"/>
      <c r="AV803" s="10"/>
      <c r="AW803" s="10"/>
      <c r="AX803" s="10"/>
      <c r="AY803" s="10"/>
      <c r="AZ803" s="10"/>
      <c r="BA803" s="10"/>
    </row>
    <row r="804" spans="1:53" x14ac:dyDescent="0.25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  <c r="AI804" s="10"/>
      <c r="AJ804" s="10"/>
      <c r="AK804" s="10"/>
      <c r="AL804" s="10"/>
      <c r="AM804" s="10"/>
      <c r="AN804" s="10"/>
      <c r="AO804" s="10"/>
      <c r="AP804" s="10"/>
      <c r="AQ804" s="10"/>
      <c r="AR804" s="10"/>
      <c r="AS804" s="10"/>
      <c r="AT804" s="10"/>
      <c r="AU804" s="10"/>
      <c r="AV804" s="10"/>
      <c r="AW804" s="10"/>
      <c r="AX804" s="10"/>
      <c r="AY804" s="10"/>
      <c r="AZ804" s="10"/>
      <c r="BA804" s="10"/>
    </row>
    <row r="805" spans="1:53" x14ac:dyDescent="0.25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  <c r="AI805" s="10"/>
      <c r="AJ805" s="10"/>
      <c r="AK805" s="10"/>
      <c r="AL805" s="10"/>
      <c r="AM805" s="10"/>
      <c r="AN805" s="10"/>
      <c r="AO805" s="10"/>
      <c r="AP805" s="10"/>
      <c r="AQ805" s="10"/>
      <c r="AR805" s="10"/>
      <c r="AS805" s="10"/>
      <c r="AT805" s="10"/>
      <c r="AU805" s="10"/>
      <c r="AV805" s="10"/>
      <c r="AW805" s="10"/>
      <c r="AX805" s="10"/>
      <c r="AY805" s="10"/>
      <c r="AZ805" s="10"/>
      <c r="BA805" s="10"/>
    </row>
    <row r="806" spans="1:53" x14ac:dyDescent="0.25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0"/>
      <c r="AH806" s="10"/>
      <c r="AI806" s="10"/>
      <c r="AJ806" s="10"/>
      <c r="AK806" s="10"/>
      <c r="AL806" s="10"/>
      <c r="AM806" s="10"/>
      <c r="AN806" s="10"/>
      <c r="AO806" s="10"/>
      <c r="AP806" s="10"/>
      <c r="AQ806" s="10"/>
      <c r="AR806" s="10"/>
      <c r="AS806" s="10"/>
      <c r="AT806" s="10"/>
      <c r="AU806" s="10"/>
      <c r="AV806" s="10"/>
      <c r="AW806" s="10"/>
      <c r="AX806" s="10"/>
      <c r="AY806" s="10"/>
      <c r="AZ806" s="10"/>
      <c r="BA806" s="10"/>
    </row>
    <row r="807" spans="1:53" x14ac:dyDescent="0.25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  <c r="AI807" s="10"/>
      <c r="AJ807" s="10"/>
      <c r="AK807" s="10"/>
      <c r="AL807" s="10"/>
      <c r="AM807" s="10"/>
      <c r="AN807" s="10"/>
      <c r="AO807" s="10"/>
      <c r="AP807" s="10"/>
      <c r="AQ807" s="10"/>
      <c r="AR807" s="10"/>
      <c r="AS807" s="10"/>
      <c r="AT807" s="10"/>
      <c r="AU807" s="10"/>
      <c r="AV807" s="10"/>
      <c r="AW807" s="10"/>
      <c r="AX807" s="10"/>
      <c r="AY807" s="10"/>
      <c r="AZ807" s="10"/>
      <c r="BA807" s="10"/>
    </row>
    <row r="808" spans="1:53" x14ac:dyDescent="0.25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0"/>
      <c r="AH808" s="10"/>
      <c r="AI808" s="10"/>
      <c r="AJ808" s="10"/>
      <c r="AK808" s="10"/>
      <c r="AL808" s="10"/>
      <c r="AM808" s="10"/>
      <c r="AN808" s="10"/>
      <c r="AO808" s="10"/>
      <c r="AP808" s="10"/>
      <c r="AQ808" s="10"/>
      <c r="AR808" s="10"/>
      <c r="AS808" s="10"/>
      <c r="AT808" s="10"/>
      <c r="AU808" s="10"/>
      <c r="AV808" s="10"/>
      <c r="AW808" s="10"/>
      <c r="AX808" s="10"/>
      <c r="AY808" s="10"/>
      <c r="AZ808" s="10"/>
      <c r="BA808" s="10"/>
    </row>
    <row r="809" spans="1:53" x14ac:dyDescent="0.25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0"/>
      <c r="AH809" s="10"/>
      <c r="AI809" s="10"/>
      <c r="AJ809" s="10"/>
      <c r="AK809" s="10"/>
      <c r="AL809" s="10"/>
      <c r="AM809" s="10"/>
      <c r="AN809" s="10"/>
      <c r="AO809" s="10"/>
      <c r="AP809" s="10"/>
      <c r="AQ809" s="10"/>
      <c r="AR809" s="10"/>
      <c r="AS809" s="10"/>
      <c r="AT809" s="10"/>
      <c r="AU809" s="10"/>
      <c r="AV809" s="10"/>
      <c r="AW809" s="10"/>
      <c r="AX809" s="10"/>
      <c r="AY809" s="10"/>
      <c r="AZ809" s="10"/>
      <c r="BA809" s="10"/>
    </row>
    <row r="810" spans="1:53" x14ac:dyDescent="0.25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0"/>
      <c r="AH810" s="10"/>
      <c r="AI810" s="10"/>
      <c r="AJ810" s="10"/>
      <c r="AK810" s="10"/>
      <c r="AL810" s="10"/>
      <c r="AM810" s="10"/>
      <c r="AN810" s="10"/>
      <c r="AO810" s="10"/>
      <c r="AP810" s="10"/>
      <c r="AQ810" s="10"/>
      <c r="AR810" s="10"/>
      <c r="AS810" s="10"/>
      <c r="AT810" s="10"/>
      <c r="AU810" s="10"/>
      <c r="AV810" s="10"/>
      <c r="AW810" s="10"/>
      <c r="AX810" s="10"/>
      <c r="AY810" s="10"/>
      <c r="AZ810" s="10"/>
      <c r="BA810" s="10"/>
    </row>
    <row r="811" spans="1:53" x14ac:dyDescent="0.25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/>
      <c r="AI811" s="10"/>
      <c r="AJ811" s="10"/>
      <c r="AK811" s="10"/>
      <c r="AL811" s="10"/>
      <c r="AM811" s="10"/>
      <c r="AN811" s="10"/>
      <c r="AO811" s="10"/>
      <c r="AP811" s="10"/>
      <c r="AQ811" s="10"/>
      <c r="AR811" s="10"/>
      <c r="AS811" s="10"/>
      <c r="AT811" s="10"/>
      <c r="AU811" s="10"/>
      <c r="AV811" s="10"/>
      <c r="AW811" s="10"/>
      <c r="AX811" s="10"/>
      <c r="AY811" s="10"/>
      <c r="AZ811" s="10"/>
      <c r="BA811" s="10"/>
    </row>
    <row r="812" spans="1:53" x14ac:dyDescent="0.25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  <c r="AI812" s="10"/>
      <c r="AJ812" s="10"/>
      <c r="AK812" s="10"/>
      <c r="AL812" s="10"/>
      <c r="AM812" s="10"/>
      <c r="AN812" s="10"/>
      <c r="AO812" s="10"/>
      <c r="AP812" s="10"/>
      <c r="AQ812" s="10"/>
      <c r="AR812" s="10"/>
      <c r="AS812" s="10"/>
      <c r="AT812" s="10"/>
      <c r="AU812" s="10"/>
      <c r="AV812" s="10"/>
      <c r="AW812" s="10"/>
      <c r="AX812" s="10"/>
      <c r="AY812" s="10"/>
      <c r="AZ812" s="10"/>
      <c r="BA812" s="10"/>
    </row>
    <row r="813" spans="1:53" x14ac:dyDescent="0.25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  <c r="AI813" s="10"/>
      <c r="AJ813" s="10"/>
      <c r="AK813" s="10"/>
      <c r="AL813" s="10"/>
      <c r="AM813" s="10"/>
      <c r="AN813" s="10"/>
      <c r="AO813" s="10"/>
      <c r="AP813" s="10"/>
      <c r="AQ813" s="10"/>
      <c r="AR813" s="10"/>
      <c r="AS813" s="10"/>
      <c r="AT813" s="10"/>
      <c r="AU813" s="10"/>
      <c r="AV813" s="10"/>
      <c r="AW813" s="10"/>
      <c r="AX813" s="10"/>
      <c r="AY813" s="10"/>
      <c r="AZ813" s="10"/>
      <c r="BA813" s="10"/>
    </row>
    <row r="814" spans="1:53" x14ac:dyDescent="0.25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0"/>
      <c r="AH814" s="10"/>
      <c r="AI814" s="10"/>
      <c r="AJ814" s="10"/>
      <c r="AK814" s="10"/>
      <c r="AL814" s="10"/>
      <c r="AM814" s="10"/>
      <c r="AN814" s="10"/>
      <c r="AO814" s="10"/>
      <c r="AP814" s="10"/>
      <c r="AQ814" s="10"/>
      <c r="AR814" s="10"/>
      <c r="AS814" s="10"/>
      <c r="AT814" s="10"/>
      <c r="AU814" s="10"/>
      <c r="AV814" s="10"/>
      <c r="AW814" s="10"/>
      <c r="AX814" s="10"/>
      <c r="AY814" s="10"/>
      <c r="AZ814" s="10"/>
      <c r="BA814" s="10"/>
    </row>
    <row r="815" spans="1:53" x14ac:dyDescent="0.25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  <c r="AI815" s="10"/>
      <c r="AJ815" s="10"/>
      <c r="AK815" s="10"/>
      <c r="AL815" s="10"/>
      <c r="AM815" s="10"/>
      <c r="AN815" s="10"/>
      <c r="AO815" s="10"/>
      <c r="AP815" s="10"/>
      <c r="AQ815" s="10"/>
      <c r="AR815" s="10"/>
      <c r="AS815" s="10"/>
      <c r="AT815" s="10"/>
      <c r="AU815" s="10"/>
      <c r="AV815" s="10"/>
      <c r="AW815" s="10"/>
      <c r="AX815" s="10"/>
      <c r="AY815" s="10"/>
      <c r="AZ815" s="10"/>
      <c r="BA815" s="10"/>
    </row>
    <row r="816" spans="1:53" x14ac:dyDescent="0.25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0"/>
      <c r="AH816" s="10"/>
      <c r="AI816" s="10"/>
      <c r="AJ816" s="10"/>
      <c r="AK816" s="10"/>
      <c r="AL816" s="10"/>
      <c r="AM816" s="10"/>
      <c r="AN816" s="10"/>
      <c r="AO816" s="10"/>
      <c r="AP816" s="10"/>
      <c r="AQ816" s="10"/>
      <c r="AR816" s="10"/>
      <c r="AS816" s="10"/>
      <c r="AT816" s="10"/>
      <c r="AU816" s="10"/>
      <c r="AV816" s="10"/>
      <c r="AW816" s="10"/>
      <c r="AX816" s="10"/>
      <c r="AY816" s="10"/>
      <c r="AZ816" s="10"/>
      <c r="BA816" s="10"/>
    </row>
    <row r="817" spans="1:53" x14ac:dyDescent="0.25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  <c r="AI817" s="10"/>
      <c r="AJ817" s="10"/>
      <c r="AK817" s="10"/>
      <c r="AL817" s="10"/>
      <c r="AM817" s="10"/>
      <c r="AN817" s="10"/>
      <c r="AO817" s="10"/>
      <c r="AP817" s="10"/>
      <c r="AQ817" s="10"/>
      <c r="AR817" s="10"/>
      <c r="AS817" s="10"/>
      <c r="AT817" s="10"/>
      <c r="AU817" s="10"/>
      <c r="AV817" s="10"/>
      <c r="AW817" s="10"/>
      <c r="AX817" s="10"/>
      <c r="AY817" s="10"/>
      <c r="AZ817" s="10"/>
      <c r="BA817" s="10"/>
    </row>
    <row r="818" spans="1:53" x14ac:dyDescent="0.25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  <c r="AI818" s="10"/>
      <c r="AJ818" s="10"/>
      <c r="AK818" s="10"/>
      <c r="AL818" s="10"/>
      <c r="AM818" s="10"/>
      <c r="AN818" s="10"/>
      <c r="AO818" s="10"/>
      <c r="AP818" s="10"/>
      <c r="AQ818" s="10"/>
      <c r="AR818" s="10"/>
      <c r="AS818" s="10"/>
      <c r="AT818" s="10"/>
      <c r="AU818" s="10"/>
      <c r="AV818" s="10"/>
      <c r="AW818" s="10"/>
      <c r="AX818" s="10"/>
      <c r="AY818" s="10"/>
      <c r="AZ818" s="10"/>
      <c r="BA818" s="10"/>
    </row>
    <row r="819" spans="1:53" x14ac:dyDescent="0.25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/>
      <c r="AI819" s="10"/>
      <c r="AJ819" s="10"/>
      <c r="AK819" s="10"/>
      <c r="AL819" s="10"/>
      <c r="AM819" s="10"/>
      <c r="AN819" s="10"/>
      <c r="AO819" s="10"/>
      <c r="AP819" s="10"/>
      <c r="AQ819" s="10"/>
      <c r="AR819" s="10"/>
      <c r="AS819" s="10"/>
      <c r="AT819" s="10"/>
      <c r="AU819" s="10"/>
      <c r="AV819" s="10"/>
      <c r="AW819" s="10"/>
      <c r="AX819" s="10"/>
      <c r="AY819" s="10"/>
      <c r="AZ819" s="10"/>
      <c r="BA819" s="10"/>
    </row>
    <row r="820" spans="1:53" x14ac:dyDescent="0.25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  <c r="AJ820" s="10"/>
      <c r="AK820" s="10"/>
      <c r="AL820" s="10"/>
      <c r="AM820" s="10"/>
      <c r="AN820" s="10"/>
      <c r="AO820" s="10"/>
      <c r="AP820" s="10"/>
      <c r="AQ820" s="10"/>
      <c r="AR820" s="10"/>
      <c r="AS820" s="10"/>
      <c r="AT820" s="10"/>
      <c r="AU820" s="10"/>
      <c r="AV820" s="10"/>
      <c r="AW820" s="10"/>
      <c r="AX820" s="10"/>
      <c r="AY820" s="10"/>
      <c r="AZ820" s="10"/>
      <c r="BA820" s="10"/>
    </row>
    <row r="821" spans="1:53" x14ac:dyDescent="0.25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  <c r="AI821" s="10"/>
      <c r="AJ821" s="10"/>
      <c r="AK821" s="10"/>
      <c r="AL821" s="10"/>
      <c r="AM821" s="10"/>
      <c r="AN821" s="10"/>
      <c r="AO821" s="10"/>
      <c r="AP821" s="10"/>
      <c r="AQ821" s="10"/>
      <c r="AR821" s="10"/>
      <c r="AS821" s="10"/>
      <c r="AT821" s="10"/>
      <c r="AU821" s="10"/>
      <c r="AV821" s="10"/>
      <c r="AW821" s="10"/>
      <c r="AX821" s="10"/>
      <c r="AY821" s="10"/>
      <c r="AZ821" s="10"/>
      <c r="BA821" s="10"/>
    </row>
    <row r="822" spans="1:53" x14ac:dyDescent="0.25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  <c r="AI822" s="10"/>
      <c r="AJ822" s="10"/>
      <c r="AK822" s="10"/>
      <c r="AL822" s="10"/>
      <c r="AM822" s="10"/>
      <c r="AN822" s="10"/>
      <c r="AO822" s="10"/>
      <c r="AP822" s="10"/>
      <c r="AQ822" s="10"/>
      <c r="AR822" s="10"/>
      <c r="AS822" s="10"/>
      <c r="AT822" s="10"/>
      <c r="AU822" s="10"/>
      <c r="AV822" s="10"/>
      <c r="AW822" s="10"/>
      <c r="AX822" s="10"/>
      <c r="AY822" s="10"/>
      <c r="AZ822" s="10"/>
      <c r="BA822" s="10"/>
    </row>
    <row r="823" spans="1:53" x14ac:dyDescent="0.25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0"/>
      <c r="AH823" s="10"/>
      <c r="AI823" s="10"/>
      <c r="AJ823" s="10"/>
      <c r="AK823" s="10"/>
      <c r="AL823" s="10"/>
      <c r="AM823" s="10"/>
      <c r="AN823" s="10"/>
      <c r="AO823" s="10"/>
      <c r="AP823" s="10"/>
      <c r="AQ823" s="10"/>
      <c r="AR823" s="10"/>
      <c r="AS823" s="10"/>
      <c r="AT823" s="10"/>
      <c r="AU823" s="10"/>
      <c r="AV823" s="10"/>
      <c r="AW823" s="10"/>
      <c r="AX823" s="10"/>
      <c r="AY823" s="10"/>
      <c r="AZ823" s="10"/>
      <c r="BA823" s="10"/>
    </row>
    <row r="824" spans="1:53" x14ac:dyDescent="0.25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0"/>
      <c r="AH824" s="10"/>
      <c r="AI824" s="10"/>
      <c r="AJ824" s="10"/>
      <c r="AK824" s="10"/>
      <c r="AL824" s="10"/>
      <c r="AM824" s="10"/>
      <c r="AN824" s="10"/>
      <c r="AO824" s="10"/>
      <c r="AP824" s="10"/>
      <c r="AQ824" s="10"/>
      <c r="AR824" s="10"/>
      <c r="AS824" s="10"/>
      <c r="AT824" s="10"/>
      <c r="AU824" s="10"/>
      <c r="AV824" s="10"/>
      <c r="AW824" s="10"/>
      <c r="AX824" s="10"/>
      <c r="AY824" s="10"/>
      <c r="AZ824" s="10"/>
      <c r="BA824" s="10"/>
    </row>
    <row r="825" spans="1:53" x14ac:dyDescent="0.25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/>
      <c r="AI825" s="10"/>
      <c r="AJ825" s="10"/>
      <c r="AK825" s="10"/>
      <c r="AL825" s="10"/>
      <c r="AM825" s="10"/>
      <c r="AN825" s="10"/>
      <c r="AO825" s="10"/>
      <c r="AP825" s="10"/>
      <c r="AQ825" s="10"/>
      <c r="AR825" s="10"/>
      <c r="AS825" s="10"/>
      <c r="AT825" s="10"/>
      <c r="AU825" s="10"/>
      <c r="AV825" s="10"/>
      <c r="AW825" s="10"/>
      <c r="AX825" s="10"/>
      <c r="AY825" s="10"/>
      <c r="AZ825" s="10"/>
      <c r="BA825" s="10"/>
    </row>
    <row r="826" spans="1:53" x14ac:dyDescent="0.25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0"/>
      <c r="AH826" s="10"/>
      <c r="AI826" s="10"/>
      <c r="AJ826" s="10"/>
      <c r="AK826" s="10"/>
      <c r="AL826" s="10"/>
      <c r="AM826" s="10"/>
      <c r="AN826" s="10"/>
      <c r="AO826" s="10"/>
      <c r="AP826" s="10"/>
      <c r="AQ826" s="10"/>
      <c r="AR826" s="10"/>
      <c r="AS826" s="10"/>
      <c r="AT826" s="10"/>
      <c r="AU826" s="10"/>
      <c r="AV826" s="10"/>
      <c r="AW826" s="10"/>
      <c r="AX826" s="10"/>
      <c r="AY826" s="10"/>
      <c r="AZ826" s="10"/>
      <c r="BA826" s="10"/>
    </row>
    <row r="827" spans="1:53" x14ac:dyDescent="0.25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  <c r="AI827" s="10"/>
      <c r="AJ827" s="10"/>
      <c r="AK827" s="10"/>
      <c r="AL827" s="10"/>
      <c r="AM827" s="10"/>
      <c r="AN827" s="10"/>
      <c r="AO827" s="10"/>
      <c r="AP827" s="10"/>
      <c r="AQ827" s="10"/>
      <c r="AR827" s="10"/>
      <c r="AS827" s="10"/>
      <c r="AT827" s="10"/>
      <c r="AU827" s="10"/>
      <c r="AV827" s="10"/>
      <c r="AW827" s="10"/>
      <c r="AX827" s="10"/>
      <c r="AY827" s="10"/>
      <c r="AZ827" s="10"/>
      <c r="BA827" s="10"/>
    </row>
    <row r="828" spans="1:53" x14ac:dyDescent="0.25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0"/>
      <c r="AH828" s="10"/>
      <c r="AI828" s="10"/>
      <c r="AJ828" s="10"/>
      <c r="AK828" s="10"/>
      <c r="AL828" s="10"/>
      <c r="AM828" s="10"/>
      <c r="AN828" s="10"/>
      <c r="AO828" s="10"/>
      <c r="AP828" s="10"/>
      <c r="AQ828" s="10"/>
      <c r="AR828" s="10"/>
      <c r="AS828" s="10"/>
      <c r="AT828" s="10"/>
      <c r="AU828" s="10"/>
      <c r="AV828" s="10"/>
      <c r="AW828" s="10"/>
      <c r="AX828" s="10"/>
      <c r="AY828" s="10"/>
      <c r="AZ828" s="10"/>
      <c r="BA828" s="10"/>
    </row>
    <row r="829" spans="1:53" x14ac:dyDescent="0.25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  <c r="AI829" s="10"/>
      <c r="AJ829" s="10"/>
      <c r="AK829" s="10"/>
      <c r="AL829" s="10"/>
      <c r="AM829" s="10"/>
      <c r="AN829" s="10"/>
      <c r="AO829" s="10"/>
      <c r="AP829" s="10"/>
      <c r="AQ829" s="10"/>
      <c r="AR829" s="10"/>
      <c r="AS829" s="10"/>
      <c r="AT829" s="10"/>
      <c r="AU829" s="10"/>
      <c r="AV829" s="10"/>
      <c r="AW829" s="10"/>
      <c r="AX829" s="10"/>
      <c r="AY829" s="10"/>
      <c r="AZ829" s="10"/>
      <c r="BA829" s="10"/>
    </row>
    <row r="830" spans="1:53" x14ac:dyDescent="0.25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  <c r="AI830" s="10"/>
      <c r="AJ830" s="10"/>
      <c r="AK830" s="10"/>
      <c r="AL830" s="10"/>
      <c r="AM830" s="10"/>
      <c r="AN830" s="10"/>
      <c r="AO830" s="10"/>
      <c r="AP830" s="10"/>
      <c r="AQ830" s="10"/>
      <c r="AR830" s="10"/>
      <c r="AS830" s="10"/>
      <c r="AT830" s="10"/>
      <c r="AU830" s="10"/>
      <c r="AV830" s="10"/>
      <c r="AW830" s="10"/>
      <c r="AX830" s="10"/>
      <c r="AY830" s="10"/>
      <c r="AZ830" s="10"/>
      <c r="BA830" s="10"/>
    </row>
    <row r="831" spans="1:53" x14ac:dyDescent="0.25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  <c r="AI831" s="10"/>
      <c r="AJ831" s="10"/>
      <c r="AK831" s="10"/>
      <c r="AL831" s="10"/>
      <c r="AM831" s="10"/>
      <c r="AN831" s="10"/>
      <c r="AO831" s="10"/>
      <c r="AP831" s="10"/>
      <c r="AQ831" s="10"/>
      <c r="AR831" s="10"/>
      <c r="AS831" s="10"/>
      <c r="AT831" s="10"/>
      <c r="AU831" s="10"/>
      <c r="AV831" s="10"/>
      <c r="AW831" s="10"/>
      <c r="AX831" s="10"/>
      <c r="AY831" s="10"/>
      <c r="AZ831" s="10"/>
      <c r="BA831" s="10"/>
    </row>
    <row r="832" spans="1:53" x14ac:dyDescent="0.25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  <c r="AI832" s="10"/>
      <c r="AJ832" s="10"/>
      <c r="AK832" s="10"/>
      <c r="AL832" s="10"/>
      <c r="AM832" s="10"/>
      <c r="AN832" s="10"/>
      <c r="AO832" s="10"/>
      <c r="AP832" s="10"/>
      <c r="AQ832" s="10"/>
      <c r="AR832" s="10"/>
      <c r="AS832" s="10"/>
      <c r="AT832" s="10"/>
      <c r="AU832" s="10"/>
      <c r="AV832" s="10"/>
      <c r="AW832" s="10"/>
      <c r="AX832" s="10"/>
      <c r="AY832" s="10"/>
      <c r="AZ832" s="10"/>
      <c r="BA832" s="10"/>
    </row>
    <row r="833" spans="1:53" x14ac:dyDescent="0.25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0"/>
      <c r="AH833" s="10"/>
      <c r="AI833" s="10"/>
      <c r="AJ833" s="10"/>
      <c r="AK833" s="10"/>
      <c r="AL833" s="10"/>
      <c r="AM833" s="10"/>
      <c r="AN833" s="10"/>
      <c r="AO833" s="10"/>
      <c r="AP833" s="10"/>
      <c r="AQ833" s="10"/>
      <c r="AR833" s="10"/>
      <c r="AS833" s="10"/>
      <c r="AT833" s="10"/>
      <c r="AU833" s="10"/>
      <c r="AV833" s="10"/>
      <c r="AW833" s="10"/>
      <c r="AX833" s="10"/>
      <c r="AY833" s="10"/>
      <c r="AZ833" s="10"/>
      <c r="BA833" s="10"/>
    </row>
    <row r="834" spans="1:53" x14ac:dyDescent="0.25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  <c r="AI834" s="10"/>
      <c r="AJ834" s="10"/>
      <c r="AK834" s="10"/>
      <c r="AL834" s="10"/>
      <c r="AM834" s="10"/>
      <c r="AN834" s="10"/>
      <c r="AO834" s="10"/>
      <c r="AP834" s="10"/>
      <c r="AQ834" s="10"/>
      <c r="AR834" s="10"/>
      <c r="AS834" s="10"/>
      <c r="AT834" s="10"/>
      <c r="AU834" s="10"/>
      <c r="AV834" s="10"/>
      <c r="AW834" s="10"/>
      <c r="AX834" s="10"/>
      <c r="AY834" s="10"/>
      <c r="AZ834" s="10"/>
      <c r="BA834" s="10"/>
    </row>
    <row r="835" spans="1:53" x14ac:dyDescent="0.25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0"/>
      <c r="AH835" s="10"/>
      <c r="AI835" s="10"/>
      <c r="AJ835" s="10"/>
      <c r="AK835" s="10"/>
      <c r="AL835" s="10"/>
      <c r="AM835" s="10"/>
      <c r="AN835" s="10"/>
      <c r="AO835" s="10"/>
      <c r="AP835" s="10"/>
      <c r="AQ835" s="10"/>
      <c r="AR835" s="10"/>
      <c r="AS835" s="10"/>
      <c r="AT835" s="10"/>
      <c r="AU835" s="10"/>
      <c r="AV835" s="10"/>
      <c r="AW835" s="10"/>
      <c r="AX835" s="10"/>
      <c r="AY835" s="10"/>
      <c r="AZ835" s="10"/>
      <c r="BA835" s="10"/>
    </row>
    <row r="836" spans="1:53" x14ac:dyDescent="0.25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  <c r="AI836" s="10"/>
      <c r="AJ836" s="10"/>
      <c r="AK836" s="10"/>
      <c r="AL836" s="10"/>
      <c r="AM836" s="10"/>
      <c r="AN836" s="10"/>
      <c r="AO836" s="10"/>
      <c r="AP836" s="10"/>
      <c r="AQ836" s="10"/>
      <c r="AR836" s="10"/>
      <c r="AS836" s="10"/>
      <c r="AT836" s="10"/>
      <c r="AU836" s="10"/>
      <c r="AV836" s="10"/>
      <c r="AW836" s="10"/>
      <c r="AX836" s="10"/>
      <c r="AY836" s="10"/>
      <c r="AZ836" s="10"/>
      <c r="BA836" s="10"/>
    </row>
    <row r="837" spans="1:53" x14ac:dyDescent="0.25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  <c r="AI837" s="10"/>
      <c r="AJ837" s="10"/>
      <c r="AK837" s="10"/>
      <c r="AL837" s="10"/>
      <c r="AM837" s="10"/>
      <c r="AN837" s="10"/>
      <c r="AO837" s="10"/>
      <c r="AP837" s="10"/>
      <c r="AQ837" s="10"/>
      <c r="AR837" s="10"/>
      <c r="AS837" s="10"/>
      <c r="AT837" s="10"/>
      <c r="AU837" s="10"/>
      <c r="AV837" s="10"/>
      <c r="AW837" s="10"/>
      <c r="AX837" s="10"/>
      <c r="AY837" s="10"/>
      <c r="AZ837" s="10"/>
      <c r="BA837" s="10"/>
    </row>
    <row r="838" spans="1:53" x14ac:dyDescent="0.25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  <c r="AI838" s="10"/>
      <c r="AJ838" s="10"/>
      <c r="AK838" s="10"/>
      <c r="AL838" s="10"/>
      <c r="AM838" s="10"/>
      <c r="AN838" s="10"/>
      <c r="AO838" s="10"/>
      <c r="AP838" s="10"/>
      <c r="AQ838" s="10"/>
      <c r="AR838" s="10"/>
      <c r="AS838" s="10"/>
      <c r="AT838" s="10"/>
      <c r="AU838" s="10"/>
      <c r="AV838" s="10"/>
      <c r="AW838" s="10"/>
      <c r="AX838" s="10"/>
      <c r="AY838" s="10"/>
      <c r="AZ838" s="10"/>
      <c r="BA838" s="10"/>
    </row>
    <row r="839" spans="1:53" x14ac:dyDescent="0.25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0"/>
      <c r="AH839" s="10"/>
      <c r="AI839" s="10"/>
      <c r="AJ839" s="10"/>
      <c r="AK839" s="10"/>
      <c r="AL839" s="10"/>
      <c r="AM839" s="10"/>
      <c r="AN839" s="10"/>
      <c r="AO839" s="10"/>
      <c r="AP839" s="10"/>
      <c r="AQ839" s="10"/>
      <c r="AR839" s="10"/>
      <c r="AS839" s="10"/>
      <c r="AT839" s="10"/>
      <c r="AU839" s="10"/>
      <c r="AV839" s="10"/>
      <c r="AW839" s="10"/>
      <c r="AX839" s="10"/>
      <c r="AY839" s="10"/>
      <c r="AZ839" s="10"/>
      <c r="BA839" s="10"/>
    </row>
    <row r="840" spans="1:53" x14ac:dyDescent="0.25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0"/>
      <c r="AH840" s="10"/>
      <c r="AI840" s="10"/>
      <c r="AJ840" s="10"/>
      <c r="AK840" s="10"/>
      <c r="AL840" s="10"/>
      <c r="AM840" s="10"/>
      <c r="AN840" s="10"/>
      <c r="AO840" s="10"/>
      <c r="AP840" s="10"/>
      <c r="AQ840" s="10"/>
      <c r="AR840" s="10"/>
      <c r="AS840" s="10"/>
      <c r="AT840" s="10"/>
      <c r="AU840" s="10"/>
      <c r="AV840" s="10"/>
      <c r="AW840" s="10"/>
      <c r="AX840" s="10"/>
      <c r="AY840" s="10"/>
      <c r="AZ840" s="10"/>
      <c r="BA840" s="10"/>
    </row>
    <row r="841" spans="1:53" x14ac:dyDescent="0.25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  <c r="AI841" s="10"/>
      <c r="AJ841" s="10"/>
      <c r="AK841" s="10"/>
      <c r="AL841" s="10"/>
      <c r="AM841" s="10"/>
      <c r="AN841" s="10"/>
      <c r="AO841" s="10"/>
      <c r="AP841" s="10"/>
      <c r="AQ841" s="10"/>
      <c r="AR841" s="10"/>
      <c r="AS841" s="10"/>
      <c r="AT841" s="10"/>
      <c r="AU841" s="10"/>
      <c r="AV841" s="10"/>
      <c r="AW841" s="10"/>
      <c r="AX841" s="10"/>
      <c r="AY841" s="10"/>
      <c r="AZ841" s="10"/>
      <c r="BA841" s="10"/>
    </row>
    <row r="842" spans="1:53" x14ac:dyDescent="0.25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0"/>
      <c r="AH842" s="10"/>
      <c r="AI842" s="10"/>
      <c r="AJ842" s="10"/>
      <c r="AK842" s="10"/>
      <c r="AL842" s="10"/>
      <c r="AM842" s="10"/>
      <c r="AN842" s="10"/>
      <c r="AO842" s="10"/>
      <c r="AP842" s="10"/>
      <c r="AQ842" s="10"/>
      <c r="AR842" s="10"/>
      <c r="AS842" s="10"/>
      <c r="AT842" s="10"/>
      <c r="AU842" s="10"/>
      <c r="AV842" s="10"/>
      <c r="AW842" s="10"/>
      <c r="AX842" s="10"/>
      <c r="AY842" s="10"/>
      <c r="AZ842" s="10"/>
      <c r="BA842" s="10"/>
    </row>
    <row r="843" spans="1:53" x14ac:dyDescent="0.25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0"/>
      <c r="AH843" s="10"/>
      <c r="AI843" s="10"/>
      <c r="AJ843" s="10"/>
      <c r="AK843" s="10"/>
      <c r="AL843" s="10"/>
      <c r="AM843" s="10"/>
      <c r="AN843" s="10"/>
      <c r="AO843" s="10"/>
      <c r="AP843" s="10"/>
      <c r="AQ843" s="10"/>
      <c r="AR843" s="10"/>
      <c r="AS843" s="10"/>
      <c r="AT843" s="10"/>
      <c r="AU843" s="10"/>
      <c r="AV843" s="10"/>
      <c r="AW843" s="10"/>
      <c r="AX843" s="10"/>
      <c r="AY843" s="10"/>
      <c r="AZ843" s="10"/>
      <c r="BA843" s="10"/>
    </row>
    <row r="844" spans="1:53" x14ac:dyDescent="0.25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  <c r="AI844" s="10"/>
      <c r="AJ844" s="10"/>
      <c r="AK844" s="10"/>
      <c r="AL844" s="10"/>
      <c r="AM844" s="10"/>
      <c r="AN844" s="10"/>
      <c r="AO844" s="10"/>
      <c r="AP844" s="10"/>
      <c r="AQ844" s="10"/>
      <c r="AR844" s="10"/>
      <c r="AS844" s="10"/>
      <c r="AT844" s="10"/>
      <c r="AU844" s="10"/>
      <c r="AV844" s="10"/>
      <c r="AW844" s="10"/>
      <c r="AX844" s="10"/>
      <c r="AY844" s="10"/>
      <c r="AZ844" s="10"/>
      <c r="BA844" s="10"/>
    </row>
    <row r="845" spans="1:53" x14ac:dyDescent="0.25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0"/>
      <c r="AH845" s="10"/>
      <c r="AI845" s="10"/>
      <c r="AJ845" s="10"/>
      <c r="AK845" s="10"/>
      <c r="AL845" s="10"/>
      <c r="AM845" s="10"/>
      <c r="AN845" s="10"/>
      <c r="AO845" s="10"/>
      <c r="AP845" s="10"/>
      <c r="AQ845" s="10"/>
      <c r="AR845" s="10"/>
      <c r="AS845" s="10"/>
      <c r="AT845" s="10"/>
      <c r="AU845" s="10"/>
      <c r="AV845" s="10"/>
      <c r="AW845" s="10"/>
      <c r="AX845" s="10"/>
      <c r="AY845" s="10"/>
      <c r="AZ845" s="10"/>
      <c r="BA845" s="10"/>
    </row>
    <row r="846" spans="1:53" x14ac:dyDescent="0.25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  <c r="AI846" s="10"/>
      <c r="AJ846" s="10"/>
      <c r="AK846" s="10"/>
      <c r="AL846" s="10"/>
      <c r="AM846" s="10"/>
      <c r="AN846" s="10"/>
      <c r="AO846" s="10"/>
      <c r="AP846" s="10"/>
      <c r="AQ846" s="10"/>
      <c r="AR846" s="10"/>
      <c r="AS846" s="10"/>
      <c r="AT846" s="10"/>
      <c r="AU846" s="10"/>
      <c r="AV846" s="10"/>
      <c r="AW846" s="10"/>
      <c r="AX846" s="10"/>
      <c r="AY846" s="10"/>
      <c r="AZ846" s="10"/>
      <c r="BA846" s="10"/>
    </row>
    <row r="847" spans="1:53" x14ac:dyDescent="0.25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  <c r="AI847" s="10"/>
      <c r="AJ847" s="10"/>
      <c r="AK847" s="10"/>
      <c r="AL847" s="10"/>
      <c r="AM847" s="10"/>
      <c r="AN847" s="10"/>
      <c r="AO847" s="10"/>
      <c r="AP847" s="10"/>
      <c r="AQ847" s="10"/>
      <c r="AR847" s="10"/>
      <c r="AS847" s="10"/>
      <c r="AT847" s="10"/>
      <c r="AU847" s="10"/>
      <c r="AV847" s="10"/>
      <c r="AW847" s="10"/>
      <c r="AX847" s="10"/>
      <c r="AY847" s="10"/>
      <c r="AZ847" s="10"/>
      <c r="BA847" s="10"/>
    </row>
    <row r="848" spans="1:53" x14ac:dyDescent="0.25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0"/>
      <c r="AH848" s="10"/>
      <c r="AI848" s="10"/>
      <c r="AJ848" s="10"/>
      <c r="AK848" s="10"/>
      <c r="AL848" s="10"/>
      <c r="AM848" s="10"/>
      <c r="AN848" s="10"/>
      <c r="AO848" s="10"/>
      <c r="AP848" s="10"/>
      <c r="AQ848" s="10"/>
      <c r="AR848" s="10"/>
      <c r="AS848" s="10"/>
      <c r="AT848" s="10"/>
      <c r="AU848" s="10"/>
      <c r="AV848" s="10"/>
      <c r="AW848" s="10"/>
      <c r="AX848" s="10"/>
      <c r="AY848" s="10"/>
      <c r="AZ848" s="10"/>
      <c r="BA848" s="10"/>
    </row>
    <row r="849" spans="1:53" x14ac:dyDescent="0.25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0"/>
      <c r="AH849" s="10"/>
      <c r="AI849" s="10"/>
      <c r="AJ849" s="10"/>
      <c r="AK849" s="10"/>
      <c r="AL849" s="10"/>
      <c r="AM849" s="10"/>
      <c r="AN849" s="10"/>
      <c r="AO849" s="10"/>
      <c r="AP849" s="10"/>
      <c r="AQ849" s="10"/>
      <c r="AR849" s="10"/>
      <c r="AS849" s="10"/>
      <c r="AT849" s="10"/>
      <c r="AU849" s="10"/>
      <c r="AV849" s="10"/>
      <c r="AW849" s="10"/>
      <c r="AX849" s="10"/>
      <c r="AY849" s="10"/>
      <c r="AZ849" s="10"/>
      <c r="BA849" s="10"/>
    </row>
    <row r="850" spans="1:53" x14ac:dyDescent="0.25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  <c r="AI850" s="10"/>
      <c r="AJ850" s="10"/>
      <c r="AK850" s="10"/>
      <c r="AL850" s="10"/>
      <c r="AM850" s="10"/>
      <c r="AN850" s="10"/>
      <c r="AO850" s="10"/>
      <c r="AP850" s="10"/>
      <c r="AQ850" s="10"/>
      <c r="AR850" s="10"/>
      <c r="AS850" s="10"/>
      <c r="AT850" s="10"/>
      <c r="AU850" s="10"/>
      <c r="AV850" s="10"/>
      <c r="AW850" s="10"/>
      <c r="AX850" s="10"/>
      <c r="AY850" s="10"/>
      <c r="AZ850" s="10"/>
      <c r="BA850" s="10"/>
    </row>
    <row r="851" spans="1:53" x14ac:dyDescent="0.25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  <c r="AI851" s="10"/>
      <c r="AJ851" s="10"/>
      <c r="AK851" s="10"/>
      <c r="AL851" s="10"/>
      <c r="AM851" s="10"/>
      <c r="AN851" s="10"/>
      <c r="AO851" s="10"/>
      <c r="AP851" s="10"/>
      <c r="AQ851" s="10"/>
      <c r="AR851" s="10"/>
      <c r="AS851" s="10"/>
      <c r="AT851" s="10"/>
      <c r="AU851" s="10"/>
      <c r="AV851" s="10"/>
      <c r="AW851" s="10"/>
      <c r="AX851" s="10"/>
      <c r="AY851" s="10"/>
      <c r="AZ851" s="10"/>
      <c r="BA851" s="10"/>
    </row>
    <row r="852" spans="1:53" x14ac:dyDescent="0.25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0"/>
      <c r="AH852" s="10"/>
      <c r="AI852" s="10"/>
      <c r="AJ852" s="10"/>
      <c r="AK852" s="10"/>
      <c r="AL852" s="10"/>
      <c r="AM852" s="10"/>
      <c r="AN852" s="10"/>
      <c r="AO852" s="10"/>
      <c r="AP852" s="10"/>
      <c r="AQ852" s="10"/>
      <c r="AR852" s="10"/>
      <c r="AS852" s="10"/>
      <c r="AT852" s="10"/>
      <c r="AU852" s="10"/>
      <c r="AV852" s="10"/>
      <c r="AW852" s="10"/>
      <c r="AX852" s="10"/>
      <c r="AY852" s="10"/>
      <c r="AZ852" s="10"/>
      <c r="BA852" s="10"/>
    </row>
    <row r="853" spans="1:53" x14ac:dyDescent="0.25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0"/>
      <c r="AH853" s="10"/>
      <c r="AI853" s="10"/>
      <c r="AJ853" s="10"/>
      <c r="AK853" s="10"/>
      <c r="AL853" s="10"/>
      <c r="AM853" s="10"/>
      <c r="AN853" s="10"/>
      <c r="AO853" s="10"/>
      <c r="AP853" s="10"/>
      <c r="AQ853" s="10"/>
      <c r="AR853" s="10"/>
      <c r="AS853" s="10"/>
      <c r="AT853" s="10"/>
      <c r="AU853" s="10"/>
      <c r="AV853" s="10"/>
      <c r="AW853" s="10"/>
      <c r="AX853" s="10"/>
      <c r="AY853" s="10"/>
      <c r="AZ853" s="10"/>
      <c r="BA853" s="10"/>
    </row>
    <row r="854" spans="1:53" x14ac:dyDescent="0.25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  <c r="AI854" s="10"/>
      <c r="AJ854" s="10"/>
      <c r="AK854" s="10"/>
      <c r="AL854" s="10"/>
      <c r="AM854" s="10"/>
      <c r="AN854" s="10"/>
      <c r="AO854" s="10"/>
      <c r="AP854" s="10"/>
      <c r="AQ854" s="10"/>
      <c r="AR854" s="10"/>
      <c r="AS854" s="10"/>
      <c r="AT854" s="10"/>
      <c r="AU854" s="10"/>
      <c r="AV854" s="10"/>
      <c r="AW854" s="10"/>
      <c r="AX854" s="10"/>
      <c r="AY854" s="10"/>
      <c r="AZ854" s="10"/>
      <c r="BA854" s="10"/>
    </row>
    <row r="855" spans="1:53" x14ac:dyDescent="0.25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  <c r="AI855" s="10"/>
      <c r="AJ855" s="10"/>
      <c r="AK855" s="10"/>
      <c r="AL855" s="10"/>
      <c r="AM855" s="10"/>
      <c r="AN855" s="10"/>
      <c r="AO855" s="10"/>
      <c r="AP855" s="10"/>
      <c r="AQ855" s="10"/>
      <c r="AR855" s="10"/>
      <c r="AS855" s="10"/>
      <c r="AT855" s="10"/>
      <c r="AU855" s="10"/>
      <c r="AV855" s="10"/>
      <c r="AW855" s="10"/>
      <c r="AX855" s="10"/>
      <c r="AY855" s="10"/>
      <c r="AZ855" s="10"/>
      <c r="BA855" s="10"/>
    </row>
    <row r="856" spans="1:53" x14ac:dyDescent="0.25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  <c r="AI856" s="10"/>
      <c r="AJ856" s="10"/>
      <c r="AK856" s="10"/>
      <c r="AL856" s="10"/>
      <c r="AM856" s="10"/>
      <c r="AN856" s="10"/>
      <c r="AO856" s="10"/>
      <c r="AP856" s="10"/>
      <c r="AQ856" s="10"/>
      <c r="AR856" s="10"/>
      <c r="AS856" s="10"/>
      <c r="AT856" s="10"/>
      <c r="AU856" s="10"/>
      <c r="AV856" s="10"/>
      <c r="AW856" s="10"/>
      <c r="AX856" s="10"/>
      <c r="AY856" s="10"/>
      <c r="AZ856" s="10"/>
      <c r="BA856" s="10"/>
    </row>
    <row r="857" spans="1:53" x14ac:dyDescent="0.25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  <c r="AI857" s="10"/>
      <c r="AJ857" s="10"/>
      <c r="AK857" s="10"/>
      <c r="AL857" s="10"/>
      <c r="AM857" s="10"/>
      <c r="AN857" s="10"/>
      <c r="AO857" s="10"/>
      <c r="AP857" s="10"/>
      <c r="AQ857" s="10"/>
      <c r="AR857" s="10"/>
      <c r="AS857" s="10"/>
      <c r="AT857" s="10"/>
      <c r="AU857" s="10"/>
      <c r="AV857" s="10"/>
      <c r="AW857" s="10"/>
      <c r="AX857" s="10"/>
      <c r="AY857" s="10"/>
      <c r="AZ857" s="10"/>
      <c r="BA857" s="10"/>
    </row>
    <row r="858" spans="1:53" x14ac:dyDescent="0.25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  <c r="AI858" s="10"/>
      <c r="AJ858" s="10"/>
      <c r="AK858" s="10"/>
      <c r="AL858" s="10"/>
      <c r="AM858" s="10"/>
      <c r="AN858" s="10"/>
      <c r="AO858" s="10"/>
      <c r="AP858" s="10"/>
      <c r="AQ858" s="10"/>
      <c r="AR858" s="10"/>
      <c r="AS858" s="10"/>
      <c r="AT858" s="10"/>
      <c r="AU858" s="10"/>
      <c r="AV858" s="10"/>
      <c r="AW858" s="10"/>
      <c r="AX858" s="10"/>
      <c r="AY858" s="10"/>
      <c r="AZ858" s="10"/>
      <c r="BA858" s="10"/>
    </row>
    <row r="859" spans="1:53" x14ac:dyDescent="0.25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  <c r="AI859" s="10"/>
      <c r="AJ859" s="10"/>
      <c r="AK859" s="10"/>
      <c r="AL859" s="10"/>
      <c r="AM859" s="10"/>
      <c r="AN859" s="10"/>
      <c r="AO859" s="10"/>
      <c r="AP859" s="10"/>
      <c r="AQ859" s="10"/>
      <c r="AR859" s="10"/>
      <c r="AS859" s="10"/>
      <c r="AT859" s="10"/>
      <c r="AU859" s="10"/>
      <c r="AV859" s="10"/>
      <c r="AW859" s="10"/>
      <c r="AX859" s="10"/>
      <c r="AY859" s="10"/>
      <c r="AZ859" s="10"/>
      <c r="BA859" s="10"/>
    </row>
    <row r="860" spans="1:53" x14ac:dyDescent="0.25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0"/>
      <c r="AH860" s="10"/>
      <c r="AI860" s="10"/>
      <c r="AJ860" s="10"/>
      <c r="AK860" s="10"/>
      <c r="AL860" s="10"/>
      <c r="AM860" s="10"/>
      <c r="AN860" s="10"/>
      <c r="AO860" s="10"/>
      <c r="AP860" s="10"/>
      <c r="AQ860" s="10"/>
      <c r="AR860" s="10"/>
      <c r="AS860" s="10"/>
      <c r="AT860" s="10"/>
      <c r="AU860" s="10"/>
      <c r="AV860" s="10"/>
      <c r="AW860" s="10"/>
      <c r="AX860" s="10"/>
      <c r="AY860" s="10"/>
      <c r="AZ860" s="10"/>
      <c r="BA860" s="10"/>
    </row>
    <row r="861" spans="1:53" x14ac:dyDescent="0.25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  <c r="AI861" s="10"/>
      <c r="AJ861" s="10"/>
      <c r="AK861" s="10"/>
      <c r="AL861" s="10"/>
      <c r="AM861" s="10"/>
      <c r="AN861" s="10"/>
      <c r="AO861" s="10"/>
      <c r="AP861" s="10"/>
      <c r="AQ861" s="10"/>
      <c r="AR861" s="10"/>
      <c r="AS861" s="10"/>
      <c r="AT861" s="10"/>
      <c r="AU861" s="10"/>
      <c r="AV861" s="10"/>
      <c r="AW861" s="10"/>
      <c r="AX861" s="10"/>
      <c r="AY861" s="10"/>
      <c r="AZ861" s="10"/>
      <c r="BA861" s="10"/>
    </row>
    <row r="862" spans="1:53" x14ac:dyDescent="0.25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  <c r="AI862" s="10"/>
      <c r="AJ862" s="10"/>
      <c r="AK862" s="10"/>
      <c r="AL862" s="10"/>
      <c r="AM862" s="10"/>
      <c r="AN862" s="10"/>
      <c r="AO862" s="10"/>
      <c r="AP862" s="10"/>
      <c r="AQ862" s="10"/>
      <c r="AR862" s="10"/>
      <c r="AS862" s="10"/>
      <c r="AT862" s="10"/>
      <c r="AU862" s="10"/>
      <c r="AV862" s="10"/>
      <c r="AW862" s="10"/>
      <c r="AX862" s="10"/>
      <c r="AY862" s="10"/>
      <c r="AZ862" s="10"/>
      <c r="BA862" s="10"/>
    </row>
    <row r="863" spans="1:53" x14ac:dyDescent="0.25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0"/>
      <c r="AH863" s="10"/>
      <c r="AI863" s="10"/>
      <c r="AJ863" s="10"/>
      <c r="AK863" s="10"/>
      <c r="AL863" s="10"/>
      <c r="AM863" s="10"/>
      <c r="AN863" s="10"/>
      <c r="AO863" s="10"/>
      <c r="AP863" s="10"/>
      <c r="AQ863" s="10"/>
      <c r="AR863" s="10"/>
      <c r="AS863" s="10"/>
      <c r="AT863" s="10"/>
      <c r="AU863" s="10"/>
      <c r="AV863" s="10"/>
      <c r="AW863" s="10"/>
      <c r="AX863" s="10"/>
      <c r="AY863" s="10"/>
      <c r="AZ863" s="10"/>
      <c r="BA863" s="10"/>
    </row>
    <row r="864" spans="1:53" x14ac:dyDescent="0.25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0"/>
      <c r="AH864" s="10"/>
      <c r="AI864" s="10"/>
      <c r="AJ864" s="10"/>
      <c r="AK864" s="10"/>
      <c r="AL864" s="10"/>
      <c r="AM864" s="10"/>
      <c r="AN864" s="10"/>
      <c r="AO864" s="10"/>
      <c r="AP864" s="10"/>
      <c r="AQ864" s="10"/>
      <c r="AR864" s="10"/>
      <c r="AS864" s="10"/>
      <c r="AT864" s="10"/>
      <c r="AU864" s="10"/>
      <c r="AV864" s="10"/>
      <c r="AW864" s="10"/>
      <c r="AX864" s="10"/>
      <c r="AY864" s="10"/>
      <c r="AZ864" s="10"/>
      <c r="BA864" s="10"/>
    </row>
    <row r="865" spans="1:53" x14ac:dyDescent="0.25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  <c r="AI865" s="10"/>
      <c r="AJ865" s="10"/>
      <c r="AK865" s="10"/>
      <c r="AL865" s="10"/>
      <c r="AM865" s="10"/>
      <c r="AN865" s="10"/>
      <c r="AO865" s="10"/>
      <c r="AP865" s="10"/>
      <c r="AQ865" s="10"/>
      <c r="AR865" s="10"/>
      <c r="AS865" s="10"/>
      <c r="AT865" s="10"/>
      <c r="AU865" s="10"/>
      <c r="AV865" s="10"/>
      <c r="AW865" s="10"/>
      <c r="AX865" s="10"/>
      <c r="AY865" s="10"/>
      <c r="AZ865" s="10"/>
      <c r="BA865" s="10"/>
    </row>
    <row r="866" spans="1:53" x14ac:dyDescent="0.25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0"/>
      <c r="AH866" s="10"/>
      <c r="AI866" s="10"/>
      <c r="AJ866" s="10"/>
      <c r="AK866" s="10"/>
      <c r="AL866" s="10"/>
      <c r="AM866" s="10"/>
      <c r="AN866" s="10"/>
      <c r="AO866" s="10"/>
      <c r="AP866" s="10"/>
      <c r="AQ866" s="10"/>
      <c r="AR866" s="10"/>
      <c r="AS866" s="10"/>
      <c r="AT866" s="10"/>
      <c r="AU866" s="10"/>
      <c r="AV866" s="10"/>
      <c r="AW866" s="10"/>
      <c r="AX866" s="10"/>
      <c r="AY866" s="10"/>
      <c r="AZ866" s="10"/>
      <c r="BA866" s="10"/>
    </row>
    <row r="867" spans="1:53" x14ac:dyDescent="0.25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  <c r="AI867" s="10"/>
      <c r="AJ867" s="10"/>
      <c r="AK867" s="10"/>
      <c r="AL867" s="10"/>
      <c r="AM867" s="10"/>
      <c r="AN867" s="10"/>
      <c r="AO867" s="10"/>
      <c r="AP867" s="10"/>
      <c r="AQ867" s="10"/>
      <c r="AR867" s="10"/>
      <c r="AS867" s="10"/>
      <c r="AT867" s="10"/>
      <c r="AU867" s="10"/>
      <c r="AV867" s="10"/>
      <c r="AW867" s="10"/>
      <c r="AX867" s="10"/>
      <c r="AY867" s="10"/>
      <c r="AZ867" s="10"/>
      <c r="BA867" s="10"/>
    </row>
    <row r="868" spans="1:53" x14ac:dyDescent="0.25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  <c r="AI868" s="10"/>
      <c r="AJ868" s="10"/>
      <c r="AK868" s="10"/>
      <c r="AL868" s="10"/>
      <c r="AM868" s="10"/>
      <c r="AN868" s="10"/>
      <c r="AO868" s="10"/>
      <c r="AP868" s="10"/>
      <c r="AQ868" s="10"/>
      <c r="AR868" s="10"/>
      <c r="AS868" s="10"/>
      <c r="AT868" s="10"/>
      <c r="AU868" s="10"/>
      <c r="AV868" s="10"/>
      <c r="AW868" s="10"/>
      <c r="AX868" s="10"/>
      <c r="AY868" s="10"/>
      <c r="AZ868" s="10"/>
      <c r="BA868" s="10"/>
    </row>
    <row r="869" spans="1:53" x14ac:dyDescent="0.25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0"/>
      <c r="AH869" s="10"/>
      <c r="AI869" s="10"/>
      <c r="AJ869" s="10"/>
      <c r="AK869" s="10"/>
      <c r="AL869" s="10"/>
      <c r="AM869" s="10"/>
      <c r="AN869" s="10"/>
      <c r="AO869" s="10"/>
      <c r="AP869" s="10"/>
      <c r="AQ869" s="10"/>
      <c r="AR869" s="10"/>
      <c r="AS869" s="10"/>
      <c r="AT869" s="10"/>
      <c r="AU869" s="10"/>
      <c r="AV869" s="10"/>
      <c r="AW869" s="10"/>
      <c r="AX869" s="10"/>
      <c r="AY869" s="10"/>
      <c r="AZ869" s="10"/>
      <c r="BA869" s="10"/>
    </row>
    <row r="870" spans="1:53" x14ac:dyDescent="0.25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0"/>
      <c r="AH870" s="10"/>
      <c r="AI870" s="10"/>
      <c r="AJ870" s="10"/>
      <c r="AK870" s="10"/>
      <c r="AL870" s="10"/>
      <c r="AM870" s="10"/>
      <c r="AN870" s="10"/>
      <c r="AO870" s="10"/>
      <c r="AP870" s="10"/>
      <c r="AQ870" s="10"/>
      <c r="AR870" s="10"/>
      <c r="AS870" s="10"/>
      <c r="AT870" s="10"/>
      <c r="AU870" s="10"/>
      <c r="AV870" s="10"/>
      <c r="AW870" s="10"/>
      <c r="AX870" s="10"/>
      <c r="AY870" s="10"/>
      <c r="AZ870" s="10"/>
      <c r="BA870" s="10"/>
    </row>
    <row r="871" spans="1:53" x14ac:dyDescent="0.25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0"/>
      <c r="AH871" s="10"/>
      <c r="AI871" s="10"/>
      <c r="AJ871" s="10"/>
      <c r="AK871" s="10"/>
      <c r="AL871" s="10"/>
      <c r="AM871" s="10"/>
      <c r="AN871" s="10"/>
      <c r="AO871" s="10"/>
      <c r="AP871" s="10"/>
      <c r="AQ871" s="10"/>
      <c r="AR871" s="10"/>
      <c r="AS871" s="10"/>
      <c r="AT871" s="10"/>
      <c r="AU871" s="10"/>
      <c r="AV871" s="10"/>
      <c r="AW871" s="10"/>
      <c r="AX871" s="10"/>
      <c r="AY871" s="10"/>
      <c r="AZ871" s="10"/>
      <c r="BA871" s="10"/>
    </row>
    <row r="872" spans="1:53" x14ac:dyDescent="0.25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0"/>
      <c r="AH872" s="10"/>
      <c r="AI872" s="10"/>
      <c r="AJ872" s="10"/>
      <c r="AK872" s="10"/>
      <c r="AL872" s="10"/>
      <c r="AM872" s="10"/>
      <c r="AN872" s="10"/>
      <c r="AO872" s="10"/>
      <c r="AP872" s="10"/>
      <c r="AQ872" s="10"/>
      <c r="AR872" s="10"/>
      <c r="AS872" s="10"/>
      <c r="AT872" s="10"/>
      <c r="AU872" s="10"/>
      <c r="AV872" s="10"/>
      <c r="AW872" s="10"/>
      <c r="AX872" s="10"/>
      <c r="AY872" s="10"/>
      <c r="AZ872" s="10"/>
      <c r="BA872" s="10"/>
    </row>
    <row r="873" spans="1:53" x14ac:dyDescent="0.25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0"/>
      <c r="AH873" s="10"/>
      <c r="AI873" s="10"/>
      <c r="AJ873" s="10"/>
      <c r="AK873" s="10"/>
      <c r="AL873" s="10"/>
      <c r="AM873" s="10"/>
      <c r="AN873" s="10"/>
      <c r="AO873" s="10"/>
      <c r="AP873" s="10"/>
      <c r="AQ873" s="10"/>
      <c r="AR873" s="10"/>
      <c r="AS873" s="10"/>
      <c r="AT873" s="10"/>
      <c r="AU873" s="10"/>
      <c r="AV873" s="10"/>
      <c r="AW873" s="10"/>
      <c r="AX873" s="10"/>
      <c r="AY873" s="10"/>
      <c r="AZ873" s="10"/>
      <c r="BA873" s="10"/>
    </row>
    <row r="874" spans="1:53" x14ac:dyDescent="0.25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0"/>
      <c r="AH874" s="10"/>
      <c r="AI874" s="10"/>
      <c r="AJ874" s="10"/>
      <c r="AK874" s="10"/>
      <c r="AL874" s="10"/>
      <c r="AM874" s="10"/>
      <c r="AN874" s="10"/>
      <c r="AO874" s="10"/>
      <c r="AP874" s="10"/>
      <c r="AQ874" s="10"/>
      <c r="AR874" s="10"/>
      <c r="AS874" s="10"/>
      <c r="AT874" s="10"/>
      <c r="AU874" s="10"/>
      <c r="AV874" s="10"/>
      <c r="AW874" s="10"/>
      <c r="AX874" s="10"/>
      <c r="AY874" s="10"/>
      <c r="AZ874" s="10"/>
      <c r="BA874" s="10"/>
    </row>
    <row r="875" spans="1:53" x14ac:dyDescent="0.25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0"/>
      <c r="AH875" s="10"/>
      <c r="AI875" s="10"/>
      <c r="AJ875" s="10"/>
      <c r="AK875" s="10"/>
      <c r="AL875" s="10"/>
      <c r="AM875" s="10"/>
      <c r="AN875" s="10"/>
      <c r="AO875" s="10"/>
      <c r="AP875" s="10"/>
      <c r="AQ875" s="10"/>
      <c r="AR875" s="10"/>
      <c r="AS875" s="10"/>
      <c r="AT875" s="10"/>
      <c r="AU875" s="10"/>
      <c r="AV875" s="10"/>
      <c r="AW875" s="10"/>
      <c r="AX875" s="10"/>
      <c r="AY875" s="10"/>
      <c r="AZ875" s="10"/>
      <c r="BA875" s="10"/>
    </row>
    <row r="876" spans="1:53" x14ac:dyDescent="0.25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0"/>
      <c r="AH876" s="10"/>
      <c r="AI876" s="10"/>
      <c r="AJ876" s="10"/>
      <c r="AK876" s="10"/>
      <c r="AL876" s="10"/>
      <c r="AM876" s="10"/>
      <c r="AN876" s="10"/>
      <c r="AO876" s="10"/>
      <c r="AP876" s="10"/>
      <c r="AQ876" s="10"/>
      <c r="AR876" s="10"/>
      <c r="AS876" s="10"/>
      <c r="AT876" s="10"/>
      <c r="AU876" s="10"/>
      <c r="AV876" s="10"/>
      <c r="AW876" s="10"/>
      <c r="AX876" s="10"/>
      <c r="AY876" s="10"/>
      <c r="AZ876" s="10"/>
      <c r="BA876" s="10"/>
    </row>
    <row r="877" spans="1:53" x14ac:dyDescent="0.25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0"/>
      <c r="AH877" s="10"/>
      <c r="AI877" s="10"/>
      <c r="AJ877" s="10"/>
      <c r="AK877" s="10"/>
      <c r="AL877" s="10"/>
      <c r="AM877" s="10"/>
      <c r="AN877" s="10"/>
      <c r="AO877" s="10"/>
      <c r="AP877" s="10"/>
      <c r="AQ877" s="10"/>
      <c r="AR877" s="10"/>
      <c r="AS877" s="10"/>
      <c r="AT877" s="10"/>
      <c r="AU877" s="10"/>
      <c r="AV877" s="10"/>
      <c r="AW877" s="10"/>
      <c r="AX877" s="10"/>
      <c r="AY877" s="10"/>
      <c r="AZ877" s="10"/>
      <c r="BA877" s="10"/>
    </row>
    <row r="878" spans="1:53" x14ac:dyDescent="0.25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0"/>
      <c r="AH878" s="10"/>
      <c r="AI878" s="10"/>
      <c r="AJ878" s="10"/>
      <c r="AK878" s="10"/>
      <c r="AL878" s="10"/>
      <c r="AM878" s="10"/>
      <c r="AN878" s="10"/>
      <c r="AO878" s="10"/>
      <c r="AP878" s="10"/>
      <c r="AQ878" s="10"/>
      <c r="AR878" s="10"/>
      <c r="AS878" s="10"/>
      <c r="AT878" s="10"/>
      <c r="AU878" s="10"/>
      <c r="AV878" s="10"/>
      <c r="AW878" s="10"/>
      <c r="AX878" s="10"/>
      <c r="AY878" s="10"/>
      <c r="AZ878" s="10"/>
      <c r="BA878" s="10"/>
    </row>
    <row r="879" spans="1:53" x14ac:dyDescent="0.25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0"/>
      <c r="AH879" s="10"/>
      <c r="AI879" s="10"/>
      <c r="AJ879" s="10"/>
      <c r="AK879" s="10"/>
      <c r="AL879" s="10"/>
      <c r="AM879" s="10"/>
      <c r="AN879" s="10"/>
      <c r="AO879" s="10"/>
      <c r="AP879" s="10"/>
      <c r="AQ879" s="10"/>
      <c r="AR879" s="10"/>
      <c r="AS879" s="10"/>
      <c r="AT879" s="10"/>
      <c r="AU879" s="10"/>
      <c r="AV879" s="10"/>
      <c r="AW879" s="10"/>
      <c r="AX879" s="10"/>
      <c r="AY879" s="10"/>
      <c r="AZ879" s="10"/>
      <c r="BA879" s="10"/>
    </row>
    <row r="880" spans="1:53" x14ac:dyDescent="0.25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0"/>
      <c r="AH880" s="10"/>
      <c r="AI880" s="10"/>
      <c r="AJ880" s="10"/>
      <c r="AK880" s="10"/>
      <c r="AL880" s="10"/>
      <c r="AM880" s="10"/>
      <c r="AN880" s="10"/>
      <c r="AO880" s="10"/>
      <c r="AP880" s="10"/>
      <c r="AQ880" s="10"/>
      <c r="AR880" s="10"/>
      <c r="AS880" s="10"/>
      <c r="AT880" s="10"/>
      <c r="AU880" s="10"/>
      <c r="AV880" s="10"/>
      <c r="AW880" s="10"/>
      <c r="AX880" s="10"/>
      <c r="AY880" s="10"/>
      <c r="AZ880" s="10"/>
      <c r="BA880" s="10"/>
    </row>
    <row r="881" spans="1:53" x14ac:dyDescent="0.25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0"/>
      <c r="AH881" s="10"/>
      <c r="AI881" s="10"/>
      <c r="AJ881" s="10"/>
      <c r="AK881" s="10"/>
      <c r="AL881" s="10"/>
      <c r="AM881" s="10"/>
      <c r="AN881" s="10"/>
      <c r="AO881" s="10"/>
      <c r="AP881" s="10"/>
      <c r="AQ881" s="10"/>
      <c r="AR881" s="10"/>
      <c r="AS881" s="10"/>
      <c r="AT881" s="10"/>
      <c r="AU881" s="10"/>
      <c r="AV881" s="10"/>
      <c r="AW881" s="10"/>
      <c r="AX881" s="10"/>
      <c r="AY881" s="10"/>
      <c r="AZ881" s="10"/>
      <c r="BA881" s="10"/>
    </row>
    <row r="882" spans="1:53" x14ac:dyDescent="0.25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0"/>
      <c r="AH882" s="10"/>
      <c r="AI882" s="10"/>
      <c r="AJ882" s="10"/>
      <c r="AK882" s="10"/>
      <c r="AL882" s="10"/>
      <c r="AM882" s="10"/>
      <c r="AN882" s="10"/>
      <c r="AO882" s="10"/>
      <c r="AP882" s="10"/>
      <c r="AQ882" s="10"/>
      <c r="AR882" s="10"/>
      <c r="AS882" s="10"/>
      <c r="AT882" s="10"/>
      <c r="AU882" s="10"/>
      <c r="AV882" s="10"/>
      <c r="AW882" s="10"/>
      <c r="AX882" s="10"/>
      <c r="AY882" s="10"/>
      <c r="AZ882" s="10"/>
      <c r="BA882" s="10"/>
    </row>
    <row r="883" spans="1:53" x14ac:dyDescent="0.25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0"/>
      <c r="AH883" s="10"/>
      <c r="AI883" s="10"/>
      <c r="AJ883" s="10"/>
      <c r="AK883" s="10"/>
      <c r="AL883" s="10"/>
      <c r="AM883" s="10"/>
      <c r="AN883" s="10"/>
      <c r="AO883" s="10"/>
      <c r="AP883" s="10"/>
      <c r="AQ883" s="10"/>
      <c r="AR883" s="10"/>
      <c r="AS883" s="10"/>
      <c r="AT883" s="10"/>
      <c r="AU883" s="10"/>
      <c r="AV883" s="10"/>
      <c r="AW883" s="10"/>
      <c r="AX883" s="10"/>
      <c r="AY883" s="10"/>
      <c r="AZ883" s="10"/>
      <c r="BA883" s="10"/>
    </row>
    <row r="884" spans="1:53" x14ac:dyDescent="0.25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0"/>
      <c r="AH884" s="10"/>
      <c r="AI884" s="10"/>
      <c r="AJ884" s="10"/>
      <c r="AK884" s="10"/>
      <c r="AL884" s="10"/>
      <c r="AM884" s="10"/>
      <c r="AN884" s="10"/>
      <c r="AO884" s="10"/>
      <c r="AP884" s="10"/>
      <c r="AQ884" s="10"/>
      <c r="AR884" s="10"/>
      <c r="AS884" s="10"/>
      <c r="AT884" s="10"/>
      <c r="AU884" s="10"/>
      <c r="AV884" s="10"/>
      <c r="AW884" s="10"/>
      <c r="AX884" s="10"/>
      <c r="AY884" s="10"/>
      <c r="AZ884" s="10"/>
      <c r="BA884" s="10"/>
    </row>
    <row r="885" spans="1:53" x14ac:dyDescent="0.25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0"/>
      <c r="AH885" s="10"/>
      <c r="AI885" s="10"/>
      <c r="AJ885" s="10"/>
      <c r="AK885" s="10"/>
      <c r="AL885" s="10"/>
      <c r="AM885" s="10"/>
      <c r="AN885" s="10"/>
      <c r="AO885" s="10"/>
      <c r="AP885" s="10"/>
      <c r="AQ885" s="10"/>
      <c r="AR885" s="10"/>
      <c r="AS885" s="10"/>
      <c r="AT885" s="10"/>
      <c r="AU885" s="10"/>
      <c r="AV885" s="10"/>
      <c r="AW885" s="10"/>
      <c r="AX885" s="10"/>
      <c r="AY885" s="10"/>
      <c r="AZ885" s="10"/>
      <c r="BA885" s="10"/>
    </row>
    <row r="886" spans="1:53" x14ac:dyDescent="0.25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0"/>
      <c r="AH886" s="10"/>
      <c r="AI886" s="10"/>
      <c r="AJ886" s="10"/>
      <c r="AK886" s="10"/>
      <c r="AL886" s="10"/>
      <c r="AM886" s="10"/>
      <c r="AN886" s="10"/>
      <c r="AO886" s="10"/>
      <c r="AP886" s="10"/>
      <c r="AQ886" s="10"/>
      <c r="AR886" s="10"/>
      <c r="AS886" s="10"/>
      <c r="AT886" s="10"/>
      <c r="AU886" s="10"/>
      <c r="AV886" s="10"/>
      <c r="AW886" s="10"/>
      <c r="AX886" s="10"/>
      <c r="AY886" s="10"/>
      <c r="AZ886" s="10"/>
      <c r="BA886" s="10"/>
    </row>
    <row r="887" spans="1:53" x14ac:dyDescent="0.25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0"/>
      <c r="AH887" s="10"/>
      <c r="AI887" s="10"/>
      <c r="AJ887" s="10"/>
      <c r="AK887" s="10"/>
      <c r="AL887" s="10"/>
      <c r="AM887" s="10"/>
      <c r="AN887" s="10"/>
      <c r="AO887" s="10"/>
      <c r="AP887" s="10"/>
      <c r="AQ887" s="10"/>
      <c r="AR887" s="10"/>
      <c r="AS887" s="10"/>
      <c r="AT887" s="10"/>
      <c r="AU887" s="10"/>
      <c r="AV887" s="10"/>
      <c r="AW887" s="10"/>
      <c r="AX887" s="10"/>
      <c r="AY887" s="10"/>
      <c r="AZ887" s="10"/>
      <c r="BA887" s="10"/>
    </row>
    <row r="888" spans="1:53" x14ac:dyDescent="0.25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0"/>
      <c r="AH888" s="10"/>
      <c r="AI888" s="10"/>
      <c r="AJ888" s="10"/>
      <c r="AK888" s="10"/>
      <c r="AL888" s="10"/>
      <c r="AM888" s="10"/>
      <c r="AN888" s="10"/>
      <c r="AO888" s="10"/>
      <c r="AP888" s="10"/>
      <c r="AQ888" s="10"/>
      <c r="AR888" s="10"/>
      <c r="AS888" s="10"/>
      <c r="AT888" s="10"/>
      <c r="AU888" s="10"/>
      <c r="AV888" s="10"/>
      <c r="AW888" s="10"/>
      <c r="AX888" s="10"/>
      <c r="AY888" s="10"/>
      <c r="AZ888" s="10"/>
      <c r="BA888" s="10"/>
    </row>
    <row r="889" spans="1:53" x14ac:dyDescent="0.25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  <c r="AG889" s="10"/>
      <c r="AH889" s="10"/>
      <c r="AI889" s="10"/>
      <c r="AJ889" s="10"/>
      <c r="AK889" s="10"/>
      <c r="AL889" s="10"/>
      <c r="AM889" s="10"/>
      <c r="AN889" s="10"/>
      <c r="AO889" s="10"/>
      <c r="AP889" s="10"/>
      <c r="AQ889" s="10"/>
      <c r="AR889" s="10"/>
      <c r="AS889" s="10"/>
      <c r="AT889" s="10"/>
      <c r="AU889" s="10"/>
      <c r="AV889" s="10"/>
      <c r="AW889" s="10"/>
      <c r="AX889" s="10"/>
      <c r="AY889" s="10"/>
      <c r="AZ889" s="10"/>
      <c r="BA889" s="10"/>
    </row>
    <row r="890" spans="1:53" x14ac:dyDescent="0.25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0"/>
      <c r="AH890" s="10"/>
      <c r="AI890" s="10"/>
      <c r="AJ890" s="10"/>
      <c r="AK890" s="10"/>
      <c r="AL890" s="10"/>
      <c r="AM890" s="10"/>
      <c r="AN890" s="10"/>
      <c r="AO890" s="10"/>
      <c r="AP890" s="10"/>
      <c r="AQ890" s="10"/>
      <c r="AR890" s="10"/>
      <c r="AS890" s="10"/>
      <c r="AT890" s="10"/>
      <c r="AU890" s="10"/>
      <c r="AV890" s="10"/>
      <c r="AW890" s="10"/>
      <c r="AX890" s="10"/>
      <c r="AY890" s="10"/>
      <c r="AZ890" s="10"/>
      <c r="BA890" s="10"/>
    </row>
    <row r="891" spans="1:53" x14ac:dyDescent="0.25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  <c r="AG891" s="10"/>
      <c r="AH891" s="10"/>
      <c r="AI891" s="10"/>
      <c r="AJ891" s="10"/>
      <c r="AK891" s="10"/>
      <c r="AL891" s="10"/>
      <c r="AM891" s="10"/>
      <c r="AN891" s="10"/>
      <c r="AO891" s="10"/>
      <c r="AP891" s="10"/>
      <c r="AQ891" s="10"/>
      <c r="AR891" s="10"/>
      <c r="AS891" s="10"/>
      <c r="AT891" s="10"/>
      <c r="AU891" s="10"/>
      <c r="AV891" s="10"/>
      <c r="AW891" s="10"/>
      <c r="AX891" s="10"/>
      <c r="AY891" s="10"/>
      <c r="AZ891" s="10"/>
      <c r="BA891" s="10"/>
    </row>
    <row r="892" spans="1:53" x14ac:dyDescent="0.25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0"/>
      <c r="AH892" s="10"/>
      <c r="AI892" s="10"/>
      <c r="AJ892" s="10"/>
      <c r="AK892" s="10"/>
      <c r="AL892" s="10"/>
      <c r="AM892" s="10"/>
      <c r="AN892" s="10"/>
      <c r="AO892" s="10"/>
      <c r="AP892" s="10"/>
      <c r="AQ892" s="10"/>
      <c r="AR892" s="10"/>
      <c r="AS892" s="10"/>
      <c r="AT892" s="10"/>
      <c r="AU892" s="10"/>
      <c r="AV892" s="10"/>
      <c r="AW892" s="10"/>
      <c r="AX892" s="10"/>
      <c r="AY892" s="10"/>
      <c r="AZ892" s="10"/>
      <c r="BA892" s="10"/>
    </row>
    <row r="893" spans="1:53" x14ac:dyDescent="0.25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  <c r="AG893" s="10"/>
      <c r="AH893" s="10"/>
      <c r="AI893" s="10"/>
      <c r="AJ893" s="10"/>
      <c r="AK893" s="10"/>
      <c r="AL893" s="10"/>
      <c r="AM893" s="10"/>
      <c r="AN893" s="10"/>
      <c r="AO893" s="10"/>
      <c r="AP893" s="10"/>
      <c r="AQ893" s="10"/>
      <c r="AR893" s="10"/>
      <c r="AS893" s="10"/>
      <c r="AT893" s="10"/>
      <c r="AU893" s="10"/>
      <c r="AV893" s="10"/>
      <c r="AW893" s="10"/>
      <c r="AX893" s="10"/>
      <c r="AY893" s="10"/>
      <c r="AZ893" s="10"/>
      <c r="BA893" s="10"/>
    </row>
    <row r="894" spans="1:53" x14ac:dyDescent="0.25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0"/>
      <c r="AH894" s="10"/>
      <c r="AI894" s="10"/>
      <c r="AJ894" s="10"/>
      <c r="AK894" s="10"/>
      <c r="AL894" s="10"/>
      <c r="AM894" s="10"/>
      <c r="AN894" s="10"/>
      <c r="AO894" s="10"/>
      <c r="AP894" s="10"/>
      <c r="AQ894" s="10"/>
      <c r="AR894" s="10"/>
      <c r="AS894" s="10"/>
      <c r="AT894" s="10"/>
      <c r="AU894" s="10"/>
      <c r="AV894" s="10"/>
      <c r="AW894" s="10"/>
      <c r="AX894" s="10"/>
      <c r="AY894" s="10"/>
      <c r="AZ894" s="10"/>
      <c r="BA894" s="10"/>
    </row>
    <row r="895" spans="1:53" x14ac:dyDescent="0.25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  <c r="AG895" s="10"/>
      <c r="AH895" s="10"/>
      <c r="AI895" s="10"/>
      <c r="AJ895" s="10"/>
      <c r="AK895" s="10"/>
      <c r="AL895" s="10"/>
      <c r="AM895" s="10"/>
      <c r="AN895" s="10"/>
      <c r="AO895" s="10"/>
      <c r="AP895" s="10"/>
      <c r="AQ895" s="10"/>
      <c r="AR895" s="10"/>
      <c r="AS895" s="10"/>
      <c r="AT895" s="10"/>
      <c r="AU895" s="10"/>
      <c r="AV895" s="10"/>
      <c r="AW895" s="10"/>
      <c r="AX895" s="10"/>
      <c r="AY895" s="10"/>
      <c r="AZ895" s="10"/>
      <c r="BA895" s="10"/>
    </row>
    <row r="896" spans="1:53" x14ac:dyDescent="0.25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0"/>
      <c r="AH896" s="10"/>
      <c r="AI896" s="10"/>
      <c r="AJ896" s="10"/>
      <c r="AK896" s="10"/>
      <c r="AL896" s="10"/>
      <c r="AM896" s="10"/>
      <c r="AN896" s="10"/>
      <c r="AO896" s="10"/>
      <c r="AP896" s="10"/>
      <c r="AQ896" s="10"/>
      <c r="AR896" s="10"/>
      <c r="AS896" s="10"/>
      <c r="AT896" s="10"/>
      <c r="AU896" s="10"/>
      <c r="AV896" s="10"/>
      <c r="AW896" s="10"/>
      <c r="AX896" s="10"/>
      <c r="AY896" s="10"/>
      <c r="AZ896" s="10"/>
      <c r="BA896" s="10"/>
    </row>
    <row r="897" spans="1:53" x14ac:dyDescent="0.25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0"/>
      <c r="AH897" s="10"/>
      <c r="AI897" s="10"/>
      <c r="AJ897" s="10"/>
      <c r="AK897" s="10"/>
      <c r="AL897" s="10"/>
      <c r="AM897" s="10"/>
      <c r="AN897" s="10"/>
      <c r="AO897" s="10"/>
      <c r="AP897" s="10"/>
      <c r="AQ897" s="10"/>
      <c r="AR897" s="10"/>
      <c r="AS897" s="10"/>
      <c r="AT897" s="10"/>
      <c r="AU897" s="10"/>
      <c r="AV897" s="10"/>
      <c r="AW897" s="10"/>
      <c r="AX897" s="10"/>
      <c r="AY897" s="10"/>
      <c r="AZ897" s="10"/>
      <c r="BA897" s="10"/>
    </row>
    <row r="898" spans="1:53" x14ac:dyDescent="0.25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0"/>
      <c r="AH898" s="10"/>
      <c r="AI898" s="10"/>
      <c r="AJ898" s="10"/>
      <c r="AK898" s="10"/>
      <c r="AL898" s="10"/>
      <c r="AM898" s="10"/>
      <c r="AN898" s="10"/>
      <c r="AO898" s="10"/>
      <c r="AP898" s="10"/>
      <c r="AQ898" s="10"/>
      <c r="AR898" s="10"/>
      <c r="AS898" s="10"/>
      <c r="AT898" s="10"/>
      <c r="AU898" s="10"/>
      <c r="AV898" s="10"/>
      <c r="AW898" s="10"/>
      <c r="AX898" s="10"/>
      <c r="AY898" s="10"/>
      <c r="AZ898" s="10"/>
      <c r="BA898" s="10"/>
    </row>
    <row r="899" spans="1:53" x14ac:dyDescent="0.25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0"/>
      <c r="AH899" s="10"/>
      <c r="AI899" s="10"/>
      <c r="AJ899" s="10"/>
      <c r="AK899" s="10"/>
      <c r="AL899" s="10"/>
      <c r="AM899" s="10"/>
      <c r="AN899" s="10"/>
      <c r="AO899" s="10"/>
      <c r="AP899" s="10"/>
      <c r="AQ899" s="10"/>
      <c r="AR899" s="10"/>
      <c r="AS899" s="10"/>
      <c r="AT899" s="10"/>
      <c r="AU899" s="10"/>
      <c r="AV899" s="10"/>
      <c r="AW899" s="10"/>
      <c r="AX899" s="10"/>
      <c r="AY899" s="10"/>
      <c r="AZ899" s="10"/>
      <c r="BA899" s="10"/>
    </row>
    <row r="900" spans="1:53" x14ac:dyDescent="0.25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0"/>
      <c r="AH900" s="10"/>
      <c r="AI900" s="10"/>
      <c r="AJ900" s="10"/>
      <c r="AK900" s="10"/>
      <c r="AL900" s="10"/>
      <c r="AM900" s="10"/>
      <c r="AN900" s="10"/>
      <c r="AO900" s="10"/>
      <c r="AP900" s="10"/>
      <c r="AQ900" s="10"/>
      <c r="AR900" s="10"/>
      <c r="AS900" s="10"/>
      <c r="AT900" s="10"/>
      <c r="AU900" s="10"/>
      <c r="AV900" s="10"/>
      <c r="AW900" s="10"/>
      <c r="AX900" s="10"/>
      <c r="AY900" s="10"/>
      <c r="AZ900" s="10"/>
      <c r="BA900" s="10"/>
    </row>
    <row r="901" spans="1:53" x14ac:dyDescent="0.25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0"/>
      <c r="AH901" s="10"/>
      <c r="AI901" s="10"/>
      <c r="AJ901" s="10"/>
      <c r="AK901" s="10"/>
      <c r="AL901" s="10"/>
      <c r="AM901" s="10"/>
      <c r="AN901" s="10"/>
      <c r="AO901" s="10"/>
      <c r="AP901" s="10"/>
      <c r="AQ901" s="10"/>
      <c r="AR901" s="10"/>
      <c r="AS901" s="10"/>
      <c r="AT901" s="10"/>
      <c r="AU901" s="10"/>
      <c r="AV901" s="10"/>
      <c r="AW901" s="10"/>
      <c r="AX901" s="10"/>
      <c r="AY901" s="10"/>
      <c r="AZ901" s="10"/>
      <c r="BA901" s="10"/>
    </row>
    <row r="902" spans="1:53" x14ac:dyDescent="0.25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0"/>
      <c r="AH902" s="10"/>
      <c r="AI902" s="10"/>
      <c r="AJ902" s="10"/>
      <c r="AK902" s="10"/>
      <c r="AL902" s="10"/>
      <c r="AM902" s="10"/>
      <c r="AN902" s="10"/>
      <c r="AO902" s="10"/>
      <c r="AP902" s="10"/>
      <c r="AQ902" s="10"/>
      <c r="AR902" s="10"/>
      <c r="AS902" s="10"/>
      <c r="AT902" s="10"/>
      <c r="AU902" s="10"/>
      <c r="AV902" s="10"/>
      <c r="AW902" s="10"/>
      <c r="AX902" s="10"/>
      <c r="AY902" s="10"/>
      <c r="AZ902" s="10"/>
      <c r="BA902" s="10"/>
    </row>
    <row r="903" spans="1:53" x14ac:dyDescent="0.25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  <c r="AG903" s="10"/>
      <c r="AH903" s="10"/>
      <c r="AI903" s="10"/>
      <c r="AJ903" s="10"/>
      <c r="AK903" s="10"/>
      <c r="AL903" s="10"/>
      <c r="AM903" s="10"/>
      <c r="AN903" s="10"/>
      <c r="AO903" s="10"/>
      <c r="AP903" s="10"/>
      <c r="AQ903" s="10"/>
      <c r="AR903" s="10"/>
      <c r="AS903" s="10"/>
      <c r="AT903" s="10"/>
      <c r="AU903" s="10"/>
      <c r="AV903" s="10"/>
      <c r="AW903" s="10"/>
      <c r="AX903" s="10"/>
      <c r="AY903" s="10"/>
      <c r="AZ903" s="10"/>
      <c r="BA903" s="10"/>
    </row>
    <row r="904" spans="1:53" x14ac:dyDescent="0.25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0"/>
      <c r="AH904" s="10"/>
      <c r="AI904" s="10"/>
      <c r="AJ904" s="10"/>
      <c r="AK904" s="10"/>
      <c r="AL904" s="10"/>
      <c r="AM904" s="10"/>
      <c r="AN904" s="10"/>
      <c r="AO904" s="10"/>
      <c r="AP904" s="10"/>
      <c r="AQ904" s="10"/>
      <c r="AR904" s="10"/>
      <c r="AS904" s="10"/>
      <c r="AT904" s="10"/>
      <c r="AU904" s="10"/>
      <c r="AV904" s="10"/>
      <c r="AW904" s="10"/>
      <c r="AX904" s="10"/>
      <c r="AY904" s="10"/>
      <c r="AZ904" s="10"/>
      <c r="BA904" s="10"/>
    </row>
    <row r="905" spans="1:53" x14ac:dyDescent="0.25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  <c r="AG905" s="10"/>
      <c r="AH905" s="10"/>
      <c r="AI905" s="10"/>
      <c r="AJ905" s="10"/>
      <c r="AK905" s="10"/>
      <c r="AL905" s="10"/>
      <c r="AM905" s="10"/>
      <c r="AN905" s="10"/>
      <c r="AO905" s="10"/>
      <c r="AP905" s="10"/>
      <c r="AQ905" s="10"/>
      <c r="AR905" s="10"/>
      <c r="AS905" s="10"/>
      <c r="AT905" s="10"/>
      <c r="AU905" s="10"/>
      <c r="AV905" s="10"/>
      <c r="AW905" s="10"/>
      <c r="AX905" s="10"/>
      <c r="AY905" s="10"/>
      <c r="AZ905" s="10"/>
      <c r="BA905" s="10"/>
    </row>
    <row r="906" spans="1:53" x14ac:dyDescent="0.25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0"/>
      <c r="AH906" s="10"/>
      <c r="AI906" s="10"/>
      <c r="AJ906" s="10"/>
      <c r="AK906" s="10"/>
      <c r="AL906" s="10"/>
      <c r="AM906" s="10"/>
      <c r="AN906" s="10"/>
      <c r="AO906" s="10"/>
      <c r="AP906" s="10"/>
      <c r="AQ906" s="10"/>
      <c r="AR906" s="10"/>
      <c r="AS906" s="10"/>
      <c r="AT906" s="10"/>
      <c r="AU906" s="10"/>
      <c r="AV906" s="10"/>
      <c r="AW906" s="10"/>
      <c r="AX906" s="10"/>
      <c r="AY906" s="10"/>
      <c r="AZ906" s="10"/>
      <c r="BA906" s="10"/>
    </row>
    <row r="907" spans="1:53" x14ac:dyDescent="0.25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0"/>
      <c r="AH907" s="10"/>
      <c r="AI907" s="10"/>
      <c r="AJ907" s="10"/>
      <c r="AK907" s="10"/>
      <c r="AL907" s="10"/>
      <c r="AM907" s="10"/>
      <c r="AN907" s="10"/>
      <c r="AO907" s="10"/>
      <c r="AP907" s="10"/>
      <c r="AQ907" s="10"/>
      <c r="AR907" s="10"/>
      <c r="AS907" s="10"/>
      <c r="AT907" s="10"/>
      <c r="AU907" s="10"/>
      <c r="AV907" s="10"/>
      <c r="AW907" s="10"/>
      <c r="AX907" s="10"/>
      <c r="AY907" s="10"/>
      <c r="AZ907" s="10"/>
      <c r="BA907" s="10"/>
    </row>
    <row r="908" spans="1:53" x14ac:dyDescent="0.25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0"/>
      <c r="AH908" s="10"/>
      <c r="AI908" s="10"/>
      <c r="AJ908" s="10"/>
      <c r="AK908" s="10"/>
      <c r="AL908" s="10"/>
      <c r="AM908" s="10"/>
      <c r="AN908" s="10"/>
      <c r="AO908" s="10"/>
      <c r="AP908" s="10"/>
      <c r="AQ908" s="10"/>
      <c r="AR908" s="10"/>
      <c r="AS908" s="10"/>
      <c r="AT908" s="10"/>
      <c r="AU908" s="10"/>
      <c r="AV908" s="10"/>
      <c r="AW908" s="10"/>
      <c r="AX908" s="10"/>
      <c r="AY908" s="10"/>
      <c r="AZ908" s="10"/>
      <c r="BA908" s="10"/>
    </row>
    <row r="909" spans="1:53" x14ac:dyDescent="0.25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0"/>
      <c r="AH909" s="10"/>
      <c r="AI909" s="10"/>
      <c r="AJ909" s="10"/>
      <c r="AK909" s="10"/>
      <c r="AL909" s="10"/>
      <c r="AM909" s="10"/>
      <c r="AN909" s="10"/>
      <c r="AO909" s="10"/>
      <c r="AP909" s="10"/>
      <c r="AQ909" s="10"/>
      <c r="AR909" s="10"/>
      <c r="AS909" s="10"/>
      <c r="AT909" s="10"/>
      <c r="AU909" s="10"/>
      <c r="AV909" s="10"/>
      <c r="AW909" s="10"/>
      <c r="AX909" s="10"/>
      <c r="AY909" s="10"/>
      <c r="AZ909" s="10"/>
      <c r="BA909" s="10"/>
    </row>
    <row r="910" spans="1:53" x14ac:dyDescent="0.25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0"/>
      <c r="AH910" s="10"/>
      <c r="AI910" s="10"/>
      <c r="AJ910" s="10"/>
      <c r="AK910" s="10"/>
      <c r="AL910" s="10"/>
      <c r="AM910" s="10"/>
      <c r="AN910" s="10"/>
      <c r="AO910" s="10"/>
      <c r="AP910" s="10"/>
      <c r="AQ910" s="10"/>
      <c r="AR910" s="10"/>
      <c r="AS910" s="10"/>
      <c r="AT910" s="10"/>
      <c r="AU910" s="10"/>
      <c r="AV910" s="10"/>
      <c r="AW910" s="10"/>
      <c r="AX910" s="10"/>
      <c r="AY910" s="10"/>
      <c r="AZ910" s="10"/>
      <c r="BA910" s="10"/>
    </row>
    <row r="911" spans="1:53" x14ac:dyDescent="0.25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0"/>
      <c r="AH911" s="10"/>
      <c r="AI911" s="10"/>
      <c r="AJ911" s="10"/>
      <c r="AK911" s="10"/>
      <c r="AL911" s="10"/>
      <c r="AM911" s="10"/>
      <c r="AN911" s="10"/>
      <c r="AO911" s="10"/>
      <c r="AP911" s="10"/>
      <c r="AQ911" s="10"/>
      <c r="AR911" s="10"/>
      <c r="AS911" s="10"/>
      <c r="AT911" s="10"/>
      <c r="AU911" s="10"/>
      <c r="AV911" s="10"/>
      <c r="AW911" s="10"/>
      <c r="AX911" s="10"/>
      <c r="AY911" s="10"/>
      <c r="AZ911" s="10"/>
      <c r="BA911" s="10"/>
    </row>
    <row r="912" spans="1:53" x14ac:dyDescent="0.25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0"/>
      <c r="AH912" s="10"/>
      <c r="AI912" s="10"/>
      <c r="AJ912" s="10"/>
      <c r="AK912" s="10"/>
      <c r="AL912" s="10"/>
      <c r="AM912" s="10"/>
      <c r="AN912" s="10"/>
      <c r="AO912" s="10"/>
      <c r="AP912" s="10"/>
      <c r="AQ912" s="10"/>
      <c r="AR912" s="10"/>
      <c r="AS912" s="10"/>
      <c r="AT912" s="10"/>
      <c r="AU912" s="10"/>
      <c r="AV912" s="10"/>
      <c r="AW912" s="10"/>
      <c r="AX912" s="10"/>
      <c r="AY912" s="10"/>
      <c r="AZ912" s="10"/>
      <c r="BA912" s="10"/>
    </row>
    <row r="913" spans="1:53" x14ac:dyDescent="0.25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0"/>
      <c r="AH913" s="10"/>
      <c r="AI913" s="10"/>
      <c r="AJ913" s="10"/>
      <c r="AK913" s="10"/>
      <c r="AL913" s="10"/>
      <c r="AM913" s="10"/>
      <c r="AN913" s="10"/>
      <c r="AO913" s="10"/>
      <c r="AP913" s="10"/>
      <c r="AQ913" s="10"/>
      <c r="AR913" s="10"/>
      <c r="AS913" s="10"/>
      <c r="AT913" s="10"/>
      <c r="AU913" s="10"/>
      <c r="AV913" s="10"/>
      <c r="AW913" s="10"/>
      <c r="AX913" s="10"/>
      <c r="AY913" s="10"/>
      <c r="AZ913" s="10"/>
      <c r="BA913" s="10"/>
    </row>
    <row r="914" spans="1:53" x14ac:dyDescent="0.25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0"/>
      <c r="AH914" s="10"/>
      <c r="AI914" s="10"/>
      <c r="AJ914" s="10"/>
      <c r="AK914" s="10"/>
      <c r="AL914" s="10"/>
      <c r="AM914" s="10"/>
      <c r="AN914" s="10"/>
      <c r="AO914" s="10"/>
      <c r="AP914" s="10"/>
      <c r="AQ914" s="10"/>
      <c r="AR914" s="10"/>
      <c r="AS914" s="10"/>
      <c r="AT914" s="10"/>
      <c r="AU914" s="10"/>
      <c r="AV914" s="10"/>
      <c r="AW914" s="10"/>
      <c r="AX914" s="10"/>
      <c r="AY914" s="10"/>
      <c r="AZ914" s="10"/>
      <c r="BA914" s="10"/>
    </row>
    <row r="915" spans="1:53" x14ac:dyDescent="0.25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0"/>
      <c r="AH915" s="10"/>
      <c r="AI915" s="10"/>
      <c r="AJ915" s="10"/>
      <c r="AK915" s="10"/>
      <c r="AL915" s="10"/>
      <c r="AM915" s="10"/>
      <c r="AN915" s="10"/>
      <c r="AO915" s="10"/>
      <c r="AP915" s="10"/>
      <c r="AQ915" s="10"/>
      <c r="AR915" s="10"/>
      <c r="AS915" s="10"/>
      <c r="AT915" s="10"/>
      <c r="AU915" s="10"/>
      <c r="AV915" s="10"/>
      <c r="AW915" s="10"/>
      <c r="AX915" s="10"/>
      <c r="AY915" s="10"/>
      <c r="AZ915" s="10"/>
      <c r="BA915" s="10"/>
    </row>
    <row r="916" spans="1:53" x14ac:dyDescent="0.25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0"/>
      <c r="AH916" s="10"/>
      <c r="AI916" s="10"/>
      <c r="AJ916" s="10"/>
      <c r="AK916" s="10"/>
      <c r="AL916" s="10"/>
      <c r="AM916" s="10"/>
      <c r="AN916" s="10"/>
      <c r="AO916" s="10"/>
      <c r="AP916" s="10"/>
      <c r="AQ916" s="10"/>
      <c r="AR916" s="10"/>
      <c r="AS916" s="10"/>
      <c r="AT916" s="10"/>
      <c r="AU916" s="10"/>
      <c r="AV916" s="10"/>
      <c r="AW916" s="10"/>
      <c r="AX916" s="10"/>
      <c r="AY916" s="10"/>
      <c r="AZ916" s="10"/>
      <c r="BA916" s="10"/>
    </row>
    <row r="917" spans="1:53" x14ac:dyDescent="0.25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  <c r="AG917" s="10"/>
      <c r="AH917" s="10"/>
      <c r="AI917" s="10"/>
      <c r="AJ917" s="10"/>
      <c r="AK917" s="10"/>
      <c r="AL917" s="10"/>
      <c r="AM917" s="10"/>
      <c r="AN917" s="10"/>
      <c r="AO917" s="10"/>
      <c r="AP917" s="10"/>
      <c r="AQ917" s="10"/>
      <c r="AR917" s="10"/>
      <c r="AS917" s="10"/>
      <c r="AT917" s="10"/>
      <c r="AU917" s="10"/>
      <c r="AV917" s="10"/>
      <c r="AW917" s="10"/>
      <c r="AX917" s="10"/>
      <c r="AY917" s="10"/>
      <c r="AZ917" s="10"/>
      <c r="BA917" s="10"/>
    </row>
    <row r="918" spans="1:53" x14ac:dyDescent="0.25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0"/>
      <c r="AH918" s="10"/>
      <c r="AI918" s="10"/>
      <c r="AJ918" s="10"/>
      <c r="AK918" s="10"/>
      <c r="AL918" s="10"/>
      <c r="AM918" s="10"/>
      <c r="AN918" s="10"/>
      <c r="AO918" s="10"/>
      <c r="AP918" s="10"/>
      <c r="AQ918" s="10"/>
      <c r="AR918" s="10"/>
      <c r="AS918" s="10"/>
      <c r="AT918" s="10"/>
      <c r="AU918" s="10"/>
      <c r="AV918" s="10"/>
      <c r="AW918" s="10"/>
      <c r="AX918" s="10"/>
      <c r="AY918" s="10"/>
      <c r="AZ918" s="10"/>
      <c r="BA918" s="10"/>
    </row>
    <row r="919" spans="1:53" x14ac:dyDescent="0.25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0"/>
      <c r="AH919" s="10"/>
      <c r="AI919" s="10"/>
      <c r="AJ919" s="10"/>
      <c r="AK919" s="10"/>
      <c r="AL919" s="10"/>
      <c r="AM919" s="10"/>
      <c r="AN919" s="10"/>
      <c r="AO919" s="10"/>
      <c r="AP919" s="10"/>
      <c r="AQ919" s="10"/>
      <c r="AR919" s="10"/>
      <c r="AS919" s="10"/>
      <c r="AT919" s="10"/>
      <c r="AU919" s="10"/>
      <c r="AV919" s="10"/>
      <c r="AW919" s="10"/>
      <c r="AX919" s="10"/>
      <c r="AY919" s="10"/>
      <c r="AZ919" s="10"/>
      <c r="BA919" s="10"/>
    </row>
    <row r="920" spans="1:53" x14ac:dyDescent="0.25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0"/>
      <c r="AH920" s="10"/>
      <c r="AI920" s="10"/>
      <c r="AJ920" s="10"/>
      <c r="AK920" s="10"/>
      <c r="AL920" s="10"/>
      <c r="AM920" s="10"/>
      <c r="AN920" s="10"/>
      <c r="AO920" s="10"/>
      <c r="AP920" s="10"/>
      <c r="AQ920" s="10"/>
      <c r="AR920" s="10"/>
      <c r="AS920" s="10"/>
      <c r="AT920" s="10"/>
      <c r="AU920" s="10"/>
      <c r="AV920" s="10"/>
      <c r="AW920" s="10"/>
      <c r="AX920" s="10"/>
      <c r="AY920" s="10"/>
      <c r="AZ920" s="10"/>
      <c r="BA920" s="10"/>
    </row>
    <row r="921" spans="1:53" x14ac:dyDescent="0.25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0"/>
      <c r="AH921" s="10"/>
      <c r="AI921" s="10"/>
      <c r="AJ921" s="10"/>
      <c r="AK921" s="10"/>
      <c r="AL921" s="10"/>
      <c r="AM921" s="10"/>
      <c r="AN921" s="10"/>
      <c r="AO921" s="10"/>
      <c r="AP921" s="10"/>
      <c r="AQ921" s="10"/>
      <c r="AR921" s="10"/>
      <c r="AS921" s="10"/>
      <c r="AT921" s="10"/>
      <c r="AU921" s="10"/>
      <c r="AV921" s="10"/>
      <c r="AW921" s="10"/>
      <c r="AX921" s="10"/>
      <c r="AY921" s="10"/>
      <c r="AZ921" s="10"/>
      <c r="BA921" s="10"/>
    </row>
    <row r="922" spans="1:53" x14ac:dyDescent="0.25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0"/>
      <c r="AH922" s="10"/>
      <c r="AI922" s="10"/>
      <c r="AJ922" s="10"/>
      <c r="AK922" s="10"/>
      <c r="AL922" s="10"/>
      <c r="AM922" s="10"/>
      <c r="AN922" s="10"/>
      <c r="AO922" s="10"/>
      <c r="AP922" s="10"/>
      <c r="AQ922" s="10"/>
      <c r="AR922" s="10"/>
      <c r="AS922" s="10"/>
      <c r="AT922" s="10"/>
      <c r="AU922" s="10"/>
      <c r="AV922" s="10"/>
      <c r="AW922" s="10"/>
      <c r="AX922" s="10"/>
      <c r="AY922" s="10"/>
      <c r="AZ922" s="10"/>
      <c r="BA922" s="10"/>
    </row>
    <row r="923" spans="1:53" x14ac:dyDescent="0.25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0"/>
      <c r="AH923" s="10"/>
      <c r="AI923" s="10"/>
      <c r="AJ923" s="10"/>
      <c r="AK923" s="10"/>
      <c r="AL923" s="10"/>
      <c r="AM923" s="10"/>
      <c r="AN923" s="10"/>
      <c r="AO923" s="10"/>
      <c r="AP923" s="10"/>
      <c r="AQ923" s="10"/>
      <c r="AR923" s="10"/>
      <c r="AS923" s="10"/>
      <c r="AT923" s="10"/>
      <c r="AU923" s="10"/>
      <c r="AV923" s="10"/>
      <c r="AW923" s="10"/>
      <c r="AX923" s="10"/>
      <c r="AY923" s="10"/>
      <c r="AZ923" s="10"/>
      <c r="BA923" s="10"/>
    </row>
    <row r="924" spans="1:53" x14ac:dyDescent="0.25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0"/>
      <c r="AH924" s="10"/>
      <c r="AI924" s="10"/>
      <c r="AJ924" s="10"/>
      <c r="AK924" s="10"/>
      <c r="AL924" s="10"/>
      <c r="AM924" s="10"/>
      <c r="AN924" s="10"/>
      <c r="AO924" s="10"/>
      <c r="AP924" s="10"/>
      <c r="AQ924" s="10"/>
      <c r="AR924" s="10"/>
      <c r="AS924" s="10"/>
      <c r="AT924" s="10"/>
      <c r="AU924" s="10"/>
      <c r="AV924" s="10"/>
      <c r="AW924" s="10"/>
      <c r="AX924" s="10"/>
      <c r="AY924" s="10"/>
      <c r="AZ924" s="10"/>
      <c r="BA924" s="10"/>
    </row>
    <row r="925" spans="1:53" x14ac:dyDescent="0.25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0"/>
      <c r="AH925" s="10"/>
      <c r="AI925" s="10"/>
      <c r="AJ925" s="10"/>
      <c r="AK925" s="10"/>
      <c r="AL925" s="10"/>
      <c r="AM925" s="10"/>
      <c r="AN925" s="10"/>
      <c r="AO925" s="10"/>
      <c r="AP925" s="10"/>
      <c r="AQ925" s="10"/>
      <c r="AR925" s="10"/>
      <c r="AS925" s="10"/>
      <c r="AT925" s="10"/>
      <c r="AU925" s="10"/>
      <c r="AV925" s="10"/>
      <c r="AW925" s="10"/>
      <c r="AX925" s="10"/>
      <c r="AY925" s="10"/>
      <c r="AZ925" s="10"/>
      <c r="BA925" s="10"/>
    </row>
    <row r="926" spans="1:53" x14ac:dyDescent="0.25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0"/>
      <c r="AH926" s="10"/>
      <c r="AI926" s="10"/>
      <c r="AJ926" s="10"/>
      <c r="AK926" s="10"/>
      <c r="AL926" s="10"/>
      <c r="AM926" s="10"/>
      <c r="AN926" s="10"/>
      <c r="AO926" s="10"/>
      <c r="AP926" s="10"/>
      <c r="AQ926" s="10"/>
      <c r="AR926" s="10"/>
      <c r="AS926" s="10"/>
      <c r="AT926" s="10"/>
      <c r="AU926" s="10"/>
      <c r="AV926" s="10"/>
      <c r="AW926" s="10"/>
      <c r="AX926" s="10"/>
      <c r="AY926" s="10"/>
      <c r="AZ926" s="10"/>
      <c r="BA926" s="10"/>
    </row>
    <row r="927" spans="1:53" x14ac:dyDescent="0.25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  <c r="AG927" s="10"/>
      <c r="AH927" s="10"/>
      <c r="AI927" s="10"/>
      <c r="AJ927" s="10"/>
      <c r="AK927" s="10"/>
      <c r="AL927" s="10"/>
      <c r="AM927" s="10"/>
      <c r="AN927" s="10"/>
      <c r="AO927" s="10"/>
      <c r="AP927" s="10"/>
      <c r="AQ927" s="10"/>
      <c r="AR927" s="10"/>
      <c r="AS927" s="10"/>
      <c r="AT927" s="10"/>
      <c r="AU927" s="10"/>
      <c r="AV927" s="10"/>
      <c r="AW927" s="10"/>
      <c r="AX927" s="10"/>
      <c r="AY927" s="10"/>
      <c r="AZ927" s="10"/>
      <c r="BA927" s="10"/>
    </row>
    <row r="928" spans="1:53" x14ac:dyDescent="0.25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  <c r="AG928" s="10"/>
      <c r="AH928" s="10"/>
      <c r="AI928" s="10"/>
      <c r="AJ928" s="10"/>
      <c r="AK928" s="10"/>
      <c r="AL928" s="10"/>
      <c r="AM928" s="10"/>
      <c r="AN928" s="10"/>
      <c r="AO928" s="10"/>
      <c r="AP928" s="10"/>
      <c r="AQ928" s="10"/>
      <c r="AR928" s="10"/>
      <c r="AS928" s="10"/>
      <c r="AT928" s="10"/>
      <c r="AU928" s="10"/>
      <c r="AV928" s="10"/>
      <c r="AW928" s="10"/>
      <c r="AX928" s="10"/>
      <c r="AY928" s="10"/>
      <c r="AZ928" s="10"/>
      <c r="BA928" s="10"/>
    </row>
    <row r="929" spans="1:53" x14ac:dyDescent="0.25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  <c r="AG929" s="10"/>
      <c r="AH929" s="10"/>
      <c r="AI929" s="10"/>
      <c r="AJ929" s="10"/>
      <c r="AK929" s="10"/>
      <c r="AL929" s="10"/>
      <c r="AM929" s="10"/>
      <c r="AN929" s="10"/>
      <c r="AO929" s="10"/>
      <c r="AP929" s="10"/>
      <c r="AQ929" s="10"/>
      <c r="AR929" s="10"/>
      <c r="AS929" s="10"/>
      <c r="AT929" s="10"/>
      <c r="AU929" s="10"/>
      <c r="AV929" s="10"/>
      <c r="AW929" s="10"/>
      <c r="AX929" s="10"/>
      <c r="AY929" s="10"/>
      <c r="AZ929" s="10"/>
      <c r="BA929" s="10"/>
    </row>
    <row r="930" spans="1:53" x14ac:dyDescent="0.25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  <c r="AG930" s="10"/>
      <c r="AH930" s="10"/>
      <c r="AI930" s="10"/>
      <c r="AJ930" s="10"/>
      <c r="AK930" s="10"/>
      <c r="AL930" s="10"/>
      <c r="AM930" s="10"/>
      <c r="AN930" s="10"/>
      <c r="AO930" s="10"/>
      <c r="AP930" s="10"/>
      <c r="AQ930" s="10"/>
      <c r="AR930" s="10"/>
      <c r="AS930" s="10"/>
      <c r="AT930" s="10"/>
      <c r="AU930" s="10"/>
      <c r="AV930" s="10"/>
      <c r="AW930" s="10"/>
      <c r="AX930" s="10"/>
      <c r="AY930" s="10"/>
      <c r="AZ930" s="10"/>
      <c r="BA930" s="10"/>
    </row>
    <row r="931" spans="1:53" x14ac:dyDescent="0.25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0"/>
      <c r="AH931" s="10"/>
      <c r="AI931" s="10"/>
      <c r="AJ931" s="10"/>
      <c r="AK931" s="10"/>
      <c r="AL931" s="10"/>
      <c r="AM931" s="10"/>
      <c r="AN931" s="10"/>
      <c r="AO931" s="10"/>
      <c r="AP931" s="10"/>
      <c r="AQ931" s="10"/>
      <c r="AR931" s="10"/>
      <c r="AS931" s="10"/>
      <c r="AT931" s="10"/>
      <c r="AU931" s="10"/>
      <c r="AV931" s="10"/>
      <c r="AW931" s="10"/>
      <c r="AX931" s="10"/>
      <c r="AY931" s="10"/>
      <c r="AZ931" s="10"/>
      <c r="BA931" s="10"/>
    </row>
    <row r="932" spans="1:53" x14ac:dyDescent="0.25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0"/>
      <c r="AH932" s="10"/>
      <c r="AI932" s="10"/>
      <c r="AJ932" s="10"/>
      <c r="AK932" s="10"/>
      <c r="AL932" s="10"/>
      <c r="AM932" s="10"/>
      <c r="AN932" s="10"/>
      <c r="AO932" s="10"/>
      <c r="AP932" s="10"/>
      <c r="AQ932" s="10"/>
      <c r="AR932" s="10"/>
      <c r="AS932" s="10"/>
      <c r="AT932" s="10"/>
      <c r="AU932" s="10"/>
      <c r="AV932" s="10"/>
      <c r="AW932" s="10"/>
      <c r="AX932" s="10"/>
      <c r="AY932" s="10"/>
      <c r="AZ932" s="10"/>
      <c r="BA932" s="10"/>
    </row>
    <row r="933" spans="1:53" x14ac:dyDescent="0.25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0"/>
      <c r="AH933" s="10"/>
      <c r="AI933" s="10"/>
      <c r="AJ933" s="10"/>
      <c r="AK933" s="10"/>
      <c r="AL933" s="10"/>
      <c r="AM933" s="10"/>
      <c r="AN933" s="10"/>
      <c r="AO933" s="10"/>
      <c r="AP933" s="10"/>
      <c r="AQ933" s="10"/>
      <c r="AR933" s="10"/>
      <c r="AS933" s="10"/>
      <c r="AT933" s="10"/>
      <c r="AU933" s="10"/>
      <c r="AV933" s="10"/>
      <c r="AW933" s="10"/>
      <c r="AX933" s="10"/>
      <c r="AY933" s="10"/>
      <c r="AZ933" s="10"/>
      <c r="BA933" s="10"/>
    </row>
    <row r="934" spans="1:53" x14ac:dyDescent="0.25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0"/>
      <c r="AH934" s="10"/>
      <c r="AI934" s="10"/>
      <c r="AJ934" s="10"/>
      <c r="AK934" s="10"/>
      <c r="AL934" s="10"/>
      <c r="AM934" s="10"/>
      <c r="AN934" s="10"/>
      <c r="AO934" s="10"/>
      <c r="AP934" s="10"/>
      <c r="AQ934" s="10"/>
      <c r="AR934" s="10"/>
      <c r="AS934" s="10"/>
      <c r="AT934" s="10"/>
      <c r="AU934" s="10"/>
      <c r="AV934" s="10"/>
      <c r="AW934" s="10"/>
      <c r="AX934" s="10"/>
      <c r="AY934" s="10"/>
      <c r="AZ934" s="10"/>
      <c r="BA934" s="10"/>
    </row>
    <row r="935" spans="1:53" x14ac:dyDescent="0.25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  <c r="AG935" s="10"/>
      <c r="AH935" s="10"/>
      <c r="AI935" s="10"/>
      <c r="AJ935" s="10"/>
      <c r="AK935" s="10"/>
      <c r="AL935" s="10"/>
      <c r="AM935" s="10"/>
      <c r="AN935" s="10"/>
      <c r="AO935" s="10"/>
      <c r="AP935" s="10"/>
      <c r="AQ935" s="10"/>
      <c r="AR935" s="10"/>
      <c r="AS935" s="10"/>
      <c r="AT935" s="10"/>
      <c r="AU935" s="10"/>
      <c r="AV935" s="10"/>
      <c r="AW935" s="10"/>
      <c r="AX935" s="10"/>
      <c r="AY935" s="10"/>
      <c r="AZ935" s="10"/>
      <c r="BA935" s="10"/>
    </row>
    <row r="936" spans="1:53" x14ac:dyDescent="0.25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  <c r="AD936" s="10"/>
      <c r="AE936" s="10"/>
      <c r="AF936" s="10"/>
      <c r="AG936" s="10"/>
      <c r="AH936" s="10"/>
      <c r="AI936" s="10"/>
      <c r="AJ936" s="10"/>
      <c r="AK936" s="10"/>
      <c r="AL936" s="10"/>
      <c r="AM936" s="10"/>
      <c r="AN936" s="10"/>
      <c r="AO936" s="10"/>
      <c r="AP936" s="10"/>
      <c r="AQ936" s="10"/>
      <c r="AR936" s="10"/>
      <c r="AS936" s="10"/>
      <c r="AT936" s="10"/>
      <c r="AU936" s="10"/>
      <c r="AV936" s="10"/>
      <c r="AW936" s="10"/>
      <c r="AX936" s="10"/>
      <c r="AY936" s="10"/>
      <c r="AZ936" s="10"/>
      <c r="BA936" s="10"/>
    </row>
    <row r="937" spans="1:53" x14ac:dyDescent="0.25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  <c r="AD937" s="10"/>
      <c r="AE937" s="10"/>
      <c r="AF937" s="10"/>
      <c r="AG937" s="10"/>
      <c r="AH937" s="10"/>
      <c r="AI937" s="10"/>
      <c r="AJ937" s="10"/>
      <c r="AK937" s="10"/>
      <c r="AL937" s="10"/>
      <c r="AM937" s="10"/>
      <c r="AN937" s="10"/>
      <c r="AO937" s="10"/>
      <c r="AP937" s="10"/>
      <c r="AQ937" s="10"/>
      <c r="AR937" s="10"/>
      <c r="AS937" s="10"/>
      <c r="AT937" s="10"/>
      <c r="AU937" s="10"/>
      <c r="AV937" s="10"/>
      <c r="AW937" s="10"/>
      <c r="AX937" s="10"/>
      <c r="AY937" s="10"/>
      <c r="AZ937" s="10"/>
      <c r="BA937" s="10"/>
    </row>
    <row r="938" spans="1:53" x14ac:dyDescent="0.25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  <c r="AG938" s="10"/>
      <c r="AH938" s="10"/>
      <c r="AI938" s="10"/>
      <c r="AJ938" s="10"/>
      <c r="AK938" s="10"/>
      <c r="AL938" s="10"/>
      <c r="AM938" s="10"/>
      <c r="AN938" s="10"/>
      <c r="AO938" s="10"/>
      <c r="AP938" s="10"/>
      <c r="AQ938" s="10"/>
      <c r="AR938" s="10"/>
      <c r="AS938" s="10"/>
      <c r="AT938" s="10"/>
      <c r="AU938" s="10"/>
      <c r="AV938" s="10"/>
      <c r="AW938" s="10"/>
      <c r="AX938" s="10"/>
      <c r="AY938" s="10"/>
      <c r="AZ938" s="10"/>
      <c r="BA938" s="10"/>
    </row>
    <row r="939" spans="1:53" x14ac:dyDescent="0.25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  <c r="AG939" s="10"/>
      <c r="AH939" s="10"/>
      <c r="AI939" s="10"/>
      <c r="AJ939" s="10"/>
      <c r="AK939" s="10"/>
      <c r="AL939" s="10"/>
      <c r="AM939" s="10"/>
      <c r="AN939" s="10"/>
      <c r="AO939" s="10"/>
      <c r="AP939" s="10"/>
      <c r="AQ939" s="10"/>
      <c r="AR939" s="10"/>
      <c r="AS939" s="10"/>
      <c r="AT939" s="10"/>
      <c r="AU939" s="10"/>
      <c r="AV939" s="10"/>
      <c r="AW939" s="10"/>
      <c r="AX939" s="10"/>
      <c r="AY939" s="10"/>
      <c r="AZ939" s="10"/>
      <c r="BA939" s="10"/>
    </row>
    <row r="940" spans="1:53" x14ac:dyDescent="0.25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  <c r="AG940" s="10"/>
      <c r="AH940" s="10"/>
      <c r="AI940" s="10"/>
      <c r="AJ940" s="10"/>
      <c r="AK940" s="10"/>
      <c r="AL940" s="10"/>
      <c r="AM940" s="10"/>
      <c r="AN940" s="10"/>
      <c r="AO940" s="10"/>
      <c r="AP940" s="10"/>
      <c r="AQ940" s="10"/>
      <c r="AR940" s="10"/>
      <c r="AS940" s="10"/>
      <c r="AT940" s="10"/>
      <c r="AU940" s="10"/>
      <c r="AV940" s="10"/>
      <c r="AW940" s="10"/>
      <c r="AX940" s="10"/>
      <c r="AY940" s="10"/>
      <c r="AZ940" s="10"/>
      <c r="BA940" s="10"/>
    </row>
    <row r="941" spans="1:53" x14ac:dyDescent="0.25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  <c r="AG941" s="10"/>
      <c r="AH941" s="10"/>
      <c r="AI941" s="10"/>
      <c r="AJ941" s="10"/>
      <c r="AK941" s="10"/>
      <c r="AL941" s="10"/>
      <c r="AM941" s="10"/>
      <c r="AN941" s="10"/>
      <c r="AO941" s="10"/>
      <c r="AP941" s="10"/>
      <c r="AQ941" s="10"/>
      <c r="AR941" s="10"/>
      <c r="AS941" s="10"/>
      <c r="AT941" s="10"/>
      <c r="AU941" s="10"/>
      <c r="AV941" s="10"/>
      <c r="AW941" s="10"/>
      <c r="AX941" s="10"/>
      <c r="AY941" s="10"/>
      <c r="AZ941" s="10"/>
      <c r="BA941" s="10"/>
    </row>
    <row r="942" spans="1:53" x14ac:dyDescent="0.25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  <c r="AG942" s="10"/>
      <c r="AH942" s="10"/>
      <c r="AI942" s="10"/>
      <c r="AJ942" s="10"/>
      <c r="AK942" s="10"/>
      <c r="AL942" s="10"/>
      <c r="AM942" s="10"/>
      <c r="AN942" s="10"/>
      <c r="AO942" s="10"/>
      <c r="AP942" s="10"/>
      <c r="AQ942" s="10"/>
      <c r="AR942" s="10"/>
      <c r="AS942" s="10"/>
      <c r="AT942" s="10"/>
      <c r="AU942" s="10"/>
      <c r="AV942" s="10"/>
      <c r="AW942" s="10"/>
      <c r="AX942" s="10"/>
      <c r="AY942" s="10"/>
      <c r="AZ942" s="10"/>
      <c r="BA942" s="10"/>
    </row>
    <row r="943" spans="1:53" x14ac:dyDescent="0.25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  <c r="AG943" s="10"/>
      <c r="AH943" s="10"/>
      <c r="AI943" s="10"/>
      <c r="AJ943" s="10"/>
      <c r="AK943" s="10"/>
      <c r="AL943" s="10"/>
      <c r="AM943" s="10"/>
      <c r="AN943" s="10"/>
      <c r="AO943" s="10"/>
      <c r="AP943" s="10"/>
      <c r="AQ943" s="10"/>
      <c r="AR943" s="10"/>
      <c r="AS943" s="10"/>
      <c r="AT943" s="10"/>
      <c r="AU943" s="10"/>
      <c r="AV943" s="10"/>
      <c r="AW943" s="10"/>
      <c r="AX943" s="10"/>
      <c r="AY943" s="10"/>
      <c r="AZ943" s="10"/>
      <c r="BA943" s="10"/>
    </row>
    <row r="944" spans="1:53" x14ac:dyDescent="0.25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0"/>
      <c r="AH944" s="10"/>
      <c r="AI944" s="10"/>
      <c r="AJ944" s="10"/>
      <c r="AK944" s="10"/>
      <c r="AL944" s="10"/>
      <c r="AM944" s="10"/>
      <c r="AN944" s="10"/>
      <c r="AO944" s="10"/>
      <c r="AP944" s="10"/>
      <c r="AQ944" s="10"/>
      <c r="AR944" s="10"/>
      <c r="AS944" s="10"/>
      <c r="AT944" s="10"/>
      <c r="AU944" s="10"/>
      <c r="AV944" s="10"/>
      <c r="AW944" s="10"/>
      <c r="AX944" s="10"/>
      <c r="AY944" s="10"/>
      <c r="AZ944" s="10"/>
      <c r="BA944" s="10"/>
    </row>
    <row r="945" spans="1:53" x14ac:dyDescent="0.25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0"/>
      <c r="AH945" s="10"/>
      <c r="AI945" s="10"/>
      <c r="AJ945" s="10"/>
      <c r="AK945" s="10"/>
      <c r="AL945" s="10"/>
      <c r="AM945" s="10"/>
      <c r="AN945" s="10"/>
      <c r="AO945" s="10"/>
      <c r="AP945" s="10"/>
      <c r="AQ945" s="10"/>
      <c r="AR945" s="10"/>
      <c r="AS945" s="10"/>
      <c r="AT945" s="10"/>
      <c r="AU945" s="10"/>
      <c r="AV945" s="10"/>
      <c r="AW945" s="10"/>
      <c r="AX945" s="10"/>
      <c r="AY945" s="10"/>
      <c r="AZ945" s="10"/>
      <c r="BA945" s="10"/>
    </row>
    <row r="946" spans="1:53" x14ac:dyDescent="0.25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  <c r="AD946" s="10"/>
      <c r="AE946" s="10"/>
      <c r="AF946" s="10"/>
      <c r="AG946" s="10"/>
      <c r="AH946" s="10"/>
      <c r="AI946" s="10"/>
      <c r="AJ946" s="10"/>
      <c r="AK946" s="10"/>
      <c r="AL946" s="10"/>
      <c r="AM946" s="10"/>
      <c r="AN946" s="10"/>
      <c r="AO946" s="10"/>
      <c r="AP946" s="10"/>
      <c r="AQ946" s="10"/>
      <c r="AR946" s="10"/>
      <c r="AS946" s="10"/>
      <c r="AT946" s="10"/>
      <c r="AU946" s="10"/>
      <c r="AV946" s="10"/>
      <c r="AW946" s="10"/>
      <c r="AX946" s="10"/>
      <c r="AY946" s="10"/>
      <c r="AZ946" s="10"/>
      <c r="BA946" s="10"/>
    </row>
    <row r="947" spans="1:53" x14ac:dyDescent="0.25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  <c r="AG947" s="10"/>
      <c r="AH947" s="10"/>
      <c r="AI947" s="10"/>
      <c r="AJ947" s="10"/>
      <c r="AK947" s="10"/>
      <c r="AL947" s="10"/>
      <c r="AM947" s="10"/>
      <c r="AN947" s="10"/>
      <c r="AO947" s="10"/>
      <c r="AP947" s="10"/>
      <c r="AQ947" s="10"/>
      <c r="AR947" s="10"/>
      <c r="AS947" s="10"/>
      <c r="AT947" s="10"/>
      <c r="AU947" s="10"/>
      <c r="AV947" s="10"/>
      <c r="AW947" s="10"/>
      <c r="AX947" s="10"/>
      <c r="AY947" s="10"/>
      <c r="AZ947" s="10"/>
      <c r="BA947" s="10"/>
    </row>
    <row r="948" spans="1:53" x14ac:dyDescent="0.25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  <c r="AG948" s="10"/>
      <c r="AH948" s="10"/>
      <c r="AI948" s="10"/>
      <c r="AJ948" s="10"/>
      <c r="AK948" s="10"/>
      <c r="AL948" s="10"/>
      <c r="AM948" s="10"/>
      <c r="AN948" s="10"/>
      <c r="AO948" s="10"/>
      <c r="AP948" s="10"/>
      <c r="AQ948" s="10"/>
      <c r="AR948" s="10"/>
      <c r="AS948" s="10"/>
      <c r="AT948" s="10"/>
      <c r="AU948" s="10"/>
      <c r="AV948" s="10"/>
      <c r="AW948" s="10"/>
      <c r="AX948" s="10"/>
      <c r="AY948" s="10"/>
      <c r="AZ948" s="10"/>
      <c r="BA948" s="10"/>
    </row>
    <row r="949" spans="1:53" x14ac:dyDescent="0.25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0"/>
      <c r="AH949" s="10"/>
      <c r="AI949" s="10"/>
      <c r="AJ949" s="10"/>
      <c r="AK949" s="10"/>
      <c r="AL949" s="10"/>
      <c r="AM949" s="10"/>
      <c r="AN949" s="10"/>
      <c r="AO949" s="10"/>
      <c r="AP949" s="10"/>
      <c r="AQ949" s="10"/>
      <c r="AR949" s="10"/>
      <c r="AS949" s="10"/>
      <c r="AT949" s="10"/>
      <c r="AU949" s="10"/>
      <c r="AV949" s="10"/>
      <c r="AW949" s="10"/>
      <c r="AX949" s="10"/>
      <c r="AY949" s="10"/>
      <c r="AZ949" s="10"/>
      <c r="BA949" s="10"/>
    </row>
    <row r="950" spans="1:53" x14ac:dyDescent="0.25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  <c r="AG950" s="10"/>
      <c r="AH950" s="10"/>
      <c r="AI950" s="10"/>
      <c r="AJ950" s="10"/>
      <c r="AK950" s="10"/>
      <c r="AL950" s="10"/>
      <c r="AM950" s="10"/>
      <c r="AN950" s="10"/>
      <c r="AO950" s="10"/>
      <c r="AP950" s="10"/>
      <c r="AQ950" s="10"/>
      <c r="AR950" s="10"/>
      <c r="AS950" s="10"/>
      <c r="AT950" s="10"/>
      <c r="AU950" s="10"/>
      <c r="AV950" s="10"/>
      <c r="AW950" s="10"/>
      <c r="AX950" s="10"/>
      <c r="AY950" s="10"/>
      <c r="AZ950" s="10"/>
      <c r="BA950" s="10"/>
    </row>
    <row r="951" spans="1:53" x14ac:dyDescent="0.25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  <c r="AD951" s="10"/>
      <c r="AE951" s="10"/>
      <c r="AF951" s="10"/>
      <c r="AG951" s="10"/>
      <c r="AH951" s="10"/>
      <c r="AI951" s="10"/>
      <c r="AJ951" s="10"/>
      <c r="AK951" s="10"/>
      <c r="AL951" s="10"/>
      <c r="AM951" s="10"/>
      <c r="AN951" s="10"/>
      <c r="AO951" s="10"/>
      <c r="AP951" s="10"/>
      <c r="AQ951" s="10"/>
      <c r="AR951" s="10"/>
      <c r="AS951" s="10"/>
      <c r="AT951" s="10"/>
      <c r="AU951" s="10"/>
      <c r="AV951" s="10"/>
      <c r="AW951" s="10"/>
      <c r="AX951" s="10"/>
      <c r="AY951" s="10"/>
      <c r="AZ951" s="10"/>
      <c r="BA951" s="10"/>
    </row>
    <row r="952" spans="1:53" x14ac:dyDescent="0.25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  <c r="AD952" s="10"/>
      <c r="AE952" s="10"/>
      <c r="AF952" s="10"/>
      <c r="AG952" s="10"/>
      <c r="AH952" s="10"/>
      <c r="AI952" s="10"/>
      <c r="AJ952" s="10"/>
      <c r="AK952" s="10"/>
      <c r="AL952" s="10"/>
      <c r="AM952" s="10"/>
      <c r="AN952" s="10"/>
      <c r="AO952" s="10"/>
      <c r="AP952" s="10"/>
      <c r="AQ952" s="10"/>
      <c r="AR952" s="10"/>
      <c r="AS952" s="10"/>
      <c r="AT952" s="10"/>
      <c r="AU952" s="10"/>
      <c r="AV952" s="10"/>
      <c r="AW952" s="10"/>
      <c r="AX952" s="10"/>
      <c r="AY952" s="10"/>
      <c r="AZ952" s="10"/>
      <c r="BA952" s="10"/>
    </row>
    <row r="953" spans="1:53" x14ac:dyDescent="0.25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/>
      <c r="AE953" s="10"/>
      <c r="AF953" s="10"/>
      <c r="AG953" s="10"/>
      <c r="AH953" s="10"/>
      <c r="AI953" s="10"/>
      <c r="AJ953" s="10"/>
      <c r="AK953" s="10"/>
      <c r="AL953" s="10"/>
      <c r="AM953" s="10"/>
      <c r="AN953" s="10"/>
      <c r="AO953" s="10"/>
      <c r="AP953" s="10"/>
      <c r="AQ953" s="10"/>
      <c r="AR953" s="10"/>
      <c r="AS953" s="10"/>
      <c r="AT953" s="10"/>
      <c r="AU953" s="10"/>
      <c r="AV953" s="10"/>
      <c r="AW953" s="10"/>
      <c r="AX953" s="10"/>
      <c r="AY953" s="10"/>
      <c r="AZ953" s="10"/>
      <c r="BA953" s="10"/>
    </row>
    <row r="954" spans="1:53" x14ac:dyDescent="0.25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  <c r="AG954" s="10"/>
      <c r="AH954" s="10"/>
      <c r="AI954" s="10"/>
      <c r="AJ954" s="10"/>
      <c r="AK954" s="10"/>
      <c r="AL954" s="10"/>
      <c r="AM954" s="10"/>
      <c r="AN954" s="10"/>
      <c r="AO954" s="10"/>
      <c r="AP954" s="10"/>
      <c r="AQ954" s="10"/>
      <c r="AR954" s="10"/>
      <c r="AS954" s="10"/>
      <c r="AT954" s="10"/>
      <c r="AU954" s="10"/>
      <c r="AV954" s="10"/>
      <c r="AW954" s="10"/>
      <c r="AX954" s="10"/>
      <c r="AY954" s="10"/>
      <c r="AZ954" s="10"/>
      <c r="BA954" s="10"/>
    </row>
    <row r="955" spans="1:53" x14ac:dyDescent="0.25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  <c r="AG955" s="10"/>
      <c r="AH955" s="10"/>
      <c r="AI955" s="10"/>
      <c r="AJ955" s="10"/>
      <c r="AK955" s="10"/>
      <c r="AL955" s="10"/>
      <c r="AM955" s="10"/>
      <c r="AN955" s="10"/>
      <c r="AO955" s="10"/>
      <c r="AP955" s="10"/>
      <c r="AQ955" s="10"/>
      <c r="AR955" s="10"/>
      <c r="AS955" s="10"/>
      <c r="AT955" s="10"/>
      <c r="AU955" s="10"/>
      <c r="AV955" s="10"/>
      <c r="AW955" s="10"/>
      <c r="AX955" s="10"/>
      <c r="AY955" s="10"/>
      <c r="AZ955" s="10"/>
      <c r="BA955" s="10"/>
    </row>
    <row r="956" spans="1:53" x14ac:dyDescent="0.25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  <c r="AG956" s="10"/>
      <c r="AH956" s="10"/>
      <c r="AI956" s="10"/>
      <c r="AJ956" s="10"/>
      <c r="AK956" s="10"/>
      <c r="AL956" s="10"/>
      <c r="AM956" s="10"/>
      <c r="AN956" s="10"/>
      <c r="AO956" s="10"/>
      <c r="AP956" s="10"/>
      <c r="AQ956" s="10"/>
      <c r="AR956" s="10"/>
      <c r="AS956" s="10"/>
      <c r="AT956" s="10"/>
      <c r="AU956" s="10"/>
      <c r="AV956" s="10"/>
      <c r="AW956" s="10"/>
      <c r="AX956" s="10"/>
      <c r="AY956" s="10"/>
      <c r="AZ956" s="10"/>
      <c r="BA956" s="10"/>
    </row>
    <row r="957" spans="1:53" x14ac:dyDescent="0.25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0"/>
      <c r="AH957" s="10"/>
      <c r="AI957" s="10"/>
      <c r="AJ957" s="10"/>
      <c r="AK957" s="10"/>
      <c r="AL957" s="10"/>
      <c r="AM957" s="10"/>
      <c r="AN957" s="10"/>
      <c r="AO957" s="10"/>
      <c r="AP957" s="10"/>
      <c r="AQ957" s="10"/>
      <c r="AR957" s="10"/>
      <c r="AS957" s="10"/>
      <c r="AT957" s="10"/>
      <c r="AU957" s="10"/>
      <c r="AV957" s="10"/>
      <c r="AW957" s="10"/>
      <c r="AX957" s="10"/>
      <c r="AY957" s="10"/>
      <c r="AZ957" s="10"/>
      <c r="BA957" s="10"/>
    </row>
    <row r="958" spans="1:53" x14ac:dyDescent="0.25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  <c r="AE958" s="10"/>
      <c r="AF958" s="10"/>
      <c r="AG958" s="10"/>
      <c r="AH958" s="10"/>
      <c r="AI958" s="10"/>
      <c r="AJ958" s="10"/>
      <c r="AK958" s="10"/>
      <c r="AL958" s="10"/>
      <c r="AM958" s="10"/>
      <c r="AN958" s="10"/>
      <c r="AO958" s="10"/>
      <c r="AP958" s="10"/>
      <c r="AQ958" s="10"/>
      <c r="AR958" s="10"/>
      <c r="AS958" s="10"/>
      <c r="AT958" s="10"/>
      <c r="AU958" s="10"/>
      <c r="AV958" s="10"/>
      <c r="AW958" s="10"/>
      <c r="AX958" s="10"/>
      <c r="AY958" s="10"/>
      <c r="AZ958" s="10"/>
      <c r="BA958" s="10"/>
    </row>
    <row r="959" spans="1:53" x14ac:dyDescent="0.25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0"/>
      <c r="AH959" s="10"/>
      <c r="AI959" s="10"/>
      <c r="AJ959" s="10"/>
      <c r="AK959" s="10"/>
      <c r="AL959" s="10"/>
      <c r="AM959" s="10"/>
      <c r="AN959" s="10"/>
      <c r="AO959" s="10"/>
      <c r="AP959" s="10"/>
      <c r="AQ959" s="10"/>
      <c r="AR959" s="10"/>
      <c r="AS959" s="10"/>
      <c r="AT959" s="10"/>
      <c r="AU959" s="10"/>
      <c r="AV959" s="10"/>
      <c r="AW959" s="10"/>
      <c r="AX959" s="10"/>
      <c r="AY959" s="10"/>
      <c r="AZ959" s="10"/>
      <c r="BA959" s="10"/>
    </row>
    <row r="960" spans="1:53" x14ac:dyDescent="0.25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  <c r="AG960" s="10"/>
      <c r="AH960" s="10"/>
      <c r="AI960" s="10"/>
      <c r="AJ960" s="10"/>
      <c r="AK960" s="10"/>
      <c r="AL960" s="10"/>
      <c r="AM960" s="10"/>
      <c r="AN960" s="10"/>
      <c r="AO960" s="10"/>
      <c r="AP960" s="10"/>
      <c r="AQ960" s="10"/>
      <c r="AR960" s="10"/>
      <c r="AS960" s="10"/>
      <c r="AT960" s="10"/>
      <c r="AU960" s="10"/>
      <c r="AV960" s="10"/>
      <c r="AW960" s="10"/>
      <c r="AX960" s="10"/>
      <c r="AY960" s="10"/>
      <c r="AZ960" s="10"/>
      <c r="BA960" s="10"/>
    </row>
    <row r="961" spans="1:53" x14ac:dyDescent="0.25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  <c r="AG961" s="10"/>
      <c r="AH961" s="10"/>
      <c r="AI961" s="10"/>
      <c r="AJ961" s="10"/>
      <c r="AK961" s="10"/>
      <c r="AL961" s="10"/>
      <c r="AM961" s="10"/>
      <c r="AN961" s="10"/>
      <c r="AO961" s="10"/>
      <c r="AP961" s="10"/>
      <c r="AQ961" s="10"/>
      <c r="AR961" s="10"/>
      <c r="AS961" s="10"/>
      <c r="AT961" s="10"/>
      <c r="AU961" s="10"/>
      <c r="AV961" s="10"/>
      <c r="AW961" s="10"/>
      <c r="AX961" s="10"/>
      <c r="AY961" s="10"/>
      <c r="AZ961" s="10"/>
      <c r="BA961" s="10"/>
    </row>
    <row r="962" spans="1:53" x14ac:dyDescent="0.25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0"/>
      <c r="AH962" s="10"/>
      <c r="AI962" s="10"/>
      <c r="AJ962" s="10"/>
      <c r="AK962" s="10"/>
      <c r="AL962" s="10"/>
      <c r="AM962" s="10"/>
      <c r="AN962" s="10"/>
      <c r="AO962" s="10"/>
      <c r="AP962" s="10"/>
      <c r="AQ962" s="10"/>
      <c r="AR962" s="10"/>
      <c r="AS962" s="10"/>
      <c r="AT962" s="10"/>
      <c r="AU962" s="10"/>
      <c r="AV962" s="10"/>
      <c r="AW962" s="10"/>
      <c r="AX962" s="10"/>
      <c r="AY962" s="10"/>
      <c r="AZ962" s="10"/>
      <c r="BA962" s="10"/>
    </row>
    <row r="963" spans="1:53" x14ac:dyDescent="0.25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  <c r="AG963" s="10"/>
      <c r="AH963" s="10"/>
      <c r="AI963" s="10"/>
      <c r="AJ963" s="10"/>
      <c r="AK963" s="10"/>
      <c r="AL963" s="10"/>
      <c r="AM963" s="10"/>
      <c r="AN963" s="10"/>
      <c r="AO963" s="10"/>
      <c r="AP963" s="10"/>
      <c r="AQ963" s="10"/>
      <c r="AR963" s="10"/>
      <c r="AS963" s="10"/>
      <c r="AT963" s="10"/>
      <c r="AU963" s="10"/>
      <c r="AV963" s="10"/>
      <c r="AW963" s="10"/>
      <c r="AX963" s="10"/>
      <c r="AY963" s="10"/>
      <c r="AZ963" s="10"/>
      <c r="BA963" s="10"/>
    </row>
    <row r="964" spans="1:53" x14ac:dyDescent="0.25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  <c r="AG964" s="10"/>
      <c r="AH964" s="10"/>
      <c r="AI964" s="10"/>
      <c r="AJ964" s="10"/>
      <c r="AK964" s="10"/>
      <c r="AL964" s="10"/>
      <c r="AM964" s="10"/>
      <c r="AN964" s="10"/>
      <c r="AO964" s="10"/>
      <c r="AP964" s="10"/>
      <c r="AQ964" s="10"/>
      <c r="AR964" s="10"/>
      <c r="AS964" s="10"/>
      <c r="AT964" s="10"/>
      <c r="AU964" s="10"/>
      <c r="AV964" s="10"/>
      <c r="AW964" s="10"/>
      <c r="AX964" s="10"/>
      <c r="AY964" s="10"/>
      <c r="AZ964" s="10"/>
      <c r="BA964" s="10"/>
    </row>
    <row r="965" spans="1:53" x14ac:dyDescent="0.25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0"/>
      <c r="AH965" s="10"/>
      <c r="AI965" s="10"/>
      <c r="AJ965" s="10"/>
      <c r="AK965" s="10"/>
      <c r="AL965" s="10"/>
      <c r="AM965" s="10"/>
      <c r="AN965" s="10"/>
      <c r="AO965" s="10"/>
      <c r="AP965" s="10"/>
      <c r="AQ965" s="10"/>
      <c r="AR965" s="10"/>
      <c r="AS965" s="10"/>
      <c r="AT965" s="10"/>
      <c r="AU965" s="10"/>
      <c r="AV965" s="10"/>
      <c r="AW965" s="10"/>
      <c r="AX965" s="10"/>
      <c r="AY965" s="10"/>
      <c r="AZ965" s="10"/>
      <c r="BA965" s="10"/>
    </row>
    <row r="966" spans="1:53" x14ac:dyDescent="0.25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0"/>
      <c r="AH966" s="10"/>
      <c r="AI966" s="10"/>
      <c r="AJ966" s="10"/>
      <c r="AK966" s="10"/>
      <c r="AL966" s="10"/>
      <c r="AM966" s="10"/>
      <c r="AN966" s="10"/>
      <c r="AO966" s="10"/>
      <c r="AP966" s="10"/>
      <c r="AQ966" s="10"/>
      <c r="AR966" s="10"/>
      <c r="AS966" s="10"/>
      <c r="AT966" s="10"/>
      <c r="AU966" s="10"/>
      <c r="AV966" s="10"/>
      <c r="AW966" s="10"/>
      <c r="AX966" s="10"/>
      <c r="AY966" s="10"/>
      <c r="AZ966" s="10"/>
      <c r="BA966" s="10"/>
    </row>
    <row r="967" spans="1:53" x14ac:dyDescent="0.25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  <c r="AG967" s="10"/>
      <c r="AH967" s="10"/>
      <c r="AI967" s="10"/>
      <c r="AJ967" s="10"/>
      <c r="AK967" s="10"/>
      <c r="AL967" s="10"/>
      <c r="AM967" s="10"/>
      <c r="AN967" s="10"/>
      <c r="AO967" s="10"/>
      <c r="AP967" s="10"/>
      <c r="AQ967" s="10"/>
      <c r="AR967" s="10"/>
      <c r="AS967" s="10"/>
      <c r="AT967" s="10"/>
      <c r="AU967" s="10"/>
      <c r="AV967" s="10"/>
      <c r="AW967" s="10"/>
      <c r="AX967" s="10"/>
      <c r="AY967" s="10"/>
      <c r="AZ967" s="10"/>
      <c r="BA967" s="10"/>
    </row>
    <row r="968" spans="1:53" x14ac:dyDescent="0.25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  <c r="AD968" s="10"/>
      <c r="AE968" s="10"/>
      <c r="AF968" s="10"/>
      <c r="AG968" s="10"/>
      <c r="AH968" s="10"/>
      <c r="AI968" s="10"/>
      <c r="AJ968" s="10"/>
      <c r="AK968" s="10"/>
      <c r="AL968" s="10"/>
      <c r="AM968" s="10"/>
      <c r="AN968" s="10"/>
      <c r="AO968" s="10"/>
      <c r="AP968" s="10"/>
      <c r="AQ968" s="10"/>
      <c r="AR968" s="10"/>
      <c r="AS968" s="10"/>
      <c r="AT968" s="10"/>
      <c r="AU968" s="10"/>
      <c r="AV968" s="10"/>
      <c r="AW968" s="10"/>
      <c r="AX968" s="10"/>
      <c r="AY968" s="10"/>
      <c r="AZ968" s="10"/>
      <c r="BA968" s="10"/>
    </row>
    <row r="969" spans="1:53" x14ac:dyDescent="0.25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  <c r="AG969" s="10"/>
      <c r="AH969" s="10"/>
      <c r="AI969" s="10"/>
      <c r="AJ969" s="10"/>
      <c r="AK969" s="10"/>
      <c r="AL969" s="10"/>
      <c r="AM969" s="10"/>
      <c r="AN969" s="10"/>
      <c r="AO969" s="10"/>
      <c r="AP969" s="10"/>
      <c r="AQ969" s="10"/>
      <c r="AR969" s="10"/>
      <c r="AS969" s="10"/>
      <c r="AT969" s="10"/>
      <c r="AU969" s="10"/>
      <c r="AV969" s="10"/>
      <c r="AW969" s="10"/>
      <c r="AX969" s="10"/>
      <c r="AY969" s="10"/>
      <c r="AZ969" s="10"/>
      <c r="BA969" s="10"/>
    </row>
    <row r="970" spans="1:53" x14ac:dyDescent="0.25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  <c r="AD970" s="10"/>
      <c r="AE970" s="10"/>
      <c r="AF970" s="10"/>
      <c r="AG970" s="10"/>
      <c r="AH970" s="10"/>
      <c r="AI970" s="10"/>
      <c r="AJ970" s="10"/>
      <c r="AK970" s="10"/>
      <c r="AL970" s="10"/>
      <c r="AM970" s="10"/>
      <c r="AN970" s="10"/>
      <c r="AO970" s="10"/>
      <c r="AP970" s="10"/>
      <c r="AQ970" s="10"/>
      <c r="AR970" s="10"/>
      <c r="AS970" s="10"/>
      <c r="AT970" s="10"/>
      <c r="AU970" s="10"/>
      <c r="AV970" s="10"/>
      <c r="AW970" s="10"/>
      <c r="AX970" s="10"/>
      <c r="AY970" s="10"/>
      <c r="AZ970" s="10"/>
      <c r="BA970" s="10"/>
    </row>
    <row r="971" spans="1:53" x14ac:dyDescent="0.25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0"/>
      <c r="AH971" s="10"/>
      <c r="AI971" s="10"/>
      <c r="AJ971" s="10"/>
      <c r="AK971" s="10"/>
      <c r="AL971" s="10"/>
      <c r="AM971" s="10"/>
      <c r="AN971" s="10"/>
      <c r="AO971" s="10"/>
      <c r="AP971" s="10"/>
      <c r="AQ971" s="10"/>
      <c r="AR971" s="10"/>
      <c r="AS971" s="10"/>
      <c r="AT971" s="10"/>
      <c r="AU971" s="10"/>
      <c r="AV971" s="10"/>
      <c r="AW971" s="10"/>
      <c r="AX971" s="10"/>
      <c r="AY971" s="10"/>
      <c r="AZ971" s="10"/>
      <c r="BA971" s="10"/>
    </row>
    <row r="972" spans="1:53" x14ac:dyDescent="0.25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  <c r="AD972" s="10"/>
      <c r="AE972" s="10"/>
      <c r="AF972" s="10"/>
      <c r="AG972" s="10"/>
      <c r="AH972" s="10"/>
      <c r="AI972" s="10"/>
      <c r="AJ972" s="10"/>
      <c r="AK972" s="10"/>
      <c r="AL972" s="10"/>
      <c r="AM972" s="10"/>
      <c r="AN972" s="10"/>
      <c r="AO972" s="10"/>
      <c r="AP972" s="10"/>
      <c r="AQ972" s="10"/>
      <c r="AR972" s="10"/>
      <c r="AS972" s="10"/>
      <c r="AT972" s="10"/>
      <c r="AU972" s="10"/>
      <c r="AV972" s="10"/>
      <c r="AW972" s="10"/>
      <c r="AX972" s="10"/>
      <c r="AY972" s="10"/>
      <c r="AZ972" s="10"/>
      <c r="BA972" s="10"/>
    </row>
    <row r="973" spans="1:53" x14ac:dyDescent="0.25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0"/>
      <c r="AH973" s="10"/>
      <c r="AI973" s="10"/>
      <c r="AJ973" s="10"/>
      <c r="AK973" s="10"/>
      <c r="AL973" s="10"/>
      <c r="AM973" s="10"/>
      <c r="AN973" s="10"/>
      <c r="AO973" s="10"/>
      <c r="AP973" s="10"/>
      <c r="AQ973" s="10"/>
      <c r="AR973" s="10"/>
      <c r="AS973" s="10"/>
      <c r="AT973" s="10"/>
      <c r="AU973" s="10"/>
      <c r="AV973" s="10"/>
      <c r="AW973" s="10"/>
      <c r="AX973" s="10"/>
      <c r="AY973" s="10"/>
      <c r="AZ973" s="10"/>
      <c r="BA973" s="10"/>
    </row>
    <row r="974" spans="1:53" x14ac:dyDescent="0.25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  <c r="AG974" s="10"/>
      <c r="AH974" s="10"/>
      <c r="AI974" s="10"/>
      <c r="AJ974" s="10"/>
      <c r="AK974" s="10"/>
      <c r="AL974" s="10"/>
      <c r="AM974" s="10"/>
      <c r="AN974" s="10"/>
      <c r="AO974" s="10"/>
      <c r="AP974" s="10"/>
      <c r="AQ974" s="10"/>
      <c r="AR974" s="10"/>
      <c r="AS974" s="10"/>
      <c r="AT974" s="10"/>
      <c r="AU974" s="10"/>
      <c r="AV974" s="10"/>
      <c r="AW974" s="10"/>
      <c r="AX974" s="10"/>
      <c r="AY974" s="10"/>
      <c r="AZ974" s="10"/>
      <c r="BA974" s="10"/>
    </row>
    <row r="975" spans="1:53" x14ac:dyDescent="0.25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  <c r="AG975" s="10"/>
      <c r="AH975" s="10"/>
      <c r="AI975" s="10"/>
      <c r="AJ975" s="10"/>
      <c r="AK975" s="10"/>
      <c r="AL975" s="10"/>
      <c r="AM975" s="10"/>
      <c r="AN975" s="10"/>
      <c r="AO975" s="10"/>
      <c r="AP975" s="10"/>
      <c r="AQ975" s="10"/>
      <c r="AR975" s="10"/>
      <c r="AS975" s="10"/>
      <c r="AT975" s="10"/>
      <c r="AU975" s="10"/>
      <c r="AV975" s="10"/>
      <c r="AW975" s="10"/>
      <c r="AX975" s="10"/>
      <c r="AY975" s="10"/>
      <c r="AZ975" s="10"/>
      <c r="BA975" s="10"/>
    </row>
    <row r="976" spans="1:53" x14ac:dyDescent="0.25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  <c r="AG976" s="10"/>
      <c r="AH976" s="10"/>
      <c r="AI976" s="10"/>
      <c r="AJ976" s="10"/>
      <c r="AK976" s="10"/>
      <c r="AL976" s="10"/>
      <c r="AM976" s="10"/>
      <c r="AN976" s="10"/>
      <c r="AO976" s="10"/>
      <c r="AP976" s="10"/>
      <c r="AQ976" s="10"/>
      <c r="AR976" s="10"/>
      <c r="AS976" s="10"/>
      <c r="AT976" s="10"/>
      <c r="AU976" s="10"/>
      <c r="AV976" s="10"/>
      <c r="AW976" s="10"/>
      <c r="AX976" s="10"/>
      <c r="AY976" s="10"/>
      <c r="AZ976" s="10"/>
      <c r="BA976" s="10"/>
    </row>
    <row r="977" spans="1:53" x14ac:dyDescent="0.25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0"/>
      <c r="AH977" s="10"/>
      <c r="AI977" s="10"/>
      <c r="AJ977" s="10"/>
      <c r="AK977" s="10"/>
      <c r="AL977" s="10"/>
      <c r="AM977" s="10"/>
      <c r="AN977" s="10"/>
      <c r="AO977" s="10"/>
      <c r="AP977" s="10"/>
      <c r="AQ977" s="10"/>
      <c r="AR977" s="10"/>
      <c r="AS977" s="10"/>
      <c r="AT977" s="10"/>
      <c r="AU977" s="10"/>
      <c r="AV977" s="10"/>
      <c r="AW977" s="10"/>
      <c r="AX977" s="10"/>
      <c r="AY977" s="10"/>
      <c r="AZ977" s="10"/>
      <c r="BA977" s="10"/>
    </row>
    <row r="978" spans="1:53" x14ac:dyDescent="0.25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0"/>
      <c r="AH978" s="10"/>
      <c r="AI978" s="10"/>
      <c r="AJ978" s="10"/>
      <c r="AK978" s="10"/>
      <c r="AL978" s="10"/>
      <c r="AM978" s="10"/>
      <c r="AN978" s="10"/>
      <c r="AO978" s="10"/>
      <c r="AP978" s="10"/>
      <c r="AQ978" s="10"/>
      <c r="AR978" s="10"/>
      <c r="AS978" s="10"/>
      <c r="AT978" s="10"/>
      <c r="AU978" s="10"/>
      <c r="AV978" s="10"/>
      <c r="AW978" s="10"/>
      <c r="AX978" s="10"/>
      <c r="AY978" s="10"/>
      <c r="AZ978" s="10"/>
      <c r="BA978" s="10"/>
    </row>
    <row r="979" spans="1:53" x14ac:dyDescent="0.25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0"/>
      <c r="AH979" s="10"/>
      <c r="AI979" s="10"/>
      <c r="AJ979" s="10"/>
      <c r="AK979" s="10"/>
      <c r="AL979" s="10"/>
      <c r="AM979" s="10"/>
      <c r="AN979" s="10"/>
      <c r="AO979" s="10"/>
      <c r="AP979" s="10"/>
      <c r="AQ979" s="10"/>
      <c r="AR979" s="10"/>
      <c r="AS979" s="10"/>
      <c r="AT979" s="10"/>
      <c r="AU979" s="10"/>
      <c r="AV979" s="10"/>
      <c r="AW979" s="10"/>
      <c r="AX979" s="10"/>
      <c r="AY979" s="10"/>
      <c r="AZ979" s="10"/>
      <c r="BA979" s="10"/>
    </row>
    <row r="980" spans="1:53" x14ac:dyDescent="0.25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  <c r="AD980" s="10"/>
      <c r="AE980" s="10"/>
      <c r="AF980" s="10"/>
      <c r="AG980" s="10"/>
      <c r="AH980" s="10"/>
      <c r="AI980" s="10"/>
      <c r="AJ980" s="10"/>
      <c r="AK980" s="10"/>
      <c r="AL980" s="10"/>
      <c r="AM980" s="10"/>
      <c r="AN980" s="10"/>
      <c r="AO980" s="10"/>
      <c r="AP980" s="10"/>
      <c r="AQ980" s="10"/>
      <c r="AR980" s="10"/>
      <c r="AS980" s="10"/>
      <c r="AT980" s="10"/>
      <c r="AU980" s="10"/>
      <c r="AV980" s="10"/>
      <c r="AW980" s="10"/>
      <c r="AX980" s="10"/>
      <c r="AY980" s="10"/>
      <c r="AZ980" s="10"/>
      <c r="BA980" s="10"/>
    </row>
    <row r="981" spans="1:53" x14ac:dyDescent="0.25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  <c r="AD981" s="10"/>
      <c r="AE981" s="10"/>
      <c r="AF981" s="10"/>
      <c r="AG981" s="10"/>
      <c r="AH981" s="10"/>
      <c r="AI981" s="10"/>
      <c r="AJ981" s="10"/>
      <c r="AK981" s="10"/>
      <c r="AL981" s="10"/>
      <c r="AM981" s="10"/>
      <c r="AN981" s="10"/>
      <c r="AO981" s="10"/>
      <c r="AP981" s="10"/>
      <c r="AQ981" s="10"/>
      <c r="AR981" s="10"/>
      <c r="AS981" s="10"/>
      <c r="AT981" s="10"/>
      <c r="AU981" s="10"/>
      <c r="AV981" s="10"/>
      <c r="AW981" s="10"/>
      <c r="AX981" s="10"/>
      <c r="AY981" s="10"/>
      <c r="AZ981" s="10"/>
      <c r="BA981" s="10"/>
    </row>
    <row r="982" spans="1:53" x14ac:dyDescent="0.25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0"/>
      <c r="AH982" s="10"/>
      <c r="AI982" s="10"/>
      <c r="AJ982" s="10"/>
      <c r="AK982" s="10"/>
      <c r="AL982" s="10"/>
      <c r="AM982" s="10"/>
      <c r="AN982" s="10"/>
      <c r="AO982" s="10"/>
      <c r="AP982" s="10"/>
      <c r="AQ982" s="10"/>
      <c r="AR982" s="10"/>
      <c r="AS982" s="10"/>
      <c r="AT982" s="10"/>
      <c r="AU982" s="10"/>
      <c r="AV982" s="10"/>
      <c r="AW982" s="10"/>
      <c r="AX982" s="10"/>
      <c r="AY982" s="10"/>
      <c r="AZ982" s="10"/>
      <c r="BA982" s="10"/>
    </row>
    <row r="983" spans="1:53" x14ac:dyDescent="0.25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0"/>
      <c r="AH983" s="10"/>
      <c r="AI983" s="10"/>
      <c r="AJ983" s="10"/>
      <c r="AK983" s="10"/>
      <c r="AL983" s="10"/>
      <c r="AM983" s="10"/>
      <c r="AN983" s="10"/>
      <c r="AO983" s="10"/>
      <c r="AP983" s="10"/>
      <c r="AQ983" s="10"/>
      <c r="AR983" s="10"/>
      <c r="AS983" s="10"/>
      <c r="AT983" s="10"/>
      <c r="AU983" s="10"/>
      <c r="AV983" s="10"/>
      <c r="AW983" s="10"/>
      <c r="AX983" s="10"/>
      <c r="AY983" s="10"/>
      <c r="AZ983" s="10"/>
      <c r="BA983" s="10"/>
    </row>
    <row r="984" spans="1:53" x14ac:dyDescent="0.25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0"/>
      <c r="AH984" s="10"/>
      <c r="AI984" s="10"/>
      <c r="AJ984" s="10"/>
      <c r="AK984" s="10"/>
      <c r="AL984" s="10"/>
      <c r="AM984" s="10"/>
      <c r="AN984" s="10"/>
      <c r="AO984" s="10"/>
      <c r="AP984" s="10"/>
      <c r="AQ984" s="10"/>
      <c r="AR984" s="10"/>
      <c r="AS984" s="10"/>
      <c r="AT984" s="10"/>
      <c r="AU984" s="10"/>
      <c r="AV984" s="10"/>
      <c r="AW984" s="10"/>
      <c r="AX984" s="10"/>
      <c r="AY984" s="10"/>
      <c r="AZ984" s="10"/>
      <c r="BA984" s="10"/>
    </row>
    <row r="985" spans="1:53" x14ac:dyDescent="0.25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  <c r="AD985" s="10"/>
      <c r="AE985" s="10"/>
      <c r="AF985" s="10"/>
      <c r="AG985" s="10"/>
      <c r="AH985" s="10"/>
      <c r="AI985" s="10"/>
      <c r="AJ985" s="10"/>
      <c r="AK985" s="10"/>
      <c r="AL985" s="10"/>
      <c r="AM985" s="10"/>
      <c r="AN985" s="10"/>
      <c r="AO985" s="10"/>
      <c r="AP985" s="10"/>
      <c r="AQ985" s="10"/>
      <c r="AR985" s="10"/>
      <c r="AS985" s="10"/>
      <c r="AT985" s="10"/>
      <c r="AU985" s="10"/>
      <c r="AV985" s="10"/>
      <c r="AW985" s="10"/>
      <c r="AX985" s="10"/>
      <c r="AY985" s="10"/>
      <c r="AZ985" s="10"/>
      <c r="BA985" s="10"/>
    </row>
    <row r="986" spans="1:53" x14ac:dyDescent="0.25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  <c r="AG986" s="10"/>
      <c r="AH986" s="10"/>
      <c r="AI986" s="10"/>
      <c r="AJ986" s="10"/>
      <c r="AK986" s="10"/>
      <c r="AL986" s="10"/>
      <c r="AM986" s="10"/>
      <c r="AN986" s="10"/>
      <c r="AO986" s="10"/>
      <c r="AP986" s="10"/>
      <c r="AQ986" s="10"/>
      <c r="AR986" s="10"/>
      <c r="AS986" s="10"/>
      <c r="AT986" s="10"/>
      <c r="AU986" s="10"/>
      <c r="AV986" s="10"/>
      <c r="AW986" s="10"/>
      <c r="AX986" s="10"/>
      <c r="AY986" s="10"/>
      <c r="AZ986" s="10"/>
      <c r="BA986" s="10"/>
    </row>
    <row r="987" spans="1:53" x14ac:dyDescent="0.25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0"/>
      <c r="AH987" s="10"/>
      <c r="AI987" s="10"/>
      <c r="AJ987" s="10"/>
      <c r="AK987" s="10"/>
      <c r="AL987" s="10"/>
      <c r="AM987" s="10"/>
      <c r="AN987" s="10"/>
      <c r="AO987" s="10"/>
      <c r="AP987" s="10"/>
      <c r="AQ987" s="10"/>
      <c r="AR987" s="10"/>
      <c r="AS987" s="10"/>
      <c r="AT987" s="10"/>
      <c r="AU987" s="10"/>
      <c r="AV987" s="10"/>
      <c r="AW987" s="10"/>
      <c r="AX987" s="10"/>
      <c r="AY987" s="10"/>
      <c r="AZ987" s="10"/>
      <c r="BA987" s="10"/>
    </row>
    <row r="988" spans="1:53" x14ac:dyDescent="0.25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  <c r="AG988" s="10"/>
      <c r="AH988" s="10"/>
      <c r="AI988" s="10"/>
      <c r="AJ988" s="10"/>
      <c r="AK988" s="10"/>
      <c r="AL988" s="10"/>
      <c r="AM988" s="10"/>
      <c r="AN988" s="10"/>
      <c r="AO988" s="10"/>
      <c r="AP988" s="10"/>
      <c r="AQ988" s="10"/>
      <c r="AR988" s="10"/>
      <c r="AS988" s="10"/>
      <c r="AT988" s="10"/>
      <c r="AU988" s="10"/>
      <c r="AV988" s="10"/>
      <c r="AW988" s="10"/>
      <c r="AX988" s="10"/>
      <c r="AY988" s="10"/>
      <c r="AZ988" s="10"/>
      <c r="BA988" s="10"/>
    </row>
    <row r="989" spans="1:53" x14ac:dyDescent="0.25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  <c r="AG989" s="10"/>
      <c r="AH989" s="10"/>
      <c r="AI989" s="10"/>
      <c r="AJ989" s="10"/>
      <c r="AK989" s="10"/>
      <c r="AL989" s="10"/>
      <c r="AM989" s="10"/>
      <c r="AN989" s="10"/>
      <c r="AO989" s="10"/>
      <c r="AP989" s="10"/>
      <c r="AQ989" s="10"/>
      <c r="AR989" s="10"/>
      <c r="AS989" s="10"/>
      <c r="AT989" s="10"/>
      <c r="AU989" s="10"/>
      <c r="AV989" s="10"/>
      <c r="AW989" s="10"/>
      <c r="AX989" s="10"/>
      <c r="AY989" s="10"/>
      <c r="AZ989" s="10"/>
      <c r="BA989" s="10"/>
    </row>
    <row r="990" spans="1:53" x14ac:dyDescent="0.25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0"/>
      <c r="AH990" s="10"/>
      <c r="AI990" s="10"/>
      <c r="AJ990" s="10"/>
      <c r="AK990" s="10"/>
      <c r="AL990" s="10"/>
      <c r="AM990" s="10"/>
      <c r="AN990" s="10"/>
      <c r="AO990" s="10"/>
      <c r="AP990" s="10"/>
      <c r="AQ990" s="10"/>
      <c r="AR990" s="10"/>
      <c r="AS990" s="10"/>
      <c r="AT990" s="10"/>
      <c r="AU990" s="10"/>
      <c r="AV990" s="10"/>
      <c r="AW990" s="10"/>
      <c r="AX990" s="10"/>
      <c r="AY990" s="10"/>
      <c r="AZ990" s="10"/>
      <c r="BA990" s="10"/>
    </row>
    <row r="991" spans="1:53" x14ac:dyDescent="0.25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0"/>
      <c r="AH991" s="10"/>
      <c r="AI991" s="10"/>
      <c r="AJ991" s="10"/>
      <c r="AK991" s="10"/>
      <c r="AL991" s="10"/>
      <c r="AM991" s="10"/>
      <c r="AN991" s="10"/>
      <c r="AO991" s="10"/>
      <c r="AP991" s="10"/>
      <c r="AQ991" s="10"/>
      <c r="AR991" s="10"/>
      <c r="AS991" s="10"/>
      <c r="AT991" s="10"/>
      <c r="AU991" s="10"/>
      <c r="AV991" s="10"/>
      <c r="AW991" s="10"/>
      <c r="AX991" s="10"/>
      <c r="AY991" s="10"/>
      <c r="AZ991" s="10"/>
      <c r="BA991" s="10"/>
    </row>
    <row r="992" spans="1:53" x14ac:dyDescent="0.25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  <c r="AG992" s="10"/>
      <c r="AH992" s="10"/>
      <c r="AI992" s="10"/>
      <c r="AJ992" s="10"/>
      <c r="AK992" s="10"/>
      <c r="AL992" s="10"/>
      <c r="AM992" s="10"/>
      <c r="AN992" s="10"/>
      <c r="AO992" s="10"/>
      <c r="AP992" s="10"/>
      <c r="AQ992" s="10"/>
      <c r="AR992" s="10"/>
      <c r="AS992" s="10"/>
      <c r="AT992" s="10"/>
      <c r="AU992" s="10"/>
      <c r="AV992" s="10"/>
      <c r="AW992" s="10"/>
      <c r="AX992" s="10"/>
      <c r="AY992" s="10"/>
      <c r="AZ992" s="10"/>
      <c r="BA992" s="10"/>
    </row>
    <row r="993" spans="1:53" x14ac:dyDescent="0.25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0"/>
      <c r="AH993" s="10"/>
      <c r="AI993" s="10"/>
      <c r="AJ993" s="10"/>
      <c r="AK993" s="10"/>
      <c r="AL993" s="10"/>
      <c r="AM993" s="10"/>
      <c r="AN993" s="10"/>
      <c r="AO993" s="10"/>
      <c r="AP993" s="10"/>
      <c r="AQ993" s="10"/>
      <c r="AR993" s="10"/>
      <c r="AS993" s="10"/>
      <c r="AT993" s="10"/>
      <c r="AU993" s="10"/>
      <c r="AV993" s="10"/>
      <c r="AW993" s="10"/>
      <c r="AX993" s="10"/>
      <c r="AY993" s="10"/>
      <c r="AZ993" s="10"/>
      <c r="BA993" s="10"/>
    </row>
    <row r="994" spans="1:53" x14ac:dyDescent="0.25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  <c r="AD994" s="10"/>
      <c r="AE994" s="10"/>
      <c r="AF994" s="10"/>
      <c r="AG994" s="10"/>
      <c r="AH994" s="10"/>
      <c r="AI994" s="10"/>
      <c r="AJ994" s="10"/>
      <c r="AK994" s="10"/>
      <c r="AL994" s="10"/>
      <c r="AM994" s="10"/>
      <c r="AN994" s="10"/>
      <c r="AO994" s="10"/>
      <c r="AP994" s="10"/>
      <c r="AQ994" s="10"/>
      <c r="AR994" s="10"/>
      <c r="AS994" s="10"/>
      <c r="AT994" s="10"/>
      <c r="AU994" s="10"/>
      <c r="AV994" s="10"/>
      <c r="AW994" s="10"/>
      <c r="AX994" s="10"/>
      <c r="AY994" s="10"/>
      <c r="AZ994" s="10"/>
      <c r="BA994" s="10"/>
    </row>
    <row r="995" spans="1:53" x14ac:dyDescent="0.25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  <c r="AD995" s="10"/>
      <c r="AE995" s="10"/>
      <c r="AF995" s="10"/>
      <c r="AG995" s="10"/>
      <c r="AH995" s="10"/>
      <c r="AI995" s="10"/>
      <c r="AJ995" s="10"/>
      <c r="AK995" s="10"/>
      <c r="AL995" s="10"/>
      <c r="AM995" s="10"/>
      <c r="AN995" s="10"/>
      <c r="AO995" s="10"/>
      <c r="AP995" s="10"/>
      <c r="AQ995" s="10"/>
      <c r="AR995" s="10"/>
      <c r="AS995" s="10"/>
      <c r="AT995" s="10"/>
      <c r="AU995" s="10"/>
      <c r="AV995" s="10"/>
      <c r="AW995" s="10"/>
      <c r="AX995" s="10"/>
      <c r="AY995" s="10"/>
      <c r="AZ995" s="10"/>
      <c r="BA995" s="10"/>
    </row>
    <row r="996" spans="1:53" x14ac:dyDescent="0.25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  <c r="AG996" s="10"/>
      <c r="AH996" s="10"/>
      <c r="AI996" s="10"/>
      <c r="AJ996" s="10"/>
      <c r="AK996" s="10"/>
      <c r="AL996" s="10"/>
      <c r="AM996" s="10"/>
      <c r="AN996" s="10"/>
      <c r="AO996" s="10"/>
      <c r="AP996" s="10"/>
      <c r="AQ996" s="10"/>
      <c r="AR996" s="10"/>
      <c r="AS996" s="10"/>
      <c r="AT996" s="10"/>
      <c r="AU996" s="10"/>
      <c r="AV996" s="10"/>
      <c r="AW996" s="10"/>
      <c r="AX996" s="10"/>
      <c r="AY996" s="10"/>
      <c r="AZ996" s="10"/>
      <c r="BA996" s="10"/>
    </row>
    <row r="997" spans="1:53" x14ac:dyDescent="0.25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0"/>
      <c r="AH997" s="10"/>
      <c r="AI997" s="10"/>
      <c r="AJ997" s="10"/>
      <c r="AK997" s="10"/>
      <c r="AL997" s="10"/>
      <c r="AM997" s="10"/>
      <c r="AN997" s="10"/>
      <c r="AO997" s="10"/>
      <c r="AP997" s="10"/>
      <c r="AQ997" s="10"/>
      <c r="AR997" s="10"/>
      <c r="AS997" s="10"/>
      <c r="AT997" s="10"/>
      <c r="AU997" s="10"/>
      <c r="AV997" s="10"/>
      <c r="AW997" s="10"/>
      <c r="AX997" s="10"/>
      <c r="AY997" s="10"/>
      <c r="AZ997" s="10"/>
      <c r="BA997" s="10"/>
    </row>
    <row r="998" spans="1:53" x14ac:dyDescent="0.25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0"/>
      <c r="AH998" s="10"/>
      <c r="AI998" s="10"/>
      <c r="AJ998" s="10"/>
      <c r="AK998" s="10"/>
      <c r="AL998" s="10"/>
      <c r="AM998" s="10"/>
      <c r="AN998" s="10"/>
      <c r="AO998" s="10"/>
      <c r="AP998" s="10"/>
      <c r="AQ998" s="10"/>
      <c r="AR998" s="10"/>
      <c r="AS998" s="10"/>
      <c r="AT998" s="10"/>
      <c r="AU998" s="10"/>
      <c r="AV998" s="10"/>
      <c r="AW998" s="10"/>
      <c r="AX998" s="10"/>
      <c r="AY998" s="10"/>
      <c r="AZ998" s="10"/>
      <c r="BA998" s="10"/>
    </row>
    <row r="999" spans="1:53" x14ac:dyDescent="0.25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  <c r="AG999" s="10"/>
      <c r="AH999" s="10"/>
      <c r="AI999" s="10"/>
      <c r="AJ999" s="10"/>
      <c r="AK999" s="10"/>
      <c r="AL999" s="10"/>
      <c r="AM999" s="10"/>
      <c r="AN999" s="10"/>
      <c r="AO999" s="10"/>
      <c r="AP999" s="10"/>
      <c r="AQ999" s="10"/>
      <c r="AR999" s="10"/>
      <c r="AS999" s="10"/>
      <c r="AT999" s="10"/>
      <c r="AU999" s="10"/>
      <c r="AV999" s="10"/>
      <c r="AW999" s="10"/>
      <c r="AX999" s="10"/>
      <c r="AY999" s="10"/>
      <c r="AZ999" s="10"/>
      <c r="BA999" s="10"/>
    </row>
    <row r="1000" spans="1:53" x14ac:dyDescent="0.25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  <c r="AG1000" s="10"/>
      <c r="AH1000" s="10"/>
      <c r="AI1000" s="10"/>
      <c r="AJ1000" s="10"/>
      <c r="AK1000" s="10"/>
      <c r="AL1000" s="10"/>
      <c r="AM1000" s="10"/>
      <c r="AN1000" s="10"/>
      <c r="AO1000" s="10"/>
      <c r="AP1000" s="10"/>
      <c r="AQ1000" s="10"/>
      <c r="AR1000" s="10"/>
      <c r="AS1000" s="10"/>
      <c r="AT1000" s="10"/>
      <c r="AU1000" s="10"/>
      <c r="AV1000" s="10"/>
      <c r="AW1000" s="10"/>
      <c r="AX1000" s="10"/>
      <c r="AY1000" s="10"/>
      <c r="AZ1000" s="10"/>
      <c r="BA1000" s="10"/>
    </row>
    <row r="1001" spans="1:53" x14ac:dyDescent="0.25">
      <c r="A1001" s="10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0"/>
      <c r="V1001" s="10"/>
      <c r="W1001" s="10"/>
      <c r="X1001" s="10"/>
      <c r="Y1001" s="10"/>
      <c r="Z1001" s="10"/>
      <c r="AA1001" s="10"/>
      <c r="AB1001" s="10"/>
      <c r="AC1001" s="10"/>
      <c r="AD1001" s="10"/>
      <c r="AE1001" s="10"/>
      <c r="AF1001" s="10"/>
      <c r="AG1001" s="10"/>
      <c r="AH1001" s="10"/>
      <c r="AI1001" s="10"/>
      <c r="AJ1001" s="10"/>
      <c r="AK1001" s="10"/>
      <c r="AL1001" s="10"/>
      <c r="AM1001" s="10"/>
      <c r="AN1001" s="10"/>
      <c r="AO1001" s="10"/>
      <c r="AP1001" s="10"/>
      <c r="AQ1001" s="10"/>
      <c r="AR1001" s="10"/>
      <c r="AS1001" s="10"/>
      <c r="AT1001" s="10"/>
      <c r="AU1001" s="10"/>
      <c r="AV1001" s="10"/>
      <c r="AW1001" s="10"/>
      <c r="AX1001" s="10"/>
      <c r="AY1001" s="10"/>
      <c r="AZ1001" s="10"/>
      <c r="BA1001" s="10"/>
    </row>
    <row r="1002" spans="1:53" x14ac:dyDescent="0.25">
      <c r="A1002" s="10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10"/>
      <c r="U1002" s="10"/>
      <c r="V1002" s="10"/>
      <c r="W1002" s="10"/>
      <c r="X1002" s="10"/>
      <c r="Y1002" s="10"/>
      <c r="Z1002" s="10"/>
      <c r="AA1002" s="10"/>
      <c r="AB1002" s="10"/>
      <c r="AC1002" s="10"/>
      <c r="AD1002" s="10"/>
      <c r="AE1002" s="10"/>
      <c r="AF1002" s="10"/>
      <c r="AG1002" s="10"/>
      <c r="AH1002" s="10"/>
      <c r="AI1002" s="10"/>
      <c r="AJ1002" s="10"/>
      <c r="AK1002" s="10"/>
      <c r="AL1002" s="10"/>
      <c r="AM1002" s="10"/>
      <c r="AN1002" s="10"/>
      <c r="AO1002" s="10"/>
      <c r="AP1002" s="10"/>
      <c r="AQ1002" s="10"/>
      <c r="AR1002" s="10"/>
      <c r="AS1002" s="10"/>
      <c r="AT1002" s="10"/>
      <c r="AU1002" s="10"/>
      <c r="AV1002" s="10"/>
      <c r="AW1002" s="10"/>
      <c r="AX1002" s="10"/>
      <c r="AY1002" s="10"/>
      <c r="AZ1002" s="10"/>
      <c r="BA1002" s="10"/>
    </row>
    <row r="1003" spans="1:53" x14ac:dyDescent="0.25">
      <c r="A1003" s="10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10"/>
      <c r="U1003" s="10"/>
      <c r="V1003" s="10"/>
      <c r="W1003" s="10"/>
      <c r="X1003" s="10"/>
      <c r="Y1003" s="10"/>
      <c r="Z1003" s="10"/>
      <c r="AA1003" s="10"/>
      <c r="AB1003" s="10"/>
      <c r="AC1003" s="10"/>
      <c r="AD1003" s="10"/>
      <c r="AE1003" s="10"/>
      <c r="AF1003" s="10"/>
      <c r="AG1003" s="10"/>
      <c r="AH1003" s="10"/>
      <c r="AI1003" s="10"/>
      <c r="AJ1003" s="10"/>
      <c r="AK1003" s="10"/>
      <c r="AL1003" s="10"/>
      <c r="AM1003" s="10"/>
      <c r="AN1003" s="10"/>
      <c r="AO1003" s="10"/>
      <c r="AP1003" s="10"/>
      <c r="AQ1003" s="10"/>
      <c r="AR1003" s="10"/>
      <c r="AS1003" s="10"/>
      <c r="AT1003" s="10"/>
      <c r="AU1003" s="10"/>
      <c r="AV1003" s="10"/>
      <c r="AW1003" s="10"/>
      <c r="AX1003" s="10"/>
      <c r="AY1003" s="10"/>
      <c r="AZ1003" s="10"/>
      <c r="BA1003" s="10"/>
    </row>
    <row r="1004" spans="1:53" x14ac:dyDescent="0.25">
      <c r="A1004" s="10"/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N1004" s="10"/>
      <c r="O1004" s="10"/>
      <c r="P1004" s="10"/>
      <c r="Q1004" s="10"/>
      <c r="R1004" s="10"/>
      <c r="S1004" s="10"/>
      <c r="T1004" s="10"/>
      <c r="U1004" s="10"/>
      <c r="V1004" s="10"/>
      <c r="W1004" s="10"/>
      <c r="X1004" s="10"/>
      <c r="Y1004" s="10"/>
      <c r="Z1004" s="10"/>
      <c r="AA1004" s="10"/>
      <c r="AB1004" s="10"/>
      <c r="AC1004" s="10"/>
      <c r="AD1004" s="10"/>
      <c r="AE1004" s="10"/>
      <c r="AF1004" s="10"/>
      <c r="AG1004" s="10"/>
      <c r="AH1004" s="10"/>
      <c r="AI1004" s="10"/>
      <c r="AJ1004" s="10"/>
      <c r="AK1004" s="10"/>
      <c r="AL1004" s="10"/>
      <c r="AM1004" s="10"/>
      <c r="AN1004" s="10"/>
      <c r="AO1004" s="10"/>
      <c r="AP1004" s="10"/>
      <c r="AQ1004" s="10"/>
      <c r="AR1004" s="10"/>
      <c r="AS1004" s="10"/>
      <c r="AT1004" s="10"/>
      <c r="AU1004" s="10"/>
      <c r="AV1004" s="10"/>
      <c r="AW1004" s="10"/>
      <c r="AX1004" s="10"/>
      <c r="AY1004" s="10"/>
      <c r="AZ1004" s="10"/>
      <c r="BA1004" s="10"/>
    </row>
    <row r="1005" spans="1:53" x14ac:dyDescent="0.25">
      <c r="A1005" s="10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N1005" s="10"/>
      <c r="O1005" s="10"/>
      <c r="P1005" s="10"/>
      <c r="Q1005" s="10"/>
      <c r="R1005" s="10"/>
      <c r="S1005" s="10"/>
      <c r="T1005" s="10"/>
      <c r="U1005" s="10"/>
      <c r="V1005" s="10"/>
      <c r="W1005" s="10"/>
      <c r="X1005" s="10"/>
      <c r="Y1005" s="10"/>
      <c r="Z1005" s="10"/>
      <c r="AA1005" s="10"/>
      <c r="AB1005" s="10"/>
      <c r="AC1005" s="10"/>
      <c r="AD1005" s="10"/>
      <c r="AE1005" s="10"/>
      <c r="AF1005" s="10"/>
      <c r="AG1005" s="10"/>
      <c r="AH1005" s="10"/>
      <c r="AI1005" s="10"/>
      <c r="AJ1005" s="10"/>
      <c r="AK1005" s="10"/>
      <c r="AL1005" s="10"/>
      <c r="AM1005" s="10"/>
      <c r="AN1005" s="10"/>
      <c r="AO1005" s="10"/>
      <c r="AP1005" s="10"/>
      <c r="AQ1005" s="10"/>
      <c r="AR1005" s="10"/>
      <c r="AS1005" s="10"/>
      <c r="AT1005" s="10"/>
      <c r="AU1005" s="10"/>
      <c r="AV1005" s="10"/>
      <c r="AW1005" s="10"/>
      <c r="AX1005" s="10"/>
      <c r="AY1005" s="10"/>
      <c r="AZ1005" s="10"/>
      <c r="BA1005" s="10"/>
    </row>
    <row r="1006" spans="1:53" x14ac:dyDescent="0.25">
      <c r="A1006" s="10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N1006" s="10"/>
      <c r="O1006" s="10"/>
      <c r="P1006" s="10"/>
      <c r="Q1006" s="10"/>
      <c r="R1006" s="10"/>
      <c r="S1006" s="10"/>
      <c r="T1006" s="10"/>
      <c r="U1006" s="10"/>
      <c r="V1006" s="10"/>
      <c r="W1006" s="10"/>
      <c r="X1006" s="10"/>
      <c r="Y1006" s="10"/>
      <c r="Z1006" s="10"/>
      <c r="AA1006" s="10"/>
      <c r="AB1006" s="10"/>
      <c r="AC1006" s="10"/>
      <c r="AD1006" s="10"/>
      <c r="AE1006" s="10"/>
      <c r="AF1006" s="10"/>
      <c r="AG1006" s="10"/>
      <c r="AH1006" s="10"/>
      <c r="AI1006" s="10"/>
      <c r="AJ1006" s="10"/>
      <c r="AK1006" s="10"/>
      <c r="AL1006" s="10"/>
      <c r="AM1006" s="10"/>
      <c r="AN1006" s="10"/>
      <c r="AO1006" s="10"/>
      <c r="AP1006" s="10"/>
      <c r="AQ1006" s="10"/>
      <c r="AR1006" s="10"/>
      <c r="AS1006" s="10"/>
      <c r="AT1006" s="10"/>
      <c r="AU1006" s="10"/>
      <c r="AV1006" s="10"/>
      <c r="AW1006" s="10"/>
      <c r="AX1006" s="10"/>
      <c r="AY1006" s="10"/>
      <c r="AZ1006" s="10"/>
      <c r="BA1006" s="10"/>
    </row>
    <row r="1007" spans="1:53" x14ac:dyDescent="0.25">
      <c r="A1007" s="10"/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N1007" s="10"/>
      <c r="O1007" s="10"/>
      <c r="P1007" s="10"/>
      <c r="Q1007" s="10"/>
      <c r="R1007" s="10"/>
      <c r="S1007" s="10"/>
      <c r="T1007" s="10"/>
      <c r="U1007" s="10"/>
      <c r="V1007" s="10"/>
      <c r="W1007" s="10"/>
      <c r="X1007" s="10"/>
      <c r="Y1007" s="10"/>
      <c r="Z1007" s="10"/>
      <c r="AA1007" s="10"/>
      <c r="AB1007" s="10"/>
      <c r="AC1007" s="10"/>
      <c r="AD1007" s="10"/>
      <c r="AE1007" s="10"/>
      <c r="AF1007" s="10"/>
      <c r="AG1007" s="10"/>
      <c r="AH1007" s="10"/>
      <c r="AI1007" s="10"/>
      <c r="AJ1007" s="10"/>
      <c r="AK1007" s="10"/>
      <c r="AL1007" s="10"/>
      <c r="AM1007" s="10"/>
      <c r="AN1007" s="10"/>
      <c r="AO1007" s="10"/>
      <c r="AP1007" s="10"/>
      <c r="AQ1007" s="10"/>
      <c r="AR1007" s="10"/>
      <c r="AS1007" s="10"/>
      <c r="AT1007" s="10"/>
      <c r="AU1007" s="10"/>
      <c r="AV1007" s="10"/>
      <c r="AW1007" s="10"/>
      <c r="AX1007" s="10"/>
      <c r="AY1007" s="10"/>
      <c r="AZ1007" s="10"/>
      <c r="BA1007" s="10"/>
    </row>
    <row r="1008" spans="1:53" x14ac:dyDescent="0.25">
      <c r="A1008" s="10"/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N1008" s="10"/>
      <c r="O1008" s="10"/>
      <c r="P1008" s="10"/>
      <c r="Q1008" s="10"/>
      <c r="R1008" s="10"/>
      <c r="S1008" s="10"/>
      <c r="T1008" s="10"/>
      <c r="U1008" s="10"/>
      <c r="V1008" s="10"/>
      <c r="W1008" s="10"/>
      <c r="X1008" s="10"/>
      <c r="Y1008" s="10"/>
      <c r="Z1008" s="10"/>
      <c r="AA1008" s="10"/>
      <c r="AB1008" s="10"/>
      <c r="AC1008" s="10"/>
      <c r="AD1008" s="10"/>
      <c r="AE1008" s="10"/>
      <c r="AF1008" s="10"/>
      <c r="AG1008" s="10"/>
      <c r="AH1008" s="10"/>
      <c r="AI1008" s="10"/>
      <c r="AJ1008" s="10"/>
      <c r="AK1008" s="10"/>
      <c r="AL1008" s="10"/>
      <c r="AM1008" s="10"/>
      <c r="AN1008" s="10"/>
      <c r="AO1008" s="10"/>
      <c r="AP1008" s="10"/>
      <c r="AQ1008" s="10"/>
      <c r="AR1008" s="10"/>
      <c r="AS1008" s="10"/>
      <c r="AT1008" s="10"/>
      <c r="AU1008" s="10"/>
      <c r="AV1008" s="10"/>
      <c r="AW1008" s="10"/>
      <c r="AX1008" s="10"/>
      <c r="AY1008" s="10"/>
      <c r="AZ1008" s="10"/>
      <c r="BA1008" s="10"/>
    </row>
    <row r="1009" spans="1:53" x14ac:dyDescent="0.25">
      <c r="A1009" s="10"/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N1009" s="10"/>
      <c r="O1009" s="10"/>
      <c r="P1009" s="10"/>
      <c r="Q1009" s="10"/>
      <c r="R1009" s="10"/>
      <c r="S1009" s="10"/>
      <c r="T1009" s="10"/>
      <c r="U1009" s="10"/>
      <c r="V1009" s="10"/>
      <c r="W1009" s="10"/>
      <c r="X1009" s="10"/>
      <c r="Y1009" s="10"/>
      <c r="Z1009" s="10"/>
      <c r="AA1009" s="10"/>
      <c r="AB1009" s="10"/>
      <c r="AC1009" s="10"/>
      <c r="AD1009" s="10"/>
      <c r="AE1009" s="10"/>
      <c r="AF1009" s="10"/>
      <c r="AG1009" s="10"/>
      <c r="AH1009" s="10"/>
      <c r="AI1009" s="10"/>
      <c r="AJ1009" s="10"/>
      <c r="AK1009" s="10"/>
      <c r="AL1009" s="10"/>
      <c r="AM1009" s="10"/>
      <c r="AN1009" s="10"/>
      <c r="AO1009" s="10"/>
      <c r="AP1009" s="10"/>
      <c r="AQ1009" s="10"/>
      <c r="AR1009" s="10"/>
      <c r="AS1009" s="10"/>
      <c r="AT1009" s="10"/>
      <c r="AU1009" s="10"/>
      <c r="AV1009" s="10"/>
      <c r="AW1009" s="10"/>
      <c r="AX1009" s="10"/>
      <c r="AY1009" s="10"/>
      <c r="AZ1009" s="10"/>
      <c r="BA1009" s="10"/>
    </row>
    <row r="1010" spans="1:53" x14ac:dyDescent="0.25">
      <c r="A1010" s="10"/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N1010" s="10"/>
      <c r="O1010" s="10"/>
      <c r="P1010" s="10"/>
      <c r="Q1010" s="10"/>
      <c r="R1010" s="10"/>
      <c r="S1010" s="10"/>
      <c r="T1010" s="10"/>
      <c r="U1010" s="10"/>
      <c r="V1010" s="10"/>
      <c r="W1010" s="10"/>
      <c r="X1010" s="10"/>
      <c r="Y1010" s="10"/>
      <c r="Z1010" s="10"/>
      <c r="AA1010" s="10"/>
      <c r="AB1010" s="10"/>
      <c r="AC1010" s="10"/>
      <c r="AD1010" s="10"/>
      <c r="AE1010" s="10"/>
      <c r="AF1010" s="10"/>
      <c r="AG1010" s="10"/>
      <c r="AH1010" s="10"/>
      <c r="AI1010" s="10"/>
      <c r="AJ1010" s="10"/>
      <c r="AK1010" s="10"/>
      <c r="AL1010" s="10"/>
      <c r="AM1010" s="10"/>
      <c r="AN1010" s="10"/>
      <c r="AO1010" s="10"/>
      <c r="AP1010" s="10"/>
      <c r="AQ1010" s="10"/>
      <c r="AR1010" s="10"/>
      <c r="AS1010" s="10"/>
      <c r="AT1010" s="10"/>
      <c r="AU1010" s="10"/>
      <c r="AV1010" s="10"/>
      <c r="AW1010" s="10"/>
      <c r="AX1010" s="10"/>
      <c r="AY1010" s="10"/>
      <c r="AZ1010" s="10"/>
      <c r="BA1010" s="10"/>
    </row>
    <row r="1011" spans="1:53" x14ac:dyDescent="0.25">
      <c r="A1011" s="10"/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N1011" s="10"/>
      <c r="O1011" s="10"/>
      <c r="P1011" s="10"/>
      <c r="Q1011" s="10"/>
      <c r="R1011" s="10"/>
      <c r="S1011" s="10"/>
      <c r="T1011" s="10"/>
      <c r="U1011" s="10"/>
      <c r="V1011" s="10"/>
      <c r="W1011" s="10"/>
      <c r="X1011" s="10"/>
      <c r="Y1011" s="10"/>
      <c r="Z1011" s="10"/>
      <c r="AA1011" s="10"/>
      <c r="AB1011" s="10"/>
      <c r="AC1011" s="10"/>
      <c r="AD1011" s="10"/>
      <c r="AE1011" s="10"/>
      <c r="AF1011" s="10"/>
      <c r="AG1011" s="10"/>
      <c r="AH1011" s="10"/>
      <c r="AI1011" s="10"/>
      <c r="AJ1011" s="10"/>
      <c r="AK1011" s="10"/>
      <c r="AL1011" s="10"/>
      <c r="AM1011" s="10"/>
      <c r="AN1011" s="10"/>
      <c r="AO1011" s="10"/>
      <c r="AP1011" s="10"/>
      <c r="AQ1011" s="10"/>
      <c r="AR1011" s="10"/>
      <c r="AS1011" s="10"/>
      <c r="AT1011" s="10"/>
      <c r="AU1011" s="10"/>
      <c r="AV1011" s="10"/>
      <c r="AW1011" s="10"/>
      <c r="AX1011" s="10"/>
      <c r="AY1011" s="10"/>
      <c r="AZ1011" s="10"/>
      <c r="BA1011" s="10"/>
    </row>
    <row r="1012" spans="1:53" x14ac:dyDescent="0.25">
      <c r="A1012" s="10"/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N1012" s="10"/>
      <c r="O1012" s="10"/>
      <c r="P1012" s="10"/>
      <c r="Q1012" s="10"/>
      <c r="R1012" s="10"/>
      <c r="S1012" s="10"/>
      <c r="T1012" s="10"/>
      <c r="U1012" s="10"/>
      <c r="V1012" s="10"/>
      <c r="W1012" s="10"/>
      <c r="X1012" s="10"/>
      <c r="Y1012" s="10"/>
      <c r="Z1012" s="10"/>
      <c r="AA1012" s="10"/>
      <c r="AB1012" s="10"/>
      <c r="AC1012" s="10"/>
      <c r="AD1012" s="10"/>
      <c r="AE1012" s="10"/>
      <c r="AF1012" s="10"/>
      <c r="AG1012" s="10"/>
      <c r="AH1012" s="10"/>
      <c r="AI1012" s="10"/>
      <c r="AJ1012" s="10"/>
      <c r="AK1012" s="10"/>
      <c r="AL1012" s="10"/>
      <c r="AM1012" s="10"/>
      <c r="AN1012" s="10"/>
      <c r="AO1012" s="10"/>
      <c r="AP1012" s="10"/>
      <c r="AQ1012" s="10"/>
      <c r="AR1012" s="10"/>
      <c r="AS1012" s="10"/>
      <c r="AT1012" s="10"/>
      <c r="AU1012" s="10"/>
      <c r="AV1012" s="10"/>
      <c r="AW1012" s="10"/>
      <c r="AX1012" s="10"/>
      <c r="AY1012" s="10"/>
      <c r="AZ1012" s="10"/>
      <c r="BA1012" s="10"/>
    </row>
    <row r="1013" spans="1:53" x14ac:dyDescent="0.25">
      <c r="A1013" s="10"/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N1013" s="10"/>
      <c r="O1013" s="10"/>
      <c r="P1013" s="10"/>
      <c r="Q1013" s="10"/>
      <c r="R1013" s="10"/>
      <c r="S1013" s="10"/>
      <c r="T1013" s="10"/>
      <c r="U1013" s="10"/>
      <c r="V1013" s="10"/>
      <c r="W1013" s="10"/>
      <c r="X1013" s="10"/>
      <c r="Y1013" s="10"/>
      <c r="Z1013" s="10"/>
      <c r="AA1013" s="10"/>
      <c r="AB1013" s="10"/>
      <c r="AC1013" s="10"/>
      <c r="AD1013" s="10"/>
      <c r="AE1013" s="10"/>
      <c r="AF1013" s="10"/>
      <c r="AG1013" s="10"/>
      <c r="AH1013" s="10"/>
      <c r="AI1013" s="10"/>
      <c r="AJ1013" s="10"/>
      <c r="AK1013" s="10"/>
      <c r="AL1013" s="10"/>
      <c r="AM1013" s="10"/>
      <c r="AN1013" s="10"/>
      <c r="AO1013" s="10"/>
      <c r="AP1013" s="10"/>
      <c r="AQ1013" s="10"/>
      <c r="AR1013" s="10"/>
      <c r="AS1013" s="10"/>
      <c r="AT1013" s="10"/>
      <c r="AU1013" s="10"/>
      <c r="AV1013" s="10"/>
      <c r="AW1013" s="10"/>
      <c r="AX1013" s="10"/>
      <c r="AY1013" s="10"/>
      <c r="AZ1013" s="10"/>
      <c r="BA1013" s="10"/>
    </row>
    <row r="1014" spans="1:53" x14ac:dyDescent="0.25">
      <c r="A1014" s="10"/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N1014" s="10"/>
      <c r="O1014" s="10"/>
      <c r="P1014" s="10"/>
      <c r="Q1014" s="10"/>
      <c r="R1014" s="10"/>
      <c r="S1014" s="10"/>
      <c r="T1014" s="10"/>
      <c r="U1014" s="10"/>
      <c r="V1014" s="10"/>
      <c r="W1014" s="10"/>
      <c r="X1014" s="10"/>
      <c r="Y1014" s="10"/>
      <c r="Z1014" s="10"/>
      <c r="AA1014" s="10"/>
      <c r="AB1014" s="10"/>
      <c r="AC1014" s="10"/>
      <c r="AD1014" s="10"/>
      <c r="AE1014" s="10"/>
      <c r="AF1014" s="10"/>
      <c r="AG1014" s="10"/>
      <c r="AH1014" s="10"/>
      <c r="AI1014" s="10"/>
      <c r="AJ1014" s="10"/>
      <c r="AK1014" s="10"/>
      <c r="AL1014" s="10"/>
      <c r="AM1014" s="10"/>
      <c r="AN1014" s="10"/>
      <c r="AO1014" s="10"/>
      <c r="AP1014" s="10"/>
      <c r="AQ1014" s="10"/>
      <c r="AR1014" s="10"/>
      <c r="AS1014" s="10"/>
      <c r="AT1014" s="10"/>
      <c r="AU1014" s="10"/>
      <c r="AV1014" s="10"/>
      <c r="AW1014" s="10"/>
      <c r="AX1014" s="10"/>
      <c r="AY1014" s="10"/>
      <c r="AZ1014" s="10"/>
      <c r="BA1014" s="10"/>
    </row>
    <row r="1015" spans="1:53" x14ac:dyDescent="0.25">
      <c r="A1015" s="10"/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N1015" s="10"/>
      <c r="O1015" s="10"/>
      <c r="P1015" s="10"/>
      <c r="Q1015" s="10"/>
      <c r="R1015" s="10"/>
      <c r="S1015" s="10"/>
      <c r="T1015" s="10"/>
      <c r="U1015" s="10"/>
      <c r="V1015" s="10"/>
      <c r="W1015" s="10"/>
      <c r="X1015" s="10"/>
      <c r="Y1015" s="10"/>
      <c r="Z1015" s="10"/>
      <c r="AA1015" s="10"/>
      <c r="AB1015" s="10"/>
      <c r="AC1015" s="10"/>
      <c r="AD1015" s="10"/>
      <c r="AE1015" s="10"/>
      <c r="AF1015" s="10"/>
      <c r="AG1015" s="10"/>
      <c r="AH1015" s="10"/>
      <c r="AI1015" s="10"/>
      <c r="AJ1015" s="10"/>
      <c r="AK1015" s="10"/>
      <c r="AL1015" s="10"/>
      <c r="AM1015" s="10"/>
      <c r="AN1015" s="10"/>
      <c r="AO1015" s="10"/>
      <c r="AP1015" s="10"/>
      <c r="AQ1015" s="10"/>
      <c r="AR1015" s="10"/>
      <c r="AS1015" s="10"/>
      <c r="AT1015" s="10"/>
      <c r="AU1015" s="10"/>
      <c r="AV1015" s="10"/>
      <c r="AW1015" s="10"/>
      <c r="AX1015" s="10"/>
      <c r="AY1015" s="10"/>
      <c r="AZ1015" s="10"/>
      <c r="BA1015" s="10"/>
    </row>
    <row r="1016" spans="1:53" x14ac:dyDescent="0.25">
      <c r="A1016" s="10"/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N1016" s="10"/>
      <c r="O1016" s="10"/>
      <c r="P1016" s="10"/>
      <c r="Q1016" s="10"/>
      <c r="R1016" s="10"/>
      <c r="S1016" s="10"/>
      <c r="T1016" s="10"/>
      <c r="U1016" s="10"/>
      <c r="V1016" s="10"/>
      <c r="W1016" s="10"/>
      <c r="X1016" s="10"/>
      <c r="Y1016" s="10"/>
      <c r="Z1016" s="10"/>
      <c r="AA1016" s="10"/>
      <c r="AB1016" s="10"/>
      <c r="AC1016" s="10"/>
      <c r="AD1016" s="10"/>
      <c r="AE1016" s="10"/>
      <c r="AF1016" s="10"/>
      <c r="AG1016" s="10"/>
      <c r="AH1016" s="10"/>
      <c r="AI1016" s="10"/>
      <c r="AJ1016" s="10"/>
      <c r="AK1016" s="10"/>
      <c r="AL1016" s="10"/>
      <c r="AM1016" s="10"/>
      <c r="AN1016" s="10"/>
      <c r="AO1016" s="10"/>
      <c r="AP1016" s="10"/>
      <c r="AQ1016" s="10"/>
      <c r="AR1016" s="10"/>
      <c r="AS1016" s="10"/>
      <c r="AT1016" s="10"/>
      <c r="AU1016" s="10"/>
      <c r="AV1016" s="10"/>
      <c r="AW1016" s="10"/>
      <c r="AX1016" s="10"/>
      <c r="AY1016" s="10"/>
      <c r="AZ1016" s="10"/>
      <c r="BA1016" s="10"/>
    </row>
    <row r="1017" spans="1:53" x14ac:dyDescent="0.25">
      <c r="A1017" s="10"/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N1017" s="10"/>
      <c r="O1017" s="10"/>
      <c r="P1017" s="10"/>
      <c r="Q1017" s="10"/>
      <c r="R1017" s="10"/>
      <c r="S1017" s="10"/>
      <c r="T1017" s="10"/>
      <c r="U1017" s="10"/>
      <c r="V1017" s="10"/>
      <c r="W1017" s="10"/>
      <c r="X1017" s="10"/>
      <c r="Y1017" s="10"/>
      <c r="Z1017" s="10"/>
      <c r="AA1017" s="10"/>
      <c r="AB1017" s="10"/>
      <c r="AC1017" s="10"/>
      <c r="AD1017" s="10"/>
      <c r="AE1017" s="10"/>
      <c r="AF1017" s="10"/>
      <c r="AG1017" s="10"/>
      <c r="AH1017" s="10"/>
      <c r="AI1017" s="10"/>
      <c r="AJ1017" s="10"/>
      <c r="AK1017" s="10"/>
      <c r="AL1017" s="10"/>
      <c r="AM1017" s="10"/>
      <c r="AN1017" s="10"/>
      <c r="AO1017" s="10"/>
      <c r="AP1017" s="10"/>
      <c r="AQ1017" s="10"/>
      <c r="AR1017" s="10"/>
      <c r="AS1017" s="10"/>
      <c r="AT1017" s="10"/>
      <c r="AU1017" s="10"/>
      <c r="AV1017" s="10"/>
      <c r="AW1017" s="10"/>
      <c r="AX1017" s="10"/>
      <c r="AY1017" s="10"/>
      <c r="AZ1017" s="10"/>
      <c r="BA1017" s="10"/>
    </row>
    <row r="1018" spans="1:53" x14ac:dyDescent="0.25">
      <c r="A1018" s="10"/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N1018" s="10"/>
      <c r="O1018" s="10"/>
      <c r="P1018" s="10"/>
      <c r="Q1018" s="10"/>
      <c r="R1018" s="10"/>
      <c r="S1018" s="10"/>
      <c r="T1018" s="10"/>
      <c r="U1018" s="10"/>
      <c r="V1018" s="10"/>
      <c r="W1018" s="10"/>
      <c r="X1018" s="10"/>
      <c r="Y1018" s="10"/>
      <c r="Z1018" s="10"/>
      <c r="AA1018" s="10"/>
      <c r="AB1018" s="10"/>
      <c r="AC1018" s="10"/>
      <c r="AD1018" s="10"/>
      <c r="AE1018" s="10"/>
      <c r="AF1018" s="10"/>
      <c r="AG1018" s="10"/>
      <c r="AH1018" s="10"/>
      <c r="AI1018" s="10"/>
      <c r="AJ1018" s="10"/>
      <c r="AK1018" s="10"/>
      <c r="AL1018" s="10"/>
      <c r="AM1018" s="10"/>
      <c r="AN1018" s="10"/>
      <c r="AO1018" s="10"/>
      <c r="AP1018" s="10"/>
      <c r="AQ1018" s="10"/>
      <c r="AR1018" s="10"/>
      <c r="AS1018" s="10"/>
      <c r="AT1018" s="10"/>
      <c r="AU1018" s="10"/>
      <c r="AV1018" s="10"/>
      <c r="AW1018" s="10"/>
      <c r="AX1018" s="10"/>
      <c r="AY1018" s="10"/>
      <c r="AZ1018" s="10"/>
      <c r="BA1018" s="10"/>
    </row>
    <row r="1019" spans="1:53" x14ac:dyDescent="0.25">
      <c r="A1019" s="10"/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  <c r="Z1019" s="10"/>
      <c r="AA1019" s="10"/>
      <c r="AB1019" s="10"/>
      <c r="AC1019" s="10"/>
      <c r="AD1019" s="10"/>
      <c r="AE1019" s="10"/>
      <c r="AF1019" s="10"/>
      <c r="AG1019" s="10"/>
      <c r="AH1019" s="10"/>
      <c r="AI1019" s="10"/>
      <c r="AJ1019" s="10"/>
      <c r="AK1019" s="10"/>
      <c r="AL1019" s="10"/>
      <c r="AM1019" s="10"/>
      <c r="AN1019" s="10"/>
      <c r="AO1019" s="10"/>
      <c r="AP1019" s="10"/>
      <c r="AQ1019" s="10"/>
      <c r="AR1019" s="10"/>
      <c r="AS1019" s="10"/>
      <c r="AT1019" s="10"/>
      <c r="AU1019" s="10"/>
      <c r="AV1019" s="10"/>
      <c r="AW1019" s="10"/>
      <c r="AX1019" s="10"/>
      <c r="AY1019" s="10"/>
      <c r="AZ1019" s="10"/>
      <c r="BA1019" s="10"/>
    </row>
    <row r="1020" spans="1:53" x14ac:dyDescent="0.25">
      <c r="A1020" s="10"/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N1020" s="10"/>
      <c r="O1020" s="10"/>
      <c r="P1020" s="10"/>
      <c r="Q1020" s="10"/>
      <c r="R1020" s="10"/>
      <c r="S1020" s="10"/>
      <c r="T1020" s="10"/>
      <c r="U1020" s="10"/>
      <c r="V1020" s="10"/>
      <c r="W1020" s="10"/>
      <c r="X1020" s="10"/>
      <c r="Y1020" s="10"/>
      <c r="Z1020" s="10"/>
      <c r="AA1020" s="10"/>
      <c r="AB1020" s="10"/>
      <c r="AC1020" s="10"/>
      <c r="AD1020" s="10"/>
      <c r="AE1020" s="10"/>
      <c r="AF1020" s="10"/>
      <c r="AG1020" s="10"/>
      <c r="AH1020" s="10"/>
      <c r="AI1020" s="10"/>
      <c r="AJ1020" s="10"/>
      <c r="AK1020" s="10"/>
      <c r="AL1020" s="10"/>
      <c r="AM1020" s="10"/>
      <c r="AN1020" s="10"/>
      <c r="AO1020" s="10"/>
      <c r="AP1020" s="10"/>
      <c r="AQ1020" s="10"/>
      <c r="AR1020" s="10"/>
      <c r="AS1020" s="10"/>
      <c r="AT1020" s="10"/>
      <c r="AU1020" s="10"/>
      <c r="AV1020" s="10"/>
      <c r="AW1020" s="10"/>
      <c r="AX1020" s="10"/>
      <c r="AY1020" s="10"/>
      <c r="AZ1020" s="10"/>
      <c r="BA1020" s="10"/>
    </row>
    <row r="1021" spans="1:53" x14ac:dyDescent="0.25">
      <c r="A1021" s="10"/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N1021" s="10"/>
      <c r="O1021" s="10"/>
      <c r="P1021" s="10"/>
      <c r="Q1021" s="10"/>
      <c r="R1021" s="10"/>
      <c r="S1021" s="10"/>
      <c r="T1021" s="10"/>
      <c r="U1021" s="10"/>
      <c r="V1021" s="10"/>
      <c r="W1021" s="10"/>
      <c r="X1021" s="10"/>
      <c r="Y1021" s="10"/>
      <c r="Z1021" s="10"/>
      <c r="AA1021" s="10"/>
      <c r="AB1021" s="10"/>
      <c r="AC1021" s="10"/>
      <c r="AD1021" s="10"/>
      <c r="AE1021" s="10"/>
      <c r="AF1021" s="10"/>
      <c r="AG1021" s="10"/>
      <c r="AH1021" s="10"/>
      <c r="AI1021" s="10"/>
      <c r="AJ1021" s="10"/>
      <c r="AK1021" s="10"/>
      <c r="AL1021" s="10"/>
      <c r="AM1021" s="10"/>
      <c r="AN1021" s="10"/>
      <c r="AO1021" s="10"/>
      <c r="AP1021" s="10"/>
      <c r="AQ1021" s="10"/>
      <c r="AR1021" s="10"/>
      <c r="AS1021" s="10"/>
      <c r="AT1021" s="10"/>
      <c r="AU1021" s="10"/>
      <c r="AV1021" s="10"/>
      <c r="AW1021" s="10"/>
      <c r="AX1021" s="10"/>
      <c r="AY1021" s="10"/>
      <c r="AZ1021" s="10"/>
      <c r="BA1021" s="10"/>
    </row>
    <row r="1022" spans="1:53" x14ac:dyDescent="0.25">
      <c r="A1022" s="10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N1022" s="10"/>
      <c r="O1022" s="10"/>
      <c r="P1022" s="10"/>
      <c r="Q1022" s="10"/>
      <c r="R1022" s="10"/>
      <c r="S1022" s="10"/>
      <c r="T1022" s="10"/>
      <c r="U1022" s="10"/>
      <c r="V1022" s="10"/>
      <c r="W1022" s="10"/>
      <c r="X1022" s="10"/>
      <c r="Y1022" s="10"/>
      <c r="Z1022" s="10"/>
      <c r="AA1022" s="10"/>
      <c r="AB1022" s="10"/>
      <c r="AC1022" s="10"/>
      <c r="AD1022" s="10"/>
      <c r="AE1022" s="10"/>
      <c r="AF1022" s="10"/>
      <c r="AG1022" s="10"/>
      <c r="AH1022" s="10"/>
      <c r="AI1022" s="10"/>
      <c r="AJ1022" s="10"/>
      <c r="AK1022" s="10"/>
      <c r="AL1022" s="10"/>
      <c r="AM1022" s="10"/>
      <c r="AN1022" s="10"/>
      <c r="AO1022" s="10"/>
      <c r="AP1022" s="10"/>
      <c r="AQ1022" s="10"/>
      <c r="AR1022" s="10"/>
      <c r="AS1022" s="10"/>
      <c r="AT1022" s="10"/>
      <c r="AU1022" s="10"/>
      <c r="AV1022" s="10"/>
      <c r="AW1022" s="10"/>
      <c r="AX1022" s="10"/>
      <c r="AY1022" s="10"/>
      <c r="AZ1022" s="10"/>
      <c r="BA1022" s="10"/>
    </row>
    <row r="1023" spans="1:53" x14ac:dyDescent="0.25">
      <c r="A1023" s="10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N1023" s="10"/>
      <c r="O1023" s="10"/>
      <c r="P1023" s="10"/>
      <c r="Q1023" s="10"/>
      <c r="R1023" s="10"/>
      <c r="S1023" s="10"/>
      <c r="T1023" s="10"/>
      <c r="U1023" s="10"/>
      <c r="V1023" s="10"/>
      <c r="W1023" s="10"/>
      <c r="X1023" s="10"/>
      <c r="Y1023" s="10"/>
      <c r="Z1023" s="10"/>
      <c r="AA1023" s="10"/>
      <c r="AB1023" s="10"/>
      <c r="AC1023" s="10"/>
      <c r="AD1023" s="10"/>
      <c r="AE1023" s="10"/>
      <c r="AF1023" s="10"/>
      <c r="AG1023" s="10"/>
      <c r="AH1023" s="10"/>
      <c r="AI1023" s="10"/>
      <c r="AJ1023" s="10"/>
      <c r="AK1023" s="10"/>
      <c r="AL1023" s="10"/>
      <c r="AM1023" s="10"/>
      <c r="AN1023" s="10"/>
      <c r="AO1023" s="10"/>
      <c r="AP1023" s="10"/>
      <c r="AQ1023" s="10"/>
      <c r="AR1023" s="10"/>
      <c r="AS1023" s="10"/>
      <c r="AT1023" s="10"/>
      <c r="AU1023" s="10"/>
      <c r="AV1023" s="10"/>
      <c r="AW1023" s="10"/>
      <c r="AX1023" s="10"/>
      <c r="AY1023" s="10"/>
      <c r="AZ1023" s="10"/>
      <c r="BA1023" s="10"/>
    </row>
    <row r="1024" spans="1:53" x14ac:dyDescent="0.25">
      <c r="A1024" s="10"/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N1024" s="10"/>
      <c r="O1024" s="10"/>
      <c r="P1024" s="10"/>
      <c r="Q1024" s="10"/>
      <c r="R1024" s="10"/>
      <c r="S1024" s="10"/>
      <c r="T1024" s="10"/>
      <c r="U1024" s="10"/>
      <c r="V1024" s="10"/>
      <c r="W1024" s="10"/>
      <c r="X1024" s="10"/>
      <c r="Y1024" s="10"/>
      <c r="Z1024" s="10"/>
      <c r="AA1024" s="10"/>
      <c r="AB1024" s="10"/>
      <c r="AC1024" s="10"/>
      <c r="AD1024" s="10"/>
      <c r="AE1024" s="10"/>
      <c r="AF1024" s="10"/>
      <c r="AG1024" s="10"/>
      <c r="AH1024" s="10"/>
      <c r="AI1024" s="10"/>
      <c r="AJ1024" s="10"/>
      <c r="AK1024" s="10"/>
      <c r="AL1024" s="10"/>
      <c r="AM1024" s="10"/>
      <c r="AN1024" s="10"/>
      <c r="AO1024" s="10"/>
      <c r="AP1024" s="10"/>
      <c r="AQ1024" s="10"/>
      <c r="AR1024" s="10"/>
      <c r="AS1024" s="10"/>
      <c r="AT1024" s="10"/>
      <c r="AU1024" s="10"/>
      <c r="AV1024" s="10"/>
      <c r="AW1024" s="10"/>
      <c r="AX1024" s="10"/>
      <c r="AY1024" s="10"/>
      <c r="AZ1024" s="10"/>
      <c r="BA1024" s="10"/>
    </row>
    <row r="1025" spans="1:53" x14ac:dyDescent="0.25">
      <c r="A1025" s="10"/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N1025" s="10"/>
      <c r="O1025" s="10"/>
      <c r="P1025" s="10"/>
      <c r="Q1025" s="10"/>
      <c r="R1025" s="10"/>
      <c r="S1025" s="10"/>
      <c r="T1025" s="10"/>
      <c r="U1025" s="10"/>
      <c r="V1025" s="10"/>
      <c r="W1025" s="10"/>
      <c r="X1025" s="10"/>
      <c r="Y1025" s="10"/>
      <c r="Z1025" s="10"/>
      <c r="AA1025" s="10"/>
      <c r="AB1025" s="10"/>
      <c r="AC1025" s="10"/>
      <c r="AD1025" s="10"/>
      <c r="AE1025" s="10"/>
      <c r="AF1025" s="10"/>
      <c r="AG1025" s="10"/>
      <c r="AH1025" s="10"/>
      <c r="AI1025" s="10"/>
      <c r="AJ1025" s="10"/>
      <c r="AK1025" s="10"/>
      <c r="AL1025" s="10"/>
      <c r="AM1025" s="10"/>
      <c r="AN1025" s="10"/>
      <c r="AO1025" s="10"/>
      <c r="AP1025" s="10"/>
      <c r="AQ1025" s="10"/>
      <c r="AR1025" s="10"/>
      <c r="AS1025" s="10"/>
      <c r="AT1025" s="10"/>
      <c r="AU1025" s="10"/>
      <c r="AV1025" s="10"/>
      <c r="AW1025" s="10"/>
      <c r="AX1025" s="10"/>
      <c r="AY1025" s="10"/>
      <c r="AZ1025" s="10"/>
      <c r="BA1025" s="10"/>
    </row>
    <row r="1026" spans="1:53" x14ac:dyDescent="0.25">
      <c r="A1026" s="10"/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N1026" s="10"/>
      <c r="O1026" s="10"/>
      <c r="P1026" s="10"/>
      <c r="Q1026" s="10"/>
      <c r="R1026" s="10"/>
      <c r="S1026" s="10"/>
      <c r="T1026" s="10"/>
      <c r="U1026" s="10"/>
      <c r="V1026" s="10"/>
      <c r="W1026" s="10"/>
      <c r="X1026" s="10"/>
      <c r="Y1026" s="10"/>
      <c r="Z1026" s="10"/>
      <c r="AA1026" s="10"/>
      <c r="AB1026" s="10"/>
      <c r="AC1026" s="10"/>
      <c r="AD1026" s="10"/>
      <c r="AE1026" s="10"/>
      <c r="AF1026" s="10"/>
      <c r="AG1026" s="10"/>
      <c r="AH1026" s="10"/>
      <c r="AI1026" s="10"/>
      <c r="AJ1026" s="10"/>
      <c r="AK1026" s="10"/>
      <c r="AL1026" s="10"/>
      <c r="AM1026" s="10"/>
      <c r="AN1026" s="10"/>
      <c r="AO1026" s="10"/>
      <c r="AP1026" s="10"/>
      <c r="AQ1026" s="10"/>
      <c r="AR1026" s="10"/>
      <c r="AS1026" s="10"/>
      <c r="AT1026" s="10"/>
      <c r="AU1026" s="10"/>
      <c r="AV1026" s="10"/>
      <c r="AW1026" s="10"/>
      <c r="AX1026" s="10"/>
      <c r="AY1026" s="10"/>
      <c r="AZ1026" s="10"/>
      <c r="BA1026" s="10"/>
    </row>
    <row r="1027" spans="1:53" x14ac:dyDescent="0.25">
      <c r="A1027" s="10"/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N1027" s="10"/>
      <c r="O1027" s="10"/>
      <c r="P1027" s="10"/>
      <c r="Q1027" s="10"/>
      <c r="R1027" s="10"/>
      <c r="S1027" s="10"/>
      <c r="T1027" s="10"/>
      <c r="U1027" s="10"/>
      <c r="V1027" s="10"/>
      <c r="W1027" s="10"/>
      <c r="X1027" s="10"/>
      <c r="Y1027" s="10"/>
      <c r="Z1027" s="10"/>
      <c r="AA1027" s="10"/>
      <c r="AB1027" s="10"/>
      <c r="AC1027" s="10"/>
      <c r="AD1027" s="10"/>
      <c r="AE1027" s="10"/>
      <c r="AF1027" s="10"/>
      <c r="AG1027" s="10"/>
      <c r="AH1027" s="10"/>
      <c r="AI1027" s="10"/>
      <c r="AJ1027" s="10"/>
      <c r="AK1027" s="10"/>
      <c r="AL1027" s="10"/>
      <c r="AM1027" s="10"/>
      <c r="AN1027" s="10"/>
      <c r="AO1027" s="10"/>
      <c r="AP1027" s="10"/>
      <c r="AQ1027" s="10"/>
      <c r="AR1027" s="10"/>
      <c r="AS1027" s="10"/>
      <c r="AT1027" s="10"/>
      <c r="AU1027" s="10"/>
      <c r="AV1027" s="10"/>
      <c r="AW1027" s="10"/>
      <c r="AX1027" s="10"/>
      <c r="AY1027" s="10"/>
      <c r="AZ1027" s="10"/>
      <c r="BA1027" s="10"/>
    </row>
    <row r="1028" spans="1:53" x14ac:dyDescent="0.25">
      <c r="A1028" s="10"/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N1028" s="10"/>
      <c r="O1028" s="10"/>
      <c r="P1028" s="10"/>
      <c r="Q1028" s="10"/>
      <c r="R1028" s="10"/>
      <c r="S1028" s="10"/>
      <c r="T1028" s="10"/>
      <c r="U1028" s="10"/>
      <c r="V1028" s="10"/>
      <c r="W1028" s="10"/>
      <c r="X1028" s="10"/>
      <c r="Y1028" s="10"/>
      <c r="Z1028" s="10"/>
      <c r="AA1028" s="10"/>
      <c r="AB1028" s="10"/>
      <c r="AC1028" s="10"/>
      <c r="AD1028" s="10"/>
      <c r="AE1028" s="10"/>
      <c r="AF1028" s="10"/>
      <c r="AG1028" s="10"/>
      <c r="AH1028" s="10"/>
      <c r="AI1028" s="10"/>
      <c r="AJ1028" s="10"/>
      <c r="AK1028" s="10"/>
      <c r="AL1028" s="10"/>
      <c r="AM1028" s="10"/>
      <c r="AN1028" s="10"/>
      <c r="AO1028" s="10"/>
      <c r="AP1028" s="10"/>
      <c r="AQ1028" s="10"/>
      <c r="AR1028" s="10"/>
      <c r="AS1028" s="10"/>
      <c r="AT1028" s="10"/>
      <c r="AU1028" s="10"/>
      <c r="AV1028" s="10"/>
      <c r="AW1028" s="10"/>
      <c r="AX1028" s="10"/>
      <c r="AY1028" s="10"/>
      <c r="AZ1028" s="10"/>
      <c r="BA1028" s="10"/>
    </row>
    <row r="1029" spans="1:53" x14ac:dyDescent="0.25">
      <c r="A1029" s="10"/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N1029" s="10"/>
      <c r="O1029" s="10"/>
      <c r="P1029" s="10"/>
      <c r="Q1029" s="10"/>
      <c r="R1029" s="10"/>
      <c r="S1029" s="10"/>
      <c r="T1029" s="10"/>
      <c r="U1029" s="10"/>
      <c r="V1029" s="10"/>
      <c r="W1029" s="10"/>
      <c r="X1029" s="10"/>
      <c r="Y1029" s="10"/>
      <c r="Z1029" s="10"/>
      <c r="AA1029" s="10"/>
      <c r="AB1029" s="10"/>
      <c r="AC1029" s="10"/>
      <c r="AD1029" s="10"/>
      <c r="AE1029" s="10"/>
      <c r="AF1029" s="10"/>
      <c r="AG1029" s="10"/>
      <c r="AH1029" s="10"/>
      <c r="AI1029" s="10"/>
      <c r="AJ1029" s="10"/>
      <c r="AK1029" s="10"/>
      <c r="AL1029" s="10"/>
      <c r="AM1029" s="10"/>
      <c r="AN1029" s="10"/>
      <c r="AO1029" s="10"/>
      <c r="AP1029" s="10"/>
      <c r="AQ1029" s="10"/>
      <c r="AR1029" s="10"/>
      <c r="AS1029" s="10"/>
      <c r="AT1029" s="10"/>
      <c r="AU1029" s="10"/>
      <c r="AV1029" s="10"/>
      <c r="AW1029" s="10"/>
      <c r="AX1029" s="10"/>
      <c r="AY1029" s="10"/>
      <c r="AZ1029" s="10"/>
      <c r="BA1029" s="10"/>
    </row>
    <row r="1030" spans="1:53" x14ac:dyDescent="0.25">
      <c r="A1030" s="10"/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N1030" s="10"/>
      <c r="O1030" s="10"/>
      <c r="P1030" s="10"/>
      <c r="Q1030" s="10"/>
      <c r="R1030" s="10"/>
      <c r="S1030" s="10"/>
      <c r="T1030" s="10"/>
      <c r="U1030" s="10"/>
      <c r="V1030" s="10"/>
      <c r="W1030" s="10"/>
      <c r="X1030" s="10"/>
      <c r="Y1030" s="10"/>
      <c r="Z1030" s="10"/>
      <c r="AA1030" s="10"/>
      <c r="AB1030" s="10"/>
      <c r="AC1030" s="10"/>
      <c r="AD1030" s="10"/>
      <c r="AE1030" s="10"/>
      <c r="AF1030" s="10"/>
      <c r="AG1030" s="10"/>
      <c r="AH1030" s="10"/>
      <c r="AI1030" s="10"/>
      <c r="AJ1030" s="10"/>
      <c r="AK1030" s="10"/>
      <c r="AL1030" s="10"/>
      <c r="AM1030" s="10"/>
      <c r="AN1030" s="10"/>
      <c r="AO1030" s="10"/>
      <c r="AP1030" s="10"/>
      <c r="AQ1030" s="10"/>
      <c r="AR1030" s="10"/>
      <c r="AS1030" s="10"/>
      <c r="AT1030" s="10"/>
      <c r="AU1030" s="10"/>
      <c r="AV1030" s="10"/>
      <c r="AW1030" s="10"/>
      <c r="AX1030" s="10"/>
      <c r="AY1030" s="10"/>
      <c r="AZ1030" s="10"/>
      <c r="BA1030" s="10"/>
    </row>
    <row r="1031" spans="1:53" x14ac:dyDescent="0.25">
      <c r="A1031" s="10"/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N1031" s="10"/>
      <c r="O1031" s="10"/>
      <c r="P1031" s="10"/>
      <c r="Q1031" s="10"/>
      <c r="R1031" s="10"/>
      <c r="S1031" s="10"/>
      <c r="T1031" s="10"/>
      <c r="U1031" s="10"/>
      <c r="V1031" s="10"/>
      <c r="W1031" s="10"/>
      <c r="X1031" s="10"/>
      <c r="Y1031" s="10"/>
      <c r="Z1031" s="10"/>
      <c r="AA1031" s="10"/>
      <c r="AB1031" s="10"/>
      <c r="AC1031" s="10"/>
      <c r="AD1031" s="10"/>
      <c r="AE1031" s="10"/>
      <c r="AF1031" s="10"/>
      <c r="AG1031" s="10"/>
      <c r="AH1031" s="10"/>
      <c r="AI1031" s="10"/>
      <c r="AJ1031" s="10"/>
      <c r="AK1031" s="10"/>
      <c r="AL1031" s="10"/>
      <c r="AM1031" s="10"/>
      <c r="AN1031" s="10"/>
      <c r="AO1031" s="10"/>
      <c r="AP1031" s="10"/>
      <c r="AQ1031" s="10"/>
      <c r="AR1031" s="10"/>
      <c r="AS1031" s="10"/>
      <c r="AT1031" s="10"/>
      <c r="AU1031" s="10"/>
      <c r="AV1031" s="10"/>
      <c r="AW1031" s="10"/>
      <c r="AX1031" s="10"/>
      <c r="AY1031" s="10"/>
      <c r="AZ1031" s="10"/>
      <c r="BA1031" s="10"/>
    </row>
    <row r="1032" spans="1:53" x14ac:dyDescent="0.25">
      <c r="A1032" s="10"/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N1032" s="10"/>
      <c r="O1032" s="10"/>
      <c r="P1032" s="10"/>
      <c r="Q1032" s="10"/>
      <c r="R1032" s="10"/>
      <c r="S1032" s="10"/>
      <c r="T1032" s="10"/>
      <c r="U1032" s="10"/>
      <c r="V1032" s="10"/>
      <c r="W1032" s="10"/>
      <c r="X1032" s="10"/>
      <c r="Y1032" s="10"/>
      <c r="Z1032" s="10"/>
      <c r="AA1032" s="10"/>
      <c r="AB1032" s="10"/>
      <c r="AC1032" s="10"/>
      <c r="AD1032" s="10"/>
      <c r="AE1032" s="10"/>
      <c r="AF1032" s="10"/>
      <c r="AG1032" s="10"/>
      <c r="AH1032" s="10"/>
      <c r="AI1032" s="10"/>
      <c r="AJ1032" s="10"/>
      <c r="AK1032" s="10"/>
      <c r="AL1032" s="10"/>
      <c r="AM1032" s="10"/>
      <c r="AN1032" s="10"/>
      <c r="AO1032" s="10"/>
      <c r="AP1032" s="10"/>
      <c r="AQ1032" s="10"/>
      <c r="AR1032" s="10"/>
      <c r="AS1032" s="10"/>
      <c r="AT1032" s="10"/>
      <c r="AU1032" s="10"/>
      <c r="AV1032" s="10"/>
      <c r="AW1032" s="10"/>
      <c r="AX1032" s="10"/>
      <c r="AY1032" s="10"/>
      <c r="AZ1032" s="10"/>
      <c r="BA1032" s="10"/>
    </row>
    <row r="1033" spans="1:53" x14ac:dyDescent="0.25">
      <c r="A1033" s="10"/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N1033" s="10"/>
      <c r="O1033" s="10"/>
      <c r="P1033" s="10"/>
      <c r="Q1033" s="10"/>
      <c r="R1033" s="10"/>
      <c r="S1033" s="10"/>
      <c r="T1033" s="10"/>
      <c r="U1033" s="10"/>
      <c r="V1033" s="10"/>
      <c r="W1033" s="10"/>
      <c r="X1033" s="10"/>
      <c r="Y1033" s="10"/>
      <c r="Z1033" s="10"/>
      <c r="AA1033" s="10"/>
      <c r="AB1033" s="10"/>
      <c r="AC1033" s="10"/>
      <c r="AD1033" s="10"/>
      <c r="AE1033" s="10"/>
      <c r="AF1033" s="10"/>
      <c r="AG1033" s="10"/>
      <c r="AH1033" s="10"/>
      <c r="AI1033" s="10"/>
      <c r="AJ1033" s="10"/>
      <c r="AK1033" s="10"/>
      <c r="AL1033" s="10"/>
      <c r="AM1033" s="10"/>
      <c r="AN1033" s="10"/>
      <c r="AO1033" s="10"/>
      <c r="AP1033" s="10"/>
      <c r="AQ1033" s="10"/>
      <c r="AR1033" s="10"/>
      <c r="AS1033" s="10"/>
      <c r="AT1033" s="10"/>
      <c r="AU1033" s="10"/>
      <c r="AV1033" s="10"/>
      <c r="AW1033" s="10"/>
      <c r="AX1033" s="10"/>
      <c r="AY1033" s="10"/>
      <c r="AZ1033" s="10"/>
      <c r="BA1033" s="10"/>
    </row>
    <row r="1034" spans="1:53" x14ac:dyDescent="0.25">
      <c r="A1034" s="10"/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N1034" s="10"/>
      <c r="O1034" s="10"/>
      <c r="P1034" s="10"/>
      <c r="Q1034" s="10"/>
      <c r="R1034" s="10"/>
      <c r="S1034" s="10"/>
      <c r="T1034" s="10"/>
      <c r="U1034" s="10"/>
      <c r="V1034" s="10"/>
      <c r="W1034" s="10"/>
      <c r="X1034" s="10"/>
      <c r="Y1034" s="10"/>
      <c r="Z1034" s="10"/>
      <c r="AA1034" s="10"/>
      <c r="AB1034" s="10"/>
      <c r="AC1034" s="10"/>
      <c r="AD1034" s="10"/>
      <c r="AE1034" s="10"/>
      <c r="AF1034" s="10"/>
      <c r="AG1034" s="10"/>
      <c r="AH1034" s="10"/>
      <c r="AI1034" s="10"/>
      <c r="AJ1034" s="10"/>
      <c r="AK1034" s="10"/>
      <c r="AL1034" s="10"/>
      <c r="AM1034" s="10"/>
      <c r="AN1034" s="10"/>
      <c r="AO1034" s="10"/>
      <c r="AP1034" s="10"/>
      <c r="AQ1034" s="10"/>
      <c r="AR1034" s="10"/>
      <c r="AS1034" s="10"/>
      <c r="AT1034" s="10"/>
      <c r="AU1034" s="10"/>
      <c r="AV1034" s="10"/>
      <c r="AW1034" s="10"/>
      <c r="AX1034" s="10"/>
      <c r="AY1034" s="10"/>
      <c r="AZ1034" s="10"/>
      <c r="BA1034" s="10"/>
    </row>
    <row r="1035" spans="1:53" x14ac:dyDescent="0.25">
      <c r="A1035" s="10"/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N1035" s="10"/>
      <c r="O1035" s="10"/>
      <c r="P1035" s="10"/>
      <c r="Q1035" s="10"/>
      <c r="R1035" s="10"/>
      <c r="S1035" s="10"/>
      <c r="T1035" s="10"/>
      <c r="U1035" s="10"/>
      <c r="V1035" s="10"/>
      <c r="W1035" s="10"/>
      <c r="X1035" s="10"/>
      <c r="Y1035" s="10"/>
      <c r="Z1035" s="10"/>
      <c r="AA1035" s="10"/>
      <c r="AB1035" s="10"/>
      <c r="AC1035" s="10"/>
      <c r="AD1035" s="10"/>
      <c r="AE1035" s="10"/>
      <c r="AF1035" s="10"/>
      <c r="AG1035" s="10"/>
      <c r="AH1035" s="10"/>
      <c r="AI1035" s="10"/>
      <c r="AJ1035" s="10"/>
      <c r="AK1035" s="10"/>
      <c r="AL1035" s="10"/>
      <c r="AM1035" s="10"/>
      <c r="AN1035" s="10"/>
      <c r="AO1035" s="10"/>
      <c r="AP1035" s="10"/>
      <c r="AQ1035" s="10"/>
      <c r="AR1035" s="10"/>
      <c r="AS1035" s="10"/>
      <c r="AT1035" s="10"/>
      <c r="AU1035" s="10"/>
      <c r="AV1035" s="10"/>
      <c r="AW1035" s="10"/>
      <c r="AX1035" s="10"/>
      <c r="AY1035" s="10"/>
      <c r="AZ1035" s="10"/>
      <c r="BA1035" s="10"/>
    </row>
    <row r="1036" spans="1:53" x14ac:dyDescent="0.25">
      <c r="A1036" s="10"/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N1036" s="10"/>
      <c r="O1036" s="10"/>
      <c r="P1036" s="10"/>
      <c r="Q1036" s="10"/>
      <c r="R1036" s="10"/>
      <c r="S1036" s="10"/>
      <c r="T1036" s="10"/>
      <c r="U1036" s="10"/>
      <c r="V1036" s="10"/>
      <c r="W1036" s="10"/>
      <c r="X1036" s="10"/>
      <c r="Y1036" s="10"/>
      <c r="Z1036" s="10"/>
      <c r="AA1036" s="10"/>
      <c r="AB1036" s="10"/>
      <c r="AC1036" s="10"/>
      <c r="AD1036" s="10"/>
      <c r="AE1036" s="10"/>
      <c r="AF1036" s="10"/>
      <c r="AG1036" s="10"/>
      <c r="AH1036" s="10"/>
      <c r="AI1036" s="10"/>
      <c r="AJ1036" s="10"/>
      <c r="AK1036" s="10"/>
      <c r="AL1036" s="10"/>
      <c r="AM1036" s="10"/>
      <c r="AN1036" s="10"/>
      <c r="AO1036" s="10"/>
      <c r="AP1036" s="10"/>
      <c r="AQ1036" s="10"/>
      <c r="AR1036" s="10"/>
      <c r="AS1036" s="10"/>
      <c r="AT1036" s="10"/>
      <c r="AU1036" s="10"/>
      <c r="AV1036" s="10"/>
      <c r="AW1036" s="10"/>
      <c r="AX1036" s="10"/>
      <c r="AY1036" s="10"/>
      <c r="AZ1036" s="10"/>
      <c r="BA1036" s="10"/>
    </row>
    <row r="1037" spans="1:53" x14ac:dyDescent="0.25">
      <c r="A1037" s="10"/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N1037" s="10"/>
      <c r="O1037" s="10"/>
      <c r="P1037" s="10"/>
      <c r="Q1037" s="10"/>
      <c r="R1037" s="10"/>
      <c r="S1037" s="10"/>
      <c r="T1037" s="10"/>
      <c r="U1037" s="10"/>
      <c r="V1037" s="10"/>
      <c r="W1037" s="10"/>
      <c r="X1037" s="10"/>
      <c r="Y1037" s="10"/>
      <c r="Z1037" s="10"/>
      <c r="AA1037" s="10"/>
      <c r="AB1037" s="10"/>
      <c r="AC1037" s="10"/>
      <c r="AD1037" s="10"/>
      <c r="AE1037" s="10"/>
      <c r="AF1037" s="10"/>
      <c r="AG1037" s="10"/>
      <c r="AH1037" s="10"/>
      <c r="AI1037" s="10"/>
      <c r="AJ1037" s="10"/>
      <c r="AK1037" s="10"/>
      <c r="AL1037" s="10"/>
      <c r="AM1037" s="10"/>
      <c r="AN1037" s="10"/>
      <c r="AO1037" s="10"/>
      <c r="AP1037" s="10"/>
      <c r="AQ1037" s="10"/>
      <c r="AR1037" s="10"/>
      <c r="AS1037" s="10"/>
      <c r="AT1037" s="10"/>
      <c r="AU1037" s="10"/>
      <c r="AV1037" s="10"/>
      <c r="AW1037" s="10"/>
      <c r="AX1037" s="10"/>
      <c r="AY1037" s="10"/>
      <c r="AZ1037" s="10"/>
      <c r="BA1037" s="10"/>
    </row>
    <row r="1038" spans="1:53" x14ac:dyDescent="0.25">
      <c r="A1038" s="10"/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N1038" s="10"/>
      <c r="O1038" s="10"/>
      <c r="P1038" s="10"/>
      <c r="Q1038" s="10"/>
      <c r="R1038" s="10"/>
      <c r="S1038" s="10"/>
      <c r="T1038" s="10"/>
      <c r="U1038" s="10"/>
      <c r="V1038" s="10"/>
      <c r="W1038" s="10"/>
      <c r="X1038" s="10"/>
      <c r="Y1038" s="10"/>
      <c r="Z1038" s="10"/>
      <c r="AA1038" s="10"/>
      <c r="AB1038" s="10"/>
      <c r="AC1038" s="10"/>
      <c r="AD1038" s="10"/>
      <c r="AE1038" s="10"/>
      <c r="AF1038" s="10"/>
      <c r="AG1038" s="10"/>
      <c r="AH1038" s="10"/>
      <c r="AI1038" s="10"/>
      <c r="AJ1038" s="10"/>
      <c r="AK1038" s="10"/>
      <c r="AL1038" s="10"/>
      <c r="AM1038" s="10"/>
      <c r="AN1038" s="10"/>
      <c r="AO1038" s="10"/>
      <c r="AP1038" s="10"/>
      <c r="AQ1038" s="10"/>
      <c r="AR1038" s="10"/>
      <c r="AS1038" s="10"/>
      <c r="AT1038" s="10"/>
      <c r="AU1038" s="10"/>
      <c r="AV1038" s="10"/>
      <c r="AW1038" s="10"/>
      <c r="AX1038" s="10"/>
      <c r="AY1038" s="10"/>
      <c r="AZ1038" s="10"/>
      <c r="BA1038" s="10"/>
    </row>
    <row r="1039" spans="1:53" x14ac:dyDescent="0.25">
      <c r="A1039" s="10"/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N1039" s="10"/>
      <c r="O1039" s="10"/>
      <c r="P1039" s="10"/>
      <c r="Q1039" s="10"/>
      <c r="R1039" s="10"/>
      <c r="S1039" s="10"/>
      <c r="T1039" s="10"/>
      <c r="U1039" s="10"/>
      <c r="V1039" s="10"/>
      <c r="W1039" s="10"/>
      <c r="X1039" s="10"/>
      <c r="Y1039" s="10"/>
      <c r="Z1039" s="10"/>
      <c r="AA1039" s="10"/>
      <c r="AB1039" s="10"/>
      <c r="AC1039" s="10"/>
      <c r="AD1039" s="10"/>
      <c r="AE1039" s="10"/>
      <c r="AF1039" s="10"/>
      <c r="AG1039" s="10"/>
      <c r="AH1039" s="10"/>
      <c r="AI1039" s="10"/>
      <c r="AJ1039" s="10"/>
      <c r="AK1039" s="10"/>
      <c r="AL1039" s="10"/>
      <c r="AM1039" s="10"/>
      <c r="AN1039" s="10"/>
      <c r="AO1039" s="10"/>
      <c r="AP1039" s="10"/>
      <c r="AQ1039" s="10"/>
      <c r="AR1039" s="10"/>
      <c r="AS1039" s="10"/>
      <c r="AT1039" s="10"/>
      <c r="AU1039" s="10"/>
      <c r="AV1039" s="10"/>
      <c r="AW1039" s="10"/>
      <c r="AX1039" s="10"/>
      <c r="AY1039" s="10"/>
      <c r="AZ1039" s="10"/>
      <c r="BA1039" s="10"/>
    </row>
    <row r="1040" spans="1:53" x14ac:dyDescent="0.25">
      <c r="A1040" s="10"/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N1040" s="10"/>
      <c r="O1040" s="10"/>
      <c r="P1040" s="10"/>
      <c r="Q1040" s="10"/>
      <c r="R1040" s="10"/>
      <c r="S1040" s="10"/>
      <c r="T1040" s="10"/>
      <c r="U1040" s="10"/>
      <c r="V1040" s="10"/>
      <c r="W1040" s="10"/>
      <c r="X1040" s="10"/>
      <c r="Y1040" s="10"/>
      <c r="Z1040" s="10"/>
      <c r="AA1040" s="10"/>
      <c r="AB1040" s="10"/>
      <c r="AC1040" s="10"/>
      <c r="AD1040" s="10"/>
      <c r="AE1040" s="10"/>
      <c r="AF1040" s="10"/>
      <c r="AG1040" s="10"/>
      <c r="AH1040" s="10"/>
      <c r="AI1040" s="10"/>
      <c r="AJ1040" s="10"/>
      <c r="AK1040" s="10"/>
      <c r="AL1040" s="10"/>
      <c r="AM1040" s="10"/>
      <c r="AN1040" s="10"/>
      <c r="AO1040" s="10"/>
      <c r="AP1040" s="10"/>
      <c r="AQ1040" s="10"/>
      <c r="AR1040" s="10"/>
      <c r="AS1040" s="10"/>
      <c r="AT1040" s="10"/>
      <c r="AU1040" s="10"/>
      <c r="AV1040" s="10"/>
      <c r="AW1040" s="10"/>
      <c r="AX1040" s="10"/>
      <c r="AY1040" s="10"/>
      <c r="AZ1040" s="10"/>
      <c r="BA1040" s="10"/>
    </row>
    <row r="1041" spans="1:53" x14ac:dyDescent="0.25">
      <c r="A1041" s="10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  <c r="N1041" s="10"/>
      <c r="O1041" s="10"/>
      <c r="P1041" s="10"/>
      <c r="Q1041" s="10"/>
      <c r="R1041" s="10"/>
      <c r="S1041" s="10"/>
      <c r="T1041" s="10"/>
      <c r="U1041" s="10"/>
      <c r="V1041" s="10"/>
      <c r="W1041" s="10"/>
      <c r="X1041" s="10"/>
      <c r="Y1041" s="10"/>
      <c r="Z1041" s="10"/>
      <c r="AA1041" s="10"/>
      <c r="AB1041" s="10"/>
      <c r="AC1041" s="10"/>
      <c r="AD1041" s="10"/>
      <c r="AE1041" s="10"/>
      <c r="AF1041" s="10"/>
      <c r="AG1041" s="10"/>
      <c r="AH1041" s="10"/>
      <c r="AI1041" s="10"/>
      <c r="AJ1041" s="10"/>
      <c r="AK1041" s="10"/>
      <c r="AL1041" s="10"/>
      <c r="AM1041" s="10"/>
      <c r="AN1041" s="10"/>
      <c r="AO1041" s="10"/>
      <c r="AP1041" s="10"/>
      <c r="AQ1041" s="10"/>
      <c r="AR1041" s="10"/>
      <c r="AS1041" s="10"/>
      <c r="AT1041" s="10"/>
      <c r="AU1041" s="10"/>
      <c r="AV1041" s="10"/>
      <c r="AW1041" s="10"/>
      <c r="AX1041" s="10"/>
      <c r="AY1041" s="10"/>
      <c r="AZ1041" s="10"/>
      <c r="BA1041" s="10"/>
    </row>
    <row r="1042" spans="1:53" x14ac:dyDescent="0.25">
      <c r="A1042" s="10"/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  <c r="N1042" s="10"/>
      <c r="O1042" s="10"/>
      <c r="P1042" s="10"/>
      <c r="Q1042" s="10"/>
      <c r="R1042" s="10"/>
      <c r="S1042" s="10"/>
      <c r="T1042" s="10"/>
      <c r="U1042" s="10"/>
      <c r="V1042" s="10"/>
      <c r="W1042" s="10"/>
      <c r="X1042" s="10"/>
      <c r="Y1042" s="10"/>
      <c r="Z1042" s="10"/>
      <c r="AA1042" s="10"/>
      <c r="AB1042" s="10"/>
      <c r="AC1042" s="10"/>
      <c r="AD1042" s="10"/>
      <c r="AE1042" s="10"/>
      <c r="AF1042" s="10"/>
      <c r="AG1042" s="10"/>
      <c r="AH1042" s="10"/>
      <c r="AI1042" s="10"/>
      <c r="AJ1042" s="10"/>
      <c r="AK1042" s="10"/>
      <c r="AL1042" s="10"/>
      <c r="AM1042" s="10"/>
      <c r="AN1042" s="10"/>
      <c r="AO1042" s="10"/>
      <c r="AP1042" s="10"/>
      <c r="AQ1042" s="10"/>
      <c r="AR1042" s="10"/>
      <c r="AS1042" s="10"/>
      <c r="AT1042" s="10"/>
      <c r="AU1042" s="10"/>
      <c r="AV1042" s="10"/>
      <c r="AW1042" s="10"/>
      <c r="AX1042" s="10"/>
      <c r="AY1042" s="10"/>
      <c r="AZ1042" s="10"/>
      <c r="BA1042" s="10"/>
    </row>
    <row r="1043" spans="1:53" x14ac:dyDescent="0.25">
      <c r="A1043" s="10"/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  <c r="N1043" s="10"/>
      <c r="O1043" s="10"/>
      <c r="P1043" s="10"/>
      <c r="Q1043" s="10"/>
      <c r="R1043" s="10"/>
      <c r="S1043" s="10"/>
      <c r="T1043" s="10"/>
      <c r="U1043" s="10"/>
      <c r="V1043" s="10"/>
      <c r="W1043" s="10"/>
      <c r="X1043" s="10"/>
      <c r="Y1043" s="10"/>
      <c r="Z1043" s="10"/>
      <c r="AA1043" s="10"/>
      <c r="AB1043" s="10"/>
      <c r="AC1043" s="10"/>
      <c r="AD1043" s="10"/>
      <c r="AE1043" s="10"/>
      <c r="AF1043" s="10"/>
      <c r="AG1043" s="10"/>
      <c r="AH1043" s="10"/>
      <c r="AI1043" s="10"/>
      <c r="AJ1043" s="10"/>
      <c r="AK1043" s="10"/>
      <c r="AL1043" s="10"/>
      <c r="AM1043" s="10"/>
      <c r="AN1043" s="10"/>
      <c r="AO1043" s="10"/>
      <c r="AP1043" s="10"/>
      <c r="AQ1043" s="10"/>
      <c r="AR1043" s="10"/>
      <c r="AS1043" s="10"/>
      <c r="AT1043" s="10"/>
      <c r="AU1043" s="10"/>
      <c r="AV1043" s="10"/>
      <c r="AW1043" s="10"/>
      <c r="AX1043" s="10"/>
      <c r="AY1043" s="10"/>
      <c r="AZ1043" s="10"/>
      <c r="BA1043" s="10"/>
    </row>
    <row r="1044" spans="1:53" x14ac:dyDescent="0.25">
      <c r="A1044" s="10"/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  <c r="N1044" s="10"/>
      <c r="O1044" s="10"/>
      <c r="P1044" s="10"/>
      <c r="Q1044" s="10"/>
      <c r="R1044" s="10"/>
      <c r="S1044" s="10"/>
      <c r="T1044" s="10"/>
      <c r="U1044" s="10"/>
      <c r="V1044" s="10"/>
      <c r="W1044" s="10"/>
      <c r="X1044" s="10"/>
      <c r="Y1044" s="10"/>
      <c r="Z1044" s="10"/>
      <c r="AA1044" s="10"/>
      <c r="AB1044" s="10"/>
      <c r="AC1044" s="10"/>
      <c r="AD1044" s="10"/>
      <c r="AE1044" s="10"/>
      <c r="AF1044" s="10"/>
      <c r="AG1044" s="10"/>
      <c r="AH1044" s="10"/>
      <c r="AI1044" s="10"/>
      <c r="AJ1044" s="10"/>
      <c r="AK1044" s="10"/>
      <c r="AL1044" s="10"/>
      <c r="AM1044" s="10"/>
      <c r="AN1044" s="10"/>
      <c r="AO1044" s="10"/>
      <c r="AP1044" s="10"/>
      <c r="AQ1044" s="10"/>
      <c r="AR1044" s="10"/>
      <c r="AS1044" s="10"/>
      <c r="AT1044" s="10"/>
      <c r="AU1044" s="10"/>
      <c r="AV1044" s="10"/>
      <c r="AW1044" s="10"/>
      <c r="AX1044" s="10"/>
      <c r="AY1044" s="10"/>
      <c r="AZ1044" s="10"/>
      <c r="BA1044" s="10"/>
    </row>
    <row r="1045" spans="1:53" x14ac:dyDescent="0.25">
      <c r="A1045" s="10"/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N1045" s="10"/>
      <c r="O1045" s="10"/>
      <c r="P1045" s="10"/>
      <c r="Q1045" s="10"/>
      <c r="R1045" s="10"/>
      <c r="S1045" s="10"/>
      <c r="T1045" s="10"/>
      <c r="U1045" s="10"/>
      <c r="V1045" s="10"/>
      <c r="W1045" s="10"/>
      <c r="X1045" s="10"/>
      <c r="Y1045" s="10"/>
      <c r="Z1045" s="10"/>
      <c r="AA1045" s="10"/>
      <c r="AB1045" s="10"/>
      <c r="AC1045" s="10"/>
      <c r="AD1045" s="10"/>
      <c r="AE1045" s="10"/>
      <c r="AF1045" s="10"/>
      <c r="AG1045" s="10"/>
      <c r="AH1045" s="10"/>
      <c r="AI1045" s="10"/>
      <c r="AJ1045" s="10"/>
      <c r="AK1045" s="10"/>
      <c r="AL1045" s="10"/>
      <c r="AM1045" s="10"/>
      <c r="AN1045" s="10"/>
      <c r="AO1045" s="10"/>
      <c r="AP1045" s="10"/>
      <c r="AQ1045" s="10"/>
      <c r="AR1045" s="10"/>
      <c r="AS1045" s="10"/>
      <c r="AT1045" s="10"/>
      <c r="AU1045" s="10"/>
      <c r="AV1045" s="10"/>
      <c r="AW1045" s="10"/>
      <c r="AX1045" s="10"/>
      <c r="AY1045" s="10"/>
      <c r="AZ1045" s="10"/>
      <c r="BA1045" s="10"/>
    </row>
    <row r="1046" spans="1:53" x14ac:dyDescent="0.25">
      <c r="A1046" s="10"/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  <c r="N1046" s="10"/>
      <c r="O1046" s="10"/>
      <c r="P1046" s="10"/>
      <c r="Q1046" s="10"/>
      <c r="R1046" s="10"/>
      <c r="S1046" s="10"/>
      <c r="T1046" s="10"/>
      <c r="U1046" s="10"/>
      <c r="V1046" s="10"/>
      <c r="W1046" s="10"/>
      <c r="X1046" s="10"/>
      <c r="Y1046" s="10"/>
      <c r="Z1046" s="10"/>
      <c r="AA1046" s="10"/>
      <c r="AB1046" s="10"/>
      <c r="AC1046" s="10"/>
      <c r="AD1046" s="10"/>
      <c r="AE1046" s="10"/>
      <c r="AF1046" s="10"/>
      <c r="AG1046" s="10"/>
      <c r="AH1046" s="10"/>
      <c r="AI1046" s="10"/>
      <c r="AJ1046" s="10"/>
      <c r="AK1046" s="10"/>
      <c r="AL1046" s="10"/>
      <c r="AM1046" s="10"/>
      <c r="AN1046" s="10"/>
      <c r="AO1046" s="10"/>
      <c r="AP1046" s="10"/>
      <c r="AQ1046" s="10"/>
      <c r="AR1046" s="10"/>
      <c r="AS1046" s="10"/>
      <c r="AT1046" s="10"/>
      <c r="AU1046" s="10"/>
      <c r="AV1046" s="10"/>
      <c r="AW1046" s="10"/>
      <c r="AX1046" s="10"/>
      <c r="AY1046" s="10"/>
      <c r="AZ1046" s="10"/>
      <c r="BA1046" s="10"/>
    </row>
    <row r="1047" spans="1:53" x14ac:dyDescent="0.25">
      <c r="A1047" s="10"/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  <c r="N1047" s="10"/>
      <c r="O1047" s="10"/>
      <c r="P1047" s="10"/>
      <c r="Q1047" s="10"/>
      <c r="R1047" s="10"/>
      <c r="S1047" s="10"/>
      <c r="T1047" s="10"/>
      <c r="U1047" s="10"/>
      <c r="V1047" s="10"/>
      <c r="W1047" s="10"/>
      <c r="X1047" s="10"/>
      <c r="Y1047" s="10"/>
      <c r="Z1047" s="10"/>
      <c r="AA1047" s="10"/>
      <c r="AB1047" s="10"/>
      <c r="AC1047" s="10"/>
      <c r="AD1047" s="10"/>
      <c r="AE1047" s="10"/>
      <c r="AF1047" s="10"/>
      <c r="AG1047" s="10"/>
      <c r="AH1047" s="10"/>
      <c r="AI1047" s="10"/>
      <c r="AJ1047" s="10"/>
      <c r="AK1047" s="10"/>
      <c r="AL1047" s="10"/>
      <c r="AM1047" s="10"/>
      <c r="AN1047" s="10"/>
      <c r="AO1047" s="10"/>
      <c r="AP1047" s="10"/>
      <c r="AQ1047" s="10"/>
      <c r="AR1047" s="10"/>
      <c r="AS1047" s="10"/>
      <c r="AT1047" s="10"/>
      <c r="AU1047" s="10"/>
      <c r="AV1047" s="10"/>
      <c r="AW1047" s="10"/>
      <c r="AX1047" s="10"/>
      <c r="AY1047" s="10"/>
      <c r="AZ1047" s="10"/>
      <c r="BA1047" s="10"/>
    </row>
    <row r="1048" spans="1:53" x14ac:dyDescent="0.25">
      <c r="A1048" s="10"/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  <c r="N1048" s="10"/>
      <c r="O1048" s="10"/>
      <c r="P1048" s="10"/>
      <c r="Q1048" s="10"/>
      <c r="R1048" s="10"/>
      <c r="S1048" s="10"/>
      <c r="T1048" s="10"/>
      <c r="U1048" s="10"/>
      <c r="V1048" s="10"/>
      <c r="W1048" s="10"/>
      <c r="X1048" s="10"/>
      <c r="Y1048" s="10"/>
      <c r="Z1048" s="10"/>
      <c r="AA1048" s="10"/>
      <c r="AB1048" s="10"/>
      <c r="AC1048" s="10"/>
      <c r="AD1048" s="10"/>
      <c r="AE1048" s="10"/>
      <c r="AF1048" s="10"/>
      <c r="AG1048" s="10"/>
      <c r="AH1048" s="10"/>
      <c r="AI1048" s="10"/>
      <c r="AJ1048" s="10"/>
      <c r="AK1048" s="10"/>
      <c r="AL1048" s="10"/>
      <c r="AM1048" s="10"/>
      <c r="AN1048" s="10"/>
      <c r="AO1048" s="10"/>
      <c r="AP1048" s="10"/>
      <c r="AQ1048" s="10"/>
      <c r="AR1048" s="10"/>
      <c r="AS1048" s="10"/>
      <c r="AT1048" s="10"/>
      <c r="AU1048" s="10"/>
      <c r="AV1048" s="10"/>
      <c r="AW1048" s="10"/>
      <c r="AX1048" s="10"/>
      <c r="AY1048" s="10"/>
      <c r="AZ1048" s="10"/>
      <c r="BA1048" s="10"/>
    </row>
    <row r="1049" spans="1:53" x14ac:dyDescent="0.25">
      <c r="A1049" s="10"/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  <c r="N1049" s="10"/>
      <c r="O1049" s="10"/>
      <c r="P1049" s="10"/>
      <c r="Q1049" s="10"/>
      <c r="R1049" s="10"/>
      <c r="S1049" s="10"/>
      <c r="T1049" s="10"/>
      <c r="U1049" s="10"/>
      <c r="V1049" s="10"/>
      <c r="W1049" s="10"/>
      <c r="X1049" s="10"/>
      <c r="Y1049" s="10"/>
      <c r="Z1049" s="10"/>
      <c r="AA1049" s="10"/>
      <c r="AB1049" s="10"/>
      <c r="AC1049" s="10"/>
      <c r="AD1049" s="10"/>
      <c r="AE1049" s="10"/>
      <c r="AF1049" s="10"/>
      <c r="AG1049" s="10"/>
      <c r="AH1049" s="10"/>
      <c r="AI1049" s="10"/>
      <c r="AJ1049" s="10"/>
      <c r="AK1049" s="10"/>
      <c r="AL1049" s="10"/>
      <c r="AM1049" s="10"/>
      <c r="AN1049" s="10"/>
      <c r="AO1049" s="10"/>
      <c r="AP1049" s="10"/>
      <c r="AQ1049" s="10"/>
      <c r="AR1049" s="10"/>
      <c r="AS1049" s="10"/>
      <c r="AT1049" s="10"/>
      <c r="AU1049" s="10"/>
      <c r="AV1049" s="10"/>
      <c r="AW1049" s="10"/>
      <c r="AX1049" s="10"/>
      <c r="AY1049" s="10"/>
      <c r="AZ1049" s="10"/>
      <c r="BA1049" s="10"/>
    </row>
    <row r="1050" spans="1:53" x14ac:dyDescent="0.25">
      <c r="A1050" s="10"/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  <c r="N1050" s="10"/>
      <c r="O1050" s="10"/>
      <c r="P1050" s="10"/>
      <c r="Q1050" s="10"/>
      <c r="R1050" s="10"/>
      <c r="S1050" s="10"/>
      <c r="T1050" s="10"/>
      <c r="U1050" s="10"/>
      <c r="V1050" s="10"/>
      <c r="W1050" s="10"/>
      <c r="X1050" s="10"/>
      <c r="Y1050" s="10"/>
      <c r="Z1050" s="10"/>
      <c r="AA1050" s="10"/>
      <c r="AB1050" s="10"/>
      <c r="AC1050" s="10"/>
      <c r="AD1050" s="10"/>
      <c r="AE1050" s="10"/>
      <c r="AF1050" s="10"/>
      <c r="AG1050" s="10"/>
      <c r="AH1050" s="10"/>
      <c r="AI1050" s="10"/>
      <c r="AJ1050" s="10"/>
      <c r="AK1050" s="10"/>
      <c r="AL1050" s="10"/>
      <c r="AM1050" s="10"/>
      <c r="AN1050" s="10"/>
      <c r="AO1050" s="10"/>
      <c r="AP1050" s="10"/>
      <c r="AQ1050" s="10"/>
      <c r="AR1050" s="10"/>
      <c r="AS1050" s="10"/>
      <c r="AT1050" s="10"/>
      <c r="AU1050" s="10"/>
      <c r="AV1050" s="10"/>
      <c r="AW1050" s="10"/>
      <c r="AX1050" s="10"/>
      <c r="AY1050" s="10"/>
      <c r="AZ1050" s="10"/>
      <c r="BA1050" s="10"/>
    </row>
    <row r="1051" spans="1:53" x14ac:dyDescent="0.25">
      <c r="A1051" s="10"/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  <c r="N1051" s="10"/>
      <c r="O1051" s="10"/>
      <c r="P1051" s="10"/>
      <c r="Q1051" s="10"/>
      <c r="R1051" s="10"/>
      <c r="S1051" s="10"/>
      <c r="T1051" s="10"/>
      <c r="U1051" s="10"/>
      <c r="V1051" s="10"/>
      <c r="W1051" s="10"/>
      <c r="X1051" s="10"/>
      <c r="Y1051" s="10"/>
      <c r="Z1051" s="10"/>
      <c r="AA1051" s="10"/>
      <c r="AB1051" s="10"/>
      <c r="AC1051" s="10"/>
      <c r="AD1051" s="10"/>
      <c r="AE1051" s="10"/>
      <c r="AF1051" s="10"/>
      <c r="AG1051" s="10"/>
      <c r="AH1051" s="10"/>
      <c r="AI1051" s="10"/>
      <c r="AJ1051" s="10"/>
      <c r="AK1051" s="10"/>
      <c r="AL1051" s="10"/>
      <c r="AM1051" s="10"/>
      <c r="AN1051" s="10"/>
      <c r="AO1051" s="10"/>
      <c r="AP1051" s="10"/>
      <c r="AQ1051" s="10"/>
      <c r="AR1051" s="10"/>
      <c r="AS1051" s="10"/>
      <c r="AT1051" s="10"/>
      <c r="AU1051" s="10"/>
      <c r="AV1051" s="10"/>
      <c r="AW1051" s="10"/>
      <c r="AX1051" s="10"/>
      <c r="AY1051" s="10"/>
      <c r="AZ1051" s="10"/>
      <c r="BA1051" s="10"/>
    </row>
    <row r="1052" spans="1:53" x14ac:dyDescent="0.25">
      <c r="A1052" s="10"/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N1052" s="10"/>
      <c r="O1052" s="10"/>
      <c r="P1052" s="10"/>
      <c r="Q1052" s="10"/>
      <c r="R1052" s="10"/>
      <c r="S1052" s="10"/>
      <c r="T1052" s="10"/>
      <c r="U1052" s="10"/>
      <c r="V1052" s="10"/>
      <c r="W1052" s="10"/>
      <c r="X1052" s="10"/>
      <c r="Y1052" s="10"/>
      <c r="Z1052" s="10"/>
      <c r="AA1052" s="10"/>
      <c r="AB1052" s="10"/>
      <c r="AC1052" s="10"/>
      <c r="AD1052" s="10"/>
      <c r="AE1052" s="10"/>
      <c r="AF1052" s="10"/>
      <c r="AG1052" s="10"/>
      <c r="AH1052" s="10"/>
      <c r="AI1052" s="10"/>
      <c r="AJ1052" s="10"/>
      <c r="AK1052" s="10"/>
      <c r="AL1052" s="10"/>
      <c r="AM1052" s="10"/>
      <c r="AN1052" s="10"/>
      <c r="AO1052" s="10"/>
      <c r="AP1052" s="10"/>
      <c r="AQ1052" s="10"/>
      <c r="AR1052" s="10"/>
      <c r="AS1052" s="10"/>
      <c r="AT1052" s="10"/>
      <c r="AU1052" s="10"/>
      <c r="AV1052" s="10"/>
      <c r="AW1052" s="10"/>
      <c r="AX1052" s="10"/>
      <c r="AY1052" s="10"/>
      <c r="AZ1052" s="10"/>
      <c r="BA1052" s="10"/>
    </row>
    <row r="1053" spans="1:53" x14ac:dyDescent="0.25">
      <c r="A1053" s="10"/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  <c r="N1053" s="10"/>
      <c r="O1053" s="10"/>
      <c r="P1053" s="10"/>
      <c r="Q1053" s="10"/>
      <c r="R1053" s="10"/>
      <c r="S1053" s="10"/>
      <c r="T1053" s="10"/>
      <c r="U1053" s="10"/>
      <c r="V1053" s="10"/>
      <c r="W1053" s="10"/>
      <c r="X1053" s="10"/>
      <c r="Y1053" s="10"/>
      <c r="Z1053" s="10"/>
      <c r="AA1053" s="10"/>
      <c r="AB1053" s="10"/>
      <c r="AC1053" s="10"/>
      <c r="AD1053" s="10"/>
      <c r="AE1053" s="10"/>
      <c r="AF1053" s="10"/>
      <c r="AG1053" s="10"/>
      <c r="AH1053" s="10"/>
      <c r="AI1053" s="10"/>
      <c r="AJ1053" s="10"/>
      <c r="AK1053" s="10"/>
      <c r="AL1053" s="10"/>
      <c r="AM1053" s="10"/>
      <c r="AN1053" s="10"/>
      <c r="AO1053" s="10"/>
      <c r="AP1053" s="10"/>
      <c r="AQ1053" s="10"/>
      <c r="AR1053" s="10"/>
      <c r="AS1053" s="10"/>
      <c r="AT1053" s="10"/>
      <c r="AU1053" s="10"/>
      <c r="AV1053" s="10"/>
      <c r="AW1053" s="10"/>
      <c r="AX1053" s="10"/>
      <c r="AY1053" s="10"/>
      <c r="AZ1053" s="10"/>
      <c r="BA1053" s="10"/>
    </row>
    <row r="1054" spans="1:53" x14ac:dyDescent="0.25">
      <c r="A1054" s="10"/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  <c r="N1054" s="10"/>
      <c r="O1054" s="10"/>
      <c r="P1054" s="10"/>
      <c r="Q1054" s="10"/>
      <c r="R1054" s="10"/>
      <c r="S1054" s="10"/>
      <c r="T1054" s="10"/>
      <c r="U1054" s="10"/>
      <c r="V1054" s="10"/>
      <c r="W1054" s="10"/>
      <c r="X1054" s="10"/>
      <c r="Y1054" s="10"/>
      <c r="Z1054" s="10"/>
      <c r="AA1054" s="10"/>
      <c r="AB1054" s="10"/>
      <c r="AC1054" s="10"/>
      <c r="AD1054" s="10"/>
      <c r="AE1054" s="10"/>
      <c r="AF1054" s="10"/>
      <c r="AG1054" s="10"/>
      <c r="AH1054" s="10"/>
      <c r="AI1054" s="10"/>
      <c r="AJ1054" s="10"/>
      <c r="AK1054" s="10"/>
      <c r="AL1054" s="10"/>
      <c r="AM1054" s="10"/>
      <c r="AN1054" s="10"/>
      <c r="AO1054" s="10"/>
      <c r="AP1054" s="10"/>
      <c r="AQ1054" s="10"/>
      <c r="AR1054" s="10"/>
      <c r="AS1054" s="10"/>
      <c r="AT1054" s="10"/>
      <c r="AU1054" s="10"/>
      <c r="AV1054" s="10"/>
      <c r="AW1054" s="10"/>
      <c r="AX1054" s="10"/>
      <c r="AY1054" s="10"/>
      <c r="AZ1054" s="10"/>
      <c r="BA1054" s="10"/>
    </row>
    <row r="1055" spans="1:53" x14ac:dyDescent="0.25">
      <c r="A1055" s="10"/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  <c r="N1055" s="10"/>
      <c r="O1055" s="10"/>
      <c r="P1055" s="10"/>
      <c r="Q1055" s="10"/>
      <c r="R1055" s="10"/>
      <c r="S1055" s="10"/>
      <c r="T1055" s="10"/>
      <c r="U1055" s="10"/>
      <c r="V1055" s="10"/>
      <c r="W1055" s="10"/>
      <c r="X1055" s="10"/>
      <c r="Y1055" s="10"/>
      <c r="Z1055" s="10"/>
      <c r="AA1055" s="10"/>
      <c r="AB1055" s="10"/>
      <c r="AC1055" s="10"/>
      <c r="AD1055" s="10"/>
      <c r="AE1055" s="10"/>
      <c r="AF1055" s="10"/>
      <c r="AG1055" s="10"/>
      <c r="AH1055" s="10"/>
      <c r="AI1055" s="10"/>
      <c r="AJ1055" s="10"/>
      <c r="AK1055" s="10"/>
      <c r="AL1055" s="10"/>
      <c r="AM1055" s="10"/>
      <c r="AN1055" s="10"/>
      <c r="AO1055" s="10"/>
      <c r="AP1055" s="10"/>
      <c r="AQ1055" s="10"/>
      <c r="AR1055" s="10"/>
      <c r="AS1055" s="10"/>
      <c r="AT1055" s="10"/>
      <c r="AU1055" s="10"/>
      <c r="AV1055" s="10"/>
      <c r="AW1055" s="10"/>
      <c r="AX1055" s="10"/>
      <c r="AY1055" s="10"/>
      <c r="AZ1055" s="10"/>
      <c r="BA1055" s="10"/>
    </row>
    <row r="1056" spans="1:53" x14ac:dyDescent="0.25">
      <c r="A1056" s="10"/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N1056" s="10"/>
      <c r="O1056" s="10"/>
      <c r="P1056" s="10"/>
      <c r="Q1056" s="10"/>
      <c r="R1056" s="10"/>
      <c r="S1056" s="10"/>
      <c r="T1056" s="10"/>
      <c r="U1056" s="10"/>
      <c r="V1056" s="10"/>
      <c r="W1056" s="10"/>
      <c r="X1056" s="10"/>
      <c r="Y1056" s="10"/>
      <c r="Z1056" s="10"/>
      <c r="AA1056" s="10"/>
      <c r="AB1056" s="10"/>
      <c r="AC1056" s="10"/>
      <c r="AD1056" s="10"/>
      <c r="AE1056" s="10"/>
      <c r="AF1056" s="10"/>
      <c r="AG1056" s="10"/>
      <c r="AH1056" s="10"/>
      <c r="AI1056" s="10"/>
      <c r="AJ1056" s="10"/>
      <c r="AK1056" s="10"/>
      <c r="AL1056" s="10"/>
      <c r="AM1056" s="10"/>
      <c r="AN1056" s="10"/>
      <c r="AO1056" s="10"/>
      <c r="AP1056" s="10"/>
      <c r="AQ1056" s="10"/>
      <c r="AR1056" s="10"/>
      <c r="AS1056" s="10"/>
      <c r="AT1056" s="10"/>
      <c r="AU1056" s="10"/>
      <c r="AV1056" s="10"/>
      <c r="AW1056" s="10"/>
      <c r="AX1056" s="10"/>
      <c r="AY1056" s="10"/>
      <c r="AZ1056" s="10"/>
      <c r="BA1056" s="10"/>
    </row>
    <row r="1057" spans="1:53" x14ac:dyDescent="0.25">
      <c r="A1057" s="10"/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N1057" s="10"/>
      <c r="O1057" s="10"/>
      <c r="P1057" s="10"/>
      <c r="Q1057" s="10"/>
      <c r="R1057" s="10"/>
      <c r="S1057" s="10"/>
      <c r="T1057" s="10"/>
      <c r="U1057" s="10"/>
      <c r="V1057" s="10"/>
      <c r="W1057" s="10"/>
      <c r="X1057" s="10"/>
      <c r="Y1057" s="10"/>
      <c r="Z1057" s="10"/>
      <c r="AA1057" s="10"/>
      <c r="AB1057" s="10"/>
      <c r="AC1057" s="10"/>
      <c r="AD1057" s="10"/>
      <c r="AE1057" s="10"/>
      <c r="AF1057" s="10"/>
      <c r="AG1057" s="10"/>
      <c r="AH1057" s="10"/>
      <c r="AI1057" s="10"/>
      <c r="AJ1057" s="10"/>
      <c r="AK1057" s="10"/>
      <c r="AL1057" s="10"/>
      <c r="AM1057" s="10"/>
      <c r="AN1057" s="10"/>
      <c r="AO1057" s="10"/>
      <c r="AP1057" s="10"/>
      <c r="AQ1057" s="10"/>
      <c r="AR1057" s="10"/>
      <c r="AS1057" s="10"/>
      <c r="AT1057" s="10"/>
      <c r="AU1057" s="10"/>
      <c r="AV1057" s="10"/>
      <c r="AW1057" s="10"/>
      <c r="AX1057" s="10"/>
      <c r="AY1057" s="10"/>
      <c r="AZ1057" s="10"/>
      <c r="BA1057" s="10"/>
    </row>
    <row r="1058" spans="1:53" x14ac:dyDescent="0.25">
      <c r="A1058" s="10"/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  <c r="N1058" s="10"/>
      <c r="O1058" s="10"/>
      <c r="P1058" s="10"/>
      <c r="Q1058" s="10"/>
      <c r="R1058" s="10"/>
      <c r="S1058" s="10"/>
      <c r="T1058" s="10"/>
      <c r="U1058" s="10"/>
      <c r="V1058" s="10"/>
      <c r="W1058" s="10"/>
      <c r="X1058" s="10"/>
      <c r="Y1058" s="10"/>
      <c r="Z1058" s="10"/>
      <c r="AA1058" s="10"/>
      <c r="AB1058" s="10"/>
      <c r="AC1058" s="10"/>
      <c r="AD1058" s="10"/>
      <c r="AE1058" s="10"/>
      <c r="AF1058" s="10"/>
      <c r="AG1058" s="10"/>
      <c r="AH1058" s="10"/>
      <c r="AI1058" s="10"/>
      <c r="AJ1058" s="10"/>
      <c r="AK1058" s="10"/>
      <c r="AL1058" s="10"/>
      <c r="AM1058" s="10"/>
      <c r="AN1058" s="10"/>
      <c r="AO1058" s="10"/>
      <c r="AP1058" s="10"/>
      <c r="AQ1058" s="10"/>
      <c r="AR1058" s="10"/>
      <c r="AS1058" s="10"/>
      <c r="AT1058" s="10"/>
      <c r="AU1058" s="10"/>
      <c r="AV1058" s="10"/>
      <c r="AW1058" s="10"/>
      <c r="AX1058" s="10"/>
      <c r="AY1058" s="10"/>
      <c r="AZ1058" s="10"/>
      <c r="BA1058" s="10"/>
    </row>
    <row r="1059" spans="1:53" x14ac:dyDescent="0.25">
      <c r="A1059" s="10"/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  <c r="N1059" s="10"/>
      <c r="O1059" s="10"/>
      <c r="P1059" s="10"/>
      <c r="Q1059" s="10"/>
      <c r="R1059" s="10"/>
      <c r="S1059" s="10"/>
      <c r="T1059" s="10"/>
      <c r="U1059" s="10"/>
      <c r="V1059" s="10"/>
      <c r="W1059" s="10"/>
      <c r="X1059" s="10"/>
      <c r="Y1059" s="10"/>
      <c r="Z1059" s="10"/>
      <c r="AA1059" s="10"/>
      <c r="AB1059" s="10"/>
      <c r="AC1059" s="10"/>
      <c r="AD1059" s="10"/>
      <c r="AE1059" s="10"/>
      <c r="AF1059" s="10"/>
      <c r="AG1059" s="10"/>
      <c r="AH1059" s="10"/>
      <c r="AI1059" s="10"/>
      <c r="AJ1059" s="10"/>
      <c r="AK1059" s="10"/>
      <c r="AL1059" s="10"/>
      <c r="AM1059" s="10"/>
      <c r="AN1059" s="10"/>
      <c r="AO1059" s="10"/>
      <c r="AP1059" s="10"/>
      <c r="AQ1059" s="10"/>
      <c r="AR1059" s="10"/>
      <c r="AS1059" s="10"/>
      <c r="AT1059" s="10"/>
      <c r="AU1059" s="10"/>
      <c r="AV1059" s="10"/>
      <c r="AW1059" s="10"/>
      <c r="AX1059" s="10"/>
      <c r="AY1059" s="10"/>
      <c r="AZ1059" s="10"/>
      <c r="BA1059" s="10"/>
    </row>
    <row r="1060" spans="1:53" x14ac:dyDescent="0.25">
      <c r="A1060" s="10"/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  <c r="N1060" s="10"/>
      <c r="O1060" s="10"/>
      <c r="P1060" s="10"/>
      <c r="Q1060" s="10"/>
      <c r="R1060" s="10"/>
      <c r="S1060" s="10"/>
      <c r="T1060" s="10"/>
      <c r="U1060" s="10"/>
      <c r="V1060" s="10"/>
      <c r="W1060" s="10"/>
      <c r="X1060" s="10"/>
      <c r="Y1060" s="10"/>
      <c r="Z1060" s="10"/>
      <c r="AA1060" s="10"/>
      <c r="AB1060" s="10"/>
      <c r="AC1060" s="10"/>
      <c r="AD1060" s="10"/>
      <c r="AE1060" s="10"/>
      <c r="AF1060" s="10"/>
      <c r="AG1060" s="10"/>
      <c r="AH1060" s="10"/>
      <c r="AI1060" s="10"/>
      <c r="AJ1060" s="10"/>
      <c r="AK1060" s="10"/>
      <c r="AL1060" s="10"/>
      <c r="AM1060" s="10"/>
      <c r="AN1060" s="10"/>
      <c r="AO1060" s="10"/>
      <c r="AP1060" s="10"/>
      <c r="AQ1060" s="10"/>
      <c r="AR1060" s="10"/>
      <c r="AS1060" s="10"/>
      <c r="AT1060" s="10"/>
      <c r="AU1060" s="10"/>
      <c r="AV1060" s="10"/>
      <c r="AW1060" s="10"/>
      <c r="AX1060" s="10"/>
      <c r="AY1060" s="10"/>
      <c r="AZ1060" s="10"/>
      <c r="BA1060" s="10"/>
    </row>
    <row r="1061" spans="1:53" x14ac:dyDescent="0.25">
      <c r="A1061" s="10"/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  <c r="N1061" s="10"/>
      <c r="O1061" s="10"/>
      <c r="P1061" s="10"/>
      <c r="Q1061" s="10"/>
      <c r="R1061" s="10"/>
      <c r="S1061" s="10"/>
      <c r="T1061" s="10"/>
      <c r="U1061" s="10"/>
      <c r="V1061" s="10"/>
      <c r="W1061" s="10"/>
      <c r="X1061" s="10"/>
      <c r="Y1061" s="10"/>
      <c r="Z1061" s="10"/>
      <c r="AA1061" s="10"/>
      <c r="AB1061" s="10"/>
      <c r="AC1061" s="10"/>
      <c r="AD1061" s="10"/>
      <c r="AE1061" s="10"/>
      <c r="AF1061" s="10"/>
      <c r="AG1061" s="10"/>
      <c r="AH1061" s="10"/>
      <c r="AI1061" s="10"/>
      <c r="AJ1061" s="10"/>
      <c r="AK1061" s="10"/>
      <c r="AL1061" s="10"/>
      <c r="AM1061" s="10"/>
      <c r="AN1061" s="10"/>
      <c r="AO1061" s="10"/>
      <c r="AP1061" s="10"/>
      <c r="AQ1061" s="10"/>
      <c r="AR1061" s="10"/>
      <c r="AS1061" s="10"/>
      <c r="AT1061" s="10"/>
      <c r="AU1061" s="10"/>
      <c r="AV1061" s="10"/>
      <c r="AW1061" s="10"/>
      <c r="AX1061" s="10"/>
      <c r="AY1061" s="10"/>
      <c r="AZ1061" s="10"/>
      <c r="BA1061" s="10"/>
    </row>
    <row r="1062" spans="1:53" x14ac:dyDescent="0.25">
      <c r="A1062" s="10"/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  <c r="N1062" s="10"/>
      <c r="O1062" s="10"/>
      <c r="P1062" s="10"/>
      <c r="Q1062" s="10"/>
      <c r="R1062" s="10"/>
      <c r="S1062" s="10"/>
      <c r="T1062" s="10"/>
      <c r="U1062" s="10"/>
      <c r="V1062" s="10"/>
      <c r="W1062" s="10"/>
      <c r="X1062" s="10"/>
      <c r="Y1062" s="10"/>
      <c r="Z1062" s="10"/>
      <c r="AA1062" s="10"/>
      <c r="AB1062" s="10"/>
      <c r="AC1062" s="10"/>
      <c r="AD1062" s="10"/>
      <c r="AE1062" s="10"/>
      <c r="AF1062" s="10"/>
      <c r="AG1062" s="10"/>
      <c r="AH1062" s="10"/>
      <c r="AI1062" s="10"/>
      <c r="AJ1062" s="10"/>
      <c r="AK1062" s="10"/>
      <c r="AL1062" s="10"/>
      <c r="AM1062" s="10"/>
      <c r="AN1062" s="10"/>
      <c r="AO1062" s="10"/>
      <c r="AP1062" s="10"/>
      <c r="AQ1062" s="10"/>
      <c r="AR1062" s="10"/>
      <c r="AS1062" s="10"/>
      <c r="AT1062" s="10"/>
      <c r="AU1062" s="10"/>
      <c r="AV1062" s="10"/>
      <c r="AW1062" s="10"/>
      <c r="AX1062" s="10"/>
      <c r="AY1062" s="10"/>
      <c r="AZ1062" s="10"/>
      <c r="BA1062" s="10"/>
    </row>
    <row r="1063" spans="1:53" x14ac:dyDescent="0.25">
      <c r="A1063" s="10"/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  <c r="N1063" s="10"/>
      <c r="O1063" s="10"/>
      <c r="P1063" s="10"/>
      <c r="Q1063" s="10"/>
      <c r="R1063" s="10"/>
      <c r="S1063" s="10"/>
      <c r="T1063" s="10"/>
      <c r="U1063" s="10"/>
      <c r="V1063" s="10"/>
      <c r="W1063" s="10"/>
      <c r="X1063" s="10"/>
      <c r="Y1063" s="10"/>
      <c r="Z1063" s="10"/>
      <c r="AA1063" s="10"/>
      <c r="AB1063" s="10"/>
      <c r="AC1063" s="10"/>
      <c r="AD1063" s="10"/>
      <c r="AE1063" s="10"/>
      <c r="AF1063" s="10"/>
      <c r="AG1063" s="10"/>
      <c r="AH1063" s="10"/>
      <c r="AI1063" s="10"/>
      <c r="AJ1063" s="10"/>
      <c r="AK1063" s="10"/>
      <c r="AL1063" s="10"/>
      <c r="AM1063" s="10"/>
      <c r="AN1063" s="10"/>
      <c r="AO1063" s="10"/>
      <c r="AP1063" s="10"/>
      <c r="AQ1063" s="10"/>
      <c r="AR1063" s="10"/>
      <c r="AS1063" s="10"/>
      <c r="AT1063" s="10"/>
      <c r="AU1063" s="10"/>
      <c r="AV1063" s="10"/>
      <c r="AW1063" s="10"/>
      <c r="AX1063" s="10"/>
      <c r="AY1063" s="10"/>
      <c r="AZ1063" s="10"/>
      <c r="BA1063" s="10"/>
    </row>
    <row r="1064" spans="1:53" x14ac:dyDescent="0.25">
      <c r="A1064" s="10"/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  <c r="N1064" s="10"/>
      <c r="O1064" s="10"/>
      <c r="P1064" s="10"/>
      <c r="Q1064" s="10"/>
      <c r="R1064" s="10"/>
      <c r="S1064" s="10"/>
      <c r="T1064" s="10"/>
      <c r="U1064" s="10"/>
      <c r="V1064" s="10"/>
      <c r="W1064" s="10"/>
      <c r="X1064" s="10"/>
      <c r="Y1064" s="10"/>
      <c r="Z1064" s="10"/>
      <c r="AA1064" s="10"/>
      <c r="AB1064" s="10"/>
      <c r="AC1064" s="10"/>
      <c r="AD1064" s="10"/>
      <c r="AE1064" s="10"/>
      <c r="AF1064" s="10"/>
      <c r="AG1064" s="10"/>
      <c r="AH1064" s="10"/>
      <c r="AI1064" s="10"/>
      <c r="AJ1064" s="10"/>
      <c r="AK1064" s="10"/>
      <c r="AL1064" s="10"/>
      <c r="AM1064" s="10"/>
      <c r="AN1064" s="10"/>
      <c r="AO1064" s="10"/>
      <c r="AP1064" s="10"/>
      <c r="AQ1064" s="10"/>
      <c r="AR1064" s="10"/>
      <c r="AS1064" s="10"/>
      <c r="AT1064" s="10"/>
      <c r="AU1064" s="10"/>
      <c r="AV1064" s="10"/>
      <c r="AW1064" s="10"/>
      <c r="AX1064" s="10"/>
      <c r="AY1064" s="10"/>
      <c r="AZ1064" s="10"/>
      <c r="BA1064" s="10"/>
    </row>
    <row r="1065" spans="1:53" x14ac:dyDescent="0.25">
      <c r="A1065" s="10"/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  <c r="N1065" s="10"/>
      <c r="O1065" s="10"/>
      <c r="P1065" s="10"/>
      <c r="Q1065" s="10"/>
      <c r="R1065" s="10"/>
      <c r="S1065" s="10"/>
      <c r="T1065" s="10"/>
      <c r="U1065" s="10"/>
      <c r="V1065" s="10"/>
      <c r="W1065" s="10"/>
      <c r="X1065" s="10"/>
      <c r="Y1065" s="10"/>
      <c r="Z1065" s="10"/>
      <c r="AA1065" s="10"/>
      <c r="AB1065" s="10"/>
      <c r="AC1065" s="10"/>
      <c r="AD1065" s="10"/>
      <c r="AE1065" s="10"/>
      <c r="AF1065" s="10"/>
      <c r="AG1065" s="10"/>
      <c r="AH1065" s="10"/>
      <c r="AI1065" s="10"/>
      <c r="AJ1065" s="10"/>
      <c r="AK1065" s="10"/>
      <c r="AL1065" s="10"/>
      <c r="AM1065" s="10"/>
      <c r="AN1065" s="10"/>
      <c r="AO1065" s="10"/>
      <c r="AP1065" s="10"/>
      <c r="AQ1065" s="10"/>
      <c r="AR1065" s="10"/>
      <c r="AS1065" s="10"/>
      <c r="AT1065" s="10"/>
      <c r="AU1065" s="10"/>
      <c r="AV1065" s="10"/>
      <c r="AW1065" s="10"/>
      <c r="AX1065" s="10"/>
      <c r="AY1065" s="10"/>
      <c r="AZ1065" s="10"/>
      <c r="BA1065" s="10"/>
    </row>
    <row r="1066" spans="1:53" x14ac:dyDescent="0.25">
      <c r="A1066" s="10"/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  <c r="N1066" s="10"/>
      <c r="O1066" s="10"/>
      <c r="P1066" s="10"/>
      <c r="Q1066" s="10"/>
      <c r="R1066" s="10"/>
      <c r="S1066" s="10"/>
      <c r="T1066" s="10"/>
      <c r="U1066" s="10"/>
      <c r="V1066" s="10"/>
      <c r="W1066" s="10"/>
      <c r="X1066" s="10"/>
      <c r="Y1066" s="10"/>
      <c r="Z1066" s="10"/>
      <c r="AA1066" s="10"/>
      <c r="AB1066" s="10"/>
      <c r="AC1066" s="10"/>
      <c r="AD1066" s="10"/>
      <c r="AE1066" s="10"/>
      <c r="AF1066" s="10"/>
      <c r="AG1066" s="10"/>
      <c r="AH1066" s="10"/>
      <c r="AI1066" s="10"/>
      <c r="AJ1066" s="10"/>
      <c r="AK1066" s="10"/>
      <c r="AL1066" s="10"/>
      <c r="AM1066" s="10"/>
      <c r="AN1066" s="10"/>
      <c r="AO1066" s="10"/>
      <c r="AP1066" s="10"/>
      <c r="AQ1066" s="10"/>
      <c r="AR1066" s="10"/>
      <c r="AS1066" s="10"/>
      <c r="AT1066" s="10"/>
      <c r="AU1066" s="10"/>
      <c r="AV1066" s="10"/>
      <c r="AW1066" s="10"/>
      <c r="AX1066" s="10"/>
      <c r="AY1066" s="10"/>
      <c r="AZ1066" s="10"/>
      <c r="BA1066" s="10"/>
    </row>
    <row r="1067" spans="1:53" x14ac:dyDescent="0.25">
      <c r="A1067" s="10"/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  <c r="N1067" s="10"/>
      <c r="O1067" s="10"/>
      <c r="P1067" s="10"/>
      <c r="Q1067" s="10"/>
      <c r="R1067" s="10"/>
      <c r="S1067" s="10"/>
      <c r="T1067" s="10"/>
      <c r="U1067" s="10"/>
      <c r="V1067" s="10"/>
      <c r="W1067" s="10"/>
      <c r="X1067" s="10"/>
      <c r="Y1067" s="10"/>
      <c r="Z1067" s="10"/>
      <c r="AA1067" s="10"/>
      <c r="AB1067" s="10"/>
      <c r="AC1067" s="10"/>
      <c r="AD1067" s="10"/>
      <c r="AE1067" s="10"/>
      <c r="AF1067" s="10"/>
      <c r="AG1067" s="10"/>
      <c r="AH1067" s="10"/>
      <c r="AI1067" s="10"/>
      <c r="AJ1067" s="10"/>
      <c r="AK1067" s="10"/>
      <c r="AL1067" s="10"/>
      <c r="AM1067" s="10"/>
      <c r="AN1067" s="10"/>
      <c r="AO1067" s="10"/>
      <c r="AP1067" s="10"/>
      <c r="AQ1067" s="10"/>
      <c r="AR1067" s="10"/>
      <c r="AS1067" s="10"/>
      <c r="AT1067" s="10"/>
      <c r="AU1067" s="10"/>
      <c r="AV1067" s="10"/>
      <c r="AW1067" s="10"/>
      <c r="AX1067" s="10"/>
      <c r="AY1067" s="10"/>
      <c r="AZ1067" s="10"/>
      <c r="BA1067" s="10"/>
    </row>
    <row r="1068" spans="1:53" x14ac:dyDescent="0.25">
      <c r="A1068" s="10"/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  <c r="N1068" s="10"/>
      <c r="O1068" s="10"/>
      <c r="P1068" s="10"/>
      <c r="Q1068" s="10"/>
      <c r="R1068" s="10"/>
      <c r="S1068" s="10"/>
      <c r="T1068" s="10"/>
      <c r="U1068" s="10"/>
      <c r="V1068" s="10"/>
      <c r="W1068" s="10"/>
      <c r="X1068" s="10"/>
      <c r="Y1068" s="10"/>
      <c r="Z1068" s="10"/>
      <c r="AA1068" s="10"/>
      <c r="AB1068" s="10"/>
      <c r="AC1068" s="10"/>
      <c r="AD1068" s="10"/>
      <c r="AE1068" s="10"/>
      <c r="AF1068" s="10"/>
      <c r="AG1068" s="10"/>
      <c r="AH1068" s="10"/>
      <c r="AI1068" s="10"/>
      <c r="AJ1068" s="10"/>
      <c r="AK1068" s="10"/>
      <c r="AL1068" s="10"/>
      <c r="AM1068" s="10"/>
      <c r="AN1068" s="10"/>
      <c r="AO1068" s="10"/>
      <c r="AP1068" s="10"/>
      <c r="AQ1068" s="10"/>
      <c r="AR1068" s="10"/>
      <c r="AS1068" s="10"/>
      <c r="AT1068" s="10"/>
      <c r="AU1068" s="10"/>
      <c r="AV1068" s="10"/>
      <c r="AW1068" s="10"/>
      <c r="AX1068" s="10"/>
      <c r="AY1068" s="10"/>
      <c r="AZ1068" s="10"/>
      <c r="BA1068" s="10"/>
    </row>
    <row r="1069" spans="1:53" x14ac:dyDescent="0.25">
      <c r="A1069" s="10"/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N1069" s="10"/>
      <c r="O1069" s="10"/>
      <c r="P1069" s="10"/>
      <c r="Q1069" s="10"/>
      <c r="R1069" s="10"/>
      <c r="S1069" s="10"/>
      <c r="T1069" s="10"/>
      <c r="U1069" s="10"/>
      <c r="V1069" s="10"/>
      <c r="W1069" s="10"/>
      <c r="X1069" s="10"/>
      <c r="Y1069" s="10"/>
      <c r="Z1069" s="10"/>
      <c r="AA1069" s="10"/>
      <c r="AB1069" s="10"/>
      <c r="AC1069" s="10"/>
      <c r="AD1069" s="10"/>
      <c r="AE1069" s="10"/>
      <c r="AF1069" s="10"/>
      <c r="AG1069" s="10"/>
      <c r="AH1069" s="10"/>
      <c r="AI1069" s="10"/>
      <c r="AJ1069" s="10"/>
      <c r="AK1069" s="10"/>
      <c r="AL1069" s="10"/>
      <c r="AM1069" s="10"/>
      <c r="AN1069" s="10"/>
      <c r="AO1069" s="10"/>
      <c r="AP1069" s="10"/>
      <c r="AQ1069" s="10"/>
      <c r="AR1069" s="10"/>
      <c r="AS1069" s="10"/>
      <c r="AT1069" s="10"/>
      <c r="AU1069" s="10"/>
      <c r="AV1069" s="10"/>
      <c r="AW1069" s="10"/>
      <c r="AX1069" s="10"/>
      <c r="AY1069" s="10"/>
      <c r="AZ1069" s="10"/>
      <c r="BA1069" s="10"/>
    </row>
    <row r="1070" spans="1:53" x14ac:dyDescent="0.25">
      <c r="A1070" s="10"/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  <c r="N1070" s="10"/>
      <c r="O1070" s="10"/>
      <c r="P1070" s="10"/>
      <c r="Q1070" s="10"/>
      <c r="R1070" s="10"/>
      <c r="S1070" s="10"/>
      <c r="T1070" s="10"/>
      <c r="U1070" s="10"/>
      <c r="V1070" s="10"/>
      <c r="W1070" s="10"/>
      <c r="X1070" s="10"/>
      <c r="Y1070" s="10"/>
      <c r="Z1070" s="10"/>
      <c r="AA1070" s="10"/>
      <c r="AB1070" s="10"/>
      <c r="AC1070" s="10"/>
      <c r="AD1070" s="10"/>
      <c r="AE1070" s="10"/>
      <c r="AF1070" s="10"/>
      <c r="AG1070" s="10"/>
      <c r="AH1070" s="10"/>
      <c r="AI1070" s="10"/>
      <c r="AJ1070" s="10"/>
      <c r="AK1070" s="10"/>
      <c r="AL1070" s="10"/>
      <c r="AM1070" s="10"/>
      <c r="AN1070" s="10"/>
      <c r="AO1070" s="10"/>
      <c r="AP1070" s="10"/>
      <c r="AQ1070" s="10"/>
      <c r="AR1070" s="10"/>
      <c r="AS1070" s="10"/>
      <c r="AT1070" s="10"/>
      <c r="AU1070" s="10"/>
      <c r="AV1070" s="10"/>
      <c r="AW1070" s="10"/>
      <c r="AX1070" s="10"/>
      <c r="AY1070" s="10"/>
      <c r="AZ1070" s="10"/>
      <c r="BA1070" s="10"/>
    </row>
    <row r="1071" spans="1:53" x14ac:dyDescent="0.25">
      <c r="A1071" s="10"/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  <c r="N1071" s="10"/>
      <c r="O1071" s="10"/>
      <c r="P1071" s="10"/>
      <c r="Q1071" s="10"/>
      <c r="R1071" s="10"/>
      <c r="S1071" s="10"/>
      <c r="T1071" s="10"/>
      <c r="U1071" s="10"/>
      <c r="V1071" s="10"/>
      <c r="W1071" s="10"/>
      <c r="X1071" s="10"/>
      <c r="Y1071" s="10"/>
      <c r="Z1071" s="10"/>
      <c r="AA1071" s="10"/>
      <c r="AB1071" s="10"/>
      <c r="AC1071" s="10"/>
      <c r="AD1071" s="10"/>
      <c r="AE1071" s="10"/>
      <c r="AF1071" s="10"/>
      <c r="AG1071" s="10"/>
      <c r="AH1071" s="10"/>
      <c r="AI1071" s="10"/>
      <c r="AJ1071" s="10"/>
      <c r="AK1071" s="10"/>
      <c r="AL1071" s="10"/>
      <c r="AM1071" s="10"/>
      <c r="AN1071" s="10"/>
      <c r="AO1071" s="10"/>
      <c r="AP1071" s="10"/>
      <c r="AQ1071" s="10"/>
      <c r="AR1071" s="10"/>
      <c r="AS1071" s="10"/>
      <c r="AT1071" s="10"/>
      <c r="AU1071" s="10"/>
      <c r="AV1071" s="10"/>
      <c r="AW1071" s="10"/>
      <c r="AX1071" s="10"/>
      <c r="AY1071" s="10"/>
      <c r="AZ1071" s="10"/>
      <c r="BA1071" s="10"/>
    </row>
    <row r="1072" spans="1:53" x14ac:dyDescent="0.25">
      <c r="A1072" s="10"/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  <c r="N1072" s="10"/>
      <c r="O1072" s="10"/>
      <c r="P1072" s="10"/>
      <c r="Q1072" s="10"/>
      <c r="R1072" s="10"/>
      <c r="S1072" s="10"/>
      <c r="T1072" s="10"/>
      <c r="U1072" s="10"/>
      <c r="V1072" s="10"/>
      <c r="W1072" s="10"/>
      <c r="X1072" s="10"/>
      <c r="Y1072" s="10"/>
      <c r="Z1072" s="10"/>
      <c r="AA1072" s="10"/>
      <c r="AB1072" s="10"/>
      <c r="AC1072" s="10"/>
      <c r="AD1072" s="10"/>
      <c r="AE1072" s="10"/>
      <c r="AF1072" s="10"/>
      <c r="AG1072" s="10"/>
      <c r="AH1072" s="10"/>
      <c r="AI1072" s="10"/>
      <c r="AJ1072" s="10"/>
      <c r="AK1072" s="10"/>
      <c r="AL1072" s="10"/>
      <c r="AM1072" s="10"/>
      <c r="AN1072" s="10"/>
      <c r="AO1072" s="10"/>
      <c r="AP1072" s="10"/>
      <c r="AQ1072" s="10"/>
      <c r="AR1072" s="10"/>
      <c r="AS1072" s="10"/>
      <c r="AT1072" s="10"/>
      <c r="AU1072" s="10"/>
      <c r="AV1072" s="10"/>
      <c r="AW1072" s="10"/>
      <c r="AX1072" s="10"/>
      <c r="AY1072" s="10"/>
      <c r="AZ1072" s="10"/>
      <c r="BA1072" s="10"/>
    </row>
    <row r="1073" spans="1:53" x14ac:dyDescent="0.25">
      <c r="A1073" s="10"/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N1073" s="10"/>
      <c r="O1073" s="10"/>
      <c r="P1073" s="10"/>
      <c r="Q1073" s="10"/>
      <c r="R1073" s="10"/>
      <c r="S1073" s="10"/>
      <c r="T1073" s="10"/>
      <c r="U1073" s="10"/>
      <c r="V1073" s="10"/>
      <c r="W1073" s="10"/>
      <c r="X1073" s="10"/>
      <c r="Y1073" s="10"/>
      <c r="Z1073" s="10"/>
      <c r="AA1073" s="10"/>
      <c r="AB1073" s="10"/>
      <c r="AC1073" s="10"/>
      <c r="AD1073" s="10"/>
      <c r="AE1073" s="10"/>
      <c r="AF1073" s="10"/>
      <c r="AG1073" s="10"/>
      <c r="AH1073" s="10"/>
      <c r="AI1073" s="10"/>
      <c r="AJ1073" s="10"/>
      <c r="AK1073" s="10"/>
      <c r="AL1073" s="10"/>
      <c r="AM1073" s="10"/>
      <c r="AN1073" s="10"/>
      <c r="AO1073" s="10"/>
      <c r="AP1073" s="10"/>
      <c r="AQ1073" s="10"/>
      <c r="AR1073" s="10"/>
      <c r="AS1073" s="10"/>
      <c r="AT1073" s="10"/>
      <c r="AU1073" s="10"/>
      <c r="AV1073" s="10"/>
      <c r="AW1073" s="10"/>
      <c r="AX1073" s="10"/>
      <c r="AY1073" s="10"/>
      <c r="AZ1073" s="10"/>
      <c r="BA1073" s="10"/>
    </row>
    <row r="1074" spans="1:53" x14ac:dyDescent="0.25">
      <c r="A1074" s="10"/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N1074" s="10"/>
      <c r="O1074" s="10"/>
      <c r="P1074" s="10"/>
      <c r="Q1074" s="10"/>
      <c r="R1074" s="10"/>
      <c r="S1074" s="10"/>
      <c r="T1074" s="10"/>
      <c r="U1074" s="10"/>
      <c r="V1074" s="10"/>
      <c r="W1074" s="10"/>
      <c r="X1074" s="10"/>
      <c r="Y1074" s="10"/>
      <c r="Z1074" s="10"/>
      <c r="AA1074" s="10"/>
      <c r="AB1074" s="10"/>
      <c r="AC1074" s="10"/>
      <c r="AD1074" s="10"/>
      <c r="AE1074" s="10"/>
      <c r="AF1074" s="10"/>
      <c r="AG1074" s="10"/>
      <c r="AH1074" s="10"/>
      <c r="AI1074" s="10"/>
      <c r="AJ1074" s="10"/>
      <c r="AK1074" s="10"/>
      <c r="AL1074" s="10"/>
      <c r="AM1074" s="10"/>
      <c r="AN1074" s="10"/>
      <c r="AO1074" s="10"/>
      <c r="AP1074" s="10"/>
      <c r="AQ1074" s="10"/>
      <c r="AR1074" s="10"/>
      <c r="AS1074" s="10"/>
      <c r="AT1074" s="10"/>
      <c r="AU1074" s="10"/>
      <c r="AV1074" s="10"/>
      <c r="AW1074" s="10"/>
      <c r="AX1074" s="10"/>
      <c r="AY1074" s="10"/>
      <c r="AZ1074" s="10"/>
      <c r="BA1074" s="10"/>
    </row>
    <row r="1075" spans="1:53" x14ac:dyDescent="0.25">
      <c r="A1075" s="10"/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  <c r="N1075" s="10"/>
      <c r="O1075" s="10"/>
      <c r="P1075" s="10"/>
      <c r="Q1075" s="10"/>
      <c r="R1075" s="10"/>
      <c r="S1075" s="10"/>
      <c r="T1075" s="10"/>
      <c r="U1075" s="10"/>
      <c r="V1075" s="10"/>
      <c r="W1075" s="10"/>
      <c r="X1075" s="10"/>
      <c r="Y1075" s="10"/>
      <c r="Z1075" s="10"/>
      <c r="AA1075" s="10"/>
      <c r="AB1075" s="10"/>
      <c r="AC1075" s="10"/>
      <c r="AD1075" s="10"/>
      <c r="AE1075" s="10"/>
      <c r="AF1075" s="10"/>
      <c r="AG1075" s="10"/>
      <c r="AH1075" s="10"/>
      <c r="AI1075" s="10"/>
      <c r="AJ1075" s="10"/>
      <c r="AK1075" s="10"/>
      <c r="AL1075" s="10"/>
      <c r="AM1075" s="10"/>
      <c r="AN1075" s="10"/>
      <c r="AO1075" s="10"/>
      <c r="AP1075" s="10"/>
      <c r="AQ1075" s="10"/>
      <c r="AR1075" s="10"/>
      <c r="AS1075" s="10"/>
      <c r="AT1075" s="10"/>
      <c r="AU1075" s="10"/>
      <c r="AV1075" s="10"/>
      <c r="AW1075" s="10"/>
      <c r="AX1075" s="10"/>
      <c r="AY1075" s="10"/>
      <c r="AZ1075" s="10"/>
      <c r="BA1075" s="10"/>
    </row>
    <row r="1076" spans="1:53" x14ac:dyDescent="0.25">
      <c r="A1076" s="10"/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  <c r="N1076" s="10"/>
      <c r="O1076" s="10"/>
      <c r="P1076" s="10"/>
      <c r="Q1076" s="10"/>
      <c r="R1076" s="10"/>
      <c r="S1076" s="10"/>
      <c r="T1076" s="10"/>
      <c r="U1076" s="10"/>
      <c r="V1076" s="10"/>
      <c r="W1076" s="10"/>
      <c r="X1076" s="10"/>
      <c r="Y1076" s="10"/>
      <c r="Z1076" s="10"/>
      <c r="AA1076" s="10"/>
      <c r="AB1076" s="10"/>
      <c r="AC1076" s="10"/>
      <c r="AD1076" s="10"/>
      <c r="AE1076" s="10"/>
      <c r="AF1076" s="10"/>
      <c r="AG1076" s="10"/>
      <c r="AH1076" s="10"/>
      <c r="AI1076" s="10"/>
      <c r="AJ1076" s="10"/>
      <c r="AK1076" s="10"/>
      <c r="AL1076" s="10"/>
      <c r="AM1076" s="10"/>
      <c r="AN1076" s="10"/>
      <c r="AO1076" s="10"/>
      <c r="AP1076" s="10"/>
      <c r="AQ1076" s="10"/>
      <c r="AR1076" s="10"/>
      <c r="AS1076" s="10"/>
      <c r="AT1076" s="10"/>
      <c r="AU1076" s="10"/>
      <c r="AV1076" s="10"/>
      <c r="AW1076" s="10"/>
      <c r="AX1076" s="10"/>
      <c r="AY1076" s="10"/>
      <c r="AZ1076" s="10"/>
      <c r="BA1076" s="10"/>
    </row>
    <row r="1077" spans="1:53" x14ac:dyDescent="0.25">
      <c r="A1077" s="10"/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  <c r="N1077" s="10"/>
      <c r="O1077" s="10"/>
      <c r="P1077" s="10"/>
      <c r="Q1077" s="10"/>
      <c r="R1077" s="10"/>
      <c r="S1077" s="10"/>
      <c r="T1077" s="10"/>
      <c r="U1077" s="10"/>
      <c r="V1077" s="10"/>
      <c r="W1077" s="10"/>
      <c r="X1077" s="10"/>
      <c r="Y1077" s="10"/>
      <c r="Z1077" s="10"/>
      <c r="AA1077" s="10"/>
      <c r="AB1077" s="10"/>
      <c r="AC1077" s="10"/>
      <c r="AD1077" s="10"/>
      <c r="AE1077" s="10"/>
      <c r="AF1077" s="10"/>
      <c r="AG1077" s="10"/>
      <c r="AH1077" s="10"/>
      <c r="AI1077" s="10"/>
      <c r="AJ1077" s="10"/>
      <c r="AK1077" s="10"/>
      <c r="AL1077" s="10"/>
      <c r="AM1077" s="10"/>
      <c r="AN1077" s="10"/>
      <c r="AO1077" s="10"/>
      <c r="AP1077" s="10"/>
      <c r="AQ1077" s="10"/>
      <c r="AR1077" s="10"/>
      <c r="AS1077" s="10"/>
      <c r="AT1077" s="10"/>
      <c r="AU1077" s="10"/>
      <c r="AV1077" s="10"/>
      <c r="AW1077" s="10"/>
      <c r="AX1077" s="10"/>
      <c r="AY1077" s="10"/>
      <c r="AZ1077" s="10"/>
      <c r="BA1077" s="10"/>
    </row>
    <row r="1078" spans="1:53" x14ac:dyDescent="0.25">
      <c r="A1078" s="10"/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  <c r="N1078" s="10"/>
      <c r="O1078" s="10"/>
      <c r="P1078" s="10"/>
      <c r="Q1078" s="10"/>
      <c r="R1078" s="10"/>
      <c r="S1078" s="10"/>
      <c r="T1078" s="10"/>
      <c r="U1078" s="10"/>
      <c r="V1078" s="10"/>
      <c r="W1078" s="10"/>
      <c r="X1078" s="10"/>
      <c r="Y1078" s="10"/>
      <c r="Z1078" s="10"/>
      <c r="AA1078" s="10"/>
      <c r="AB1078" s="10"/>
      <c r="AC1078" s="10"/>
      <c r="AD1078" s="10"/>
      <c r="AE1078" s="10"/>
      <c r="AF1078" s="10"/>
      <c r="AG1078" s="10"/>
      <c r="AH1078" s="10"/>
      <c r="AI1078" s="10"/>
      <c r="AJ1078" s="10"/>
      <c r="AK1078" s="10"/>
      <c r="AL1078" s="10"/>
      <c r="AM1078" s="10"/>
      <c r="AN1078" s="10"/>
      <c r="AO1078" s="10"/>
      <c r="AP1078" s="10"/>
      <c r="AQ1078" s="10"/>
      <c r="AR1078" s="10"/>
      <c r="AS1078" s="10"/>
      <c r="AT1078" s="10"/>
      <c r="AU1078" s="10"/>
      <c r="AV1078" s="10"/>
      <c r="AW1078" s="10"/>
      <c r="AX1078" s="10"/>
      <c r="AY1078" s="10"/>
      <c r="AZ1078" s="10"/>
      <c r="BA1078" s="10"/>
    </row>
    <row r="1079" spans="1:53" x14ac:dyDescent="0.25">
      <c r="A1079" s="10"/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N1079" s="10"/>
      <c r="O1079" s="10"/>
      <c r="P1079" s="10"/>
      <c r="Q1079" s="10"/>
      <c r="R1079" s="10"/>
      <c r="S1079" s="10"/>
      <c r="T1079" s="10"/>
      <c r="U1079" s="10"/>
      <c r="V1079" s="10"/>
      <c r="W1079" s="10"/>
      <c r="X1079" s="10"/>
      <c r="Y1079" s="10"/>
      <c r="Z1079" s="10"/>
      <c r="AA1079" s="10"/>
      <c r="AB1079" s="10"/>
      <c r="AC1079" s="10"/>
      <c r="AD1079" s="10"/>
      <c r="AE1079" s="10"/>
      <c r="AF1079" s="10"/>
      <c r="AG1079" s="10"/>
      <c r="AH1079" s="10"/>
      <c r="AI1079" s="10"/>
      <c r="AJ1079" s="10"/>
      <c r="AK1079" s="10"/>
      <c r="AL1079" s="10"/>
      <c r="AM1079" s="10"/>
      <c r="AN1079" s="10"/>
      <c r="AO1079" s="10"/>
      <c r="AP1079" s="10"/>
      <c r="AQ1079" s="10"/>
      <c r="AR1079" s="10"/>
      <c r="AS1079" s="10"/>
      <c r="AT1079" s="10"/>
      <c r="AU1079" s="10"/>
      <c r="AV1079" s="10"/>
      <c r="AW1079" s="10"/>
      <c r="AX1079" s="10"/>
      <c r="AY1079" s="10"/>
      <c r="AZ1079" s="10"/>
      <c r="BA1079" s="10"/>
    </row>
    <row r="1080" spans="1:53" x14ac:dyDescent="0.25">
      <c r="A1080" s="10"/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  <c r="N1080" s="10"/>
      <c r="O1080" s="10"/>
      <c r="P1080" s="10"/>
      <c r="Q1080" s="10"/>
      <c r="R1080" s="10"/>
      <c r="S1080" s="10"/>
      <c r="T1080" s="10"/>
      <c r="U1080" s="10"/>
      <c r="V1080" s="10"/>
      <c r="W1080" s="10"/>
      <c r="X1080" s="10"/>
      <c r="Y1080" s="10"/>
      <c r="Z1080" s="10"/>
      <c r="AA1080" s="10"/>
      <c r="AB1080" s="10"/>
      <c r="AC1080" s="10"/>
      <c r="AD1080" s="10"/>
      <c r="AE1080" s="10"/>
      <c r="AF1080" s="10"/>
      <c r="AG1080" s="10"/>
      <c r="AH1080" s="10"/>
      <c r="AI1080" s="10"/>
      <c r="AJ1080" s="10"/>
      <c r="AK1080" s="10"/>
      <c r="AL1080" s="10"/>
      <c r="AM1080" s="10"/>
      <c r="AN1080" s="10"/>
      <c r="AO1080" s="10"/>
      <c r="AP1080" s="10"/>
      <c r="AQ1080" s="10"/>
      <c r="AR1080" s="10"/>
      <c r="AS1080" s="10"/>
      <c r="AT1080" s="10"/>
      <c r="AU1080" s="10"/>
      <c r="AV1080" s="10"/>
      <c r="AW1080" s="10"/>
      <c r="AX1080" s="10"/>
      <c r="AY1080" s="10"/>
      <c r="AZ1080" s="10"/>
      <c r="BA1080" s="10"/>
    </row>
    <row r="1081" spans="1:53" x14ac:dyDescent="0.25">
      <c r="A1081" s="10"/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  <c r="N1081" s="10"/>
      <c r="O1081" s="10"/>
      <c r="P1081" s="10"/>
      <c r="Q1081" s="10"/>
      <c r="R1081" s="10"/>
      <c r="S1081" s="10"/>
      <c r="T1081" s="10"/>
      <c r="U1081" s="10"/>
      <c r="V1081" s="10"/>
      <c r="W1081" s="10"/>
      <c r="X1081" s="10"/>
      <c r="Y1081" s="10"/>
      <c r="Z1081" s="10"/>
      <c r="AA1081" s="10"/>
      <c r="AB1081" s="10"/>
      <c r="AC1081" s="10"/>
      <c r="AD1081" s="10"/>
      <c r="AE1081" s="10"/>
      <c r="AF1081" s="10"/>
      <c r="AG1081" s="10"/>
      <c r="AH1081" s="10"/>
      <c r="AI1081" s="10"/>
      <c r="AJ1081" s="10"/>
      <c r="AK1081" s="10"/>
      <c r="AL1081" s="10"/>
      <c r="AM1081" s="10"/>
      <c r="AN1081" s="10"/>
      <c r="AO1081" s="10"/>
      <c r="AP1081" s="10"/>
      <c r="AQ1081" s="10"/>
      <c r="AR1081" s="10"/>
      <c r="AS1081" s="10"/>
      <c r="AT1081" s="10"/>
      <c r="AU1081" s="10"/>
      <c r="AV1081" s="10"/>
      <c r="AW1081" s="10"/>
      <c r="AX1081" s="10"/>
      <c r="AY1081" s="10"/>
      <c r="AZ1081" s="10"/>
      <c r="BA1081" s="10"/>
    </row>
    <row r="1082" spans="1:53" x14ac:dyDescent="0.25">
      <c r="A1082" s="10"/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  <c r="N1082" s="10"/>
      <c r="O1082" s="10"/>
      <c r="P1082" s="10"/>
      <c r="Q1082" s="10"/>
      <c r="R1082" s="10"/>
      <c r="S1082" s="10"/>
      <c r="T1082" s="10"/>
      <c r="U1082" s="10"/>
      <c r="V1082" s="10"/>
      <c r="W1082" s="10"/>
      <c r="X1082" s="10"/>
      <c r="Y1082" s="10"/>
      <c r="Z1082" s="10"/>
      <c r="AA1082" s="10"/>
      <c r="AB1082" s="10"/>
      <c r="AC1082" s="10"/>
      <c r="AD1082" s="10"/>
      <c r="AE1082" s="10"/>
      <c r="AF1082" s="10"/>
      <c r="AG1082" s="10"/>
      <c r="AH1082" s="10"/>
      <c r="AI1082" s="10"/>
      <c r="AJ1082" s="10"/>
      <c r="AK1082" s="10"/>
      <c r="AL1082" s="10"/>
      <c r="AM1082" s="10"/>
      <c r="AN1082" s="10"/>
      <c r="AO1082" s="10"/>
      <c r="AP1082" s="10"/>
      <c r="AQ1082" s="10"/>
      <c r="AR1082" s="10"/>
      <c r="AS1082" s="10"/>
      <c r="AT1082" s="10"/>
      <c r="AU1082" s="10"/>
      <c r="AV1082" s="10"/>
      <c r="AW1082" s="10"/>
      <c r="AX1082" s="10"/>
      <c r="AY1082" s="10"/>
      <c r="AZ1082" s="10"/>
      <c r="BA1082" s="10"/>
    </row>
    <row r="1083" spans="1:53" x14ac:dyDescent="0.25">
      <c r="A1083" s="10"/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  <c r="N1083" s="10"/>
      <c r="O1083" s="10"/>
      <c r="P1083" s="10"/>
      <c r="Q1083" s="10"/>
      <c r="R1083" s="10"/>
      <c r="S1083" s="10"/>
      <c r="T1083" s="10"/>
      <c r="U1083" s="10"/>
      <c r="V1083" s="10"/>
      <c r="W1083" s="10"/>
      <c r="X1083" s="10"/>
      <c r="Y1083" s="10"/>
      <c r="Z1083" s="10"/>
      <c r="AA1083" s="10"/>
      <c r="AB1083" s="10"/>
      <c r="AC1083" s="10"/>
      <c r="AD1083" s="10"/>
      <c r="AE1083" s="10"/>
      <c r="AF1083" s="10"/>
      <c r="AG1083" s="10"/>
      <c r="AH1083" s="10"/>
      <c r="AI1083" s="10"/>
      <c r="AJ1083" s="10"/>
      <c r="AK1083" s="10"/>
      <c r="AL1083" s="10"/>
      <c r="AM1083" s="10"/>
      <c r="AN1083" s="10"/>
      <c r="AO1083" s="10"/>
      <c r="AP1083" s="10"/>
      <c r="AQ1083" s="10"/>
      <c r="AR1083" s="10"/>
      <c r="AS1083" s="10"/>
      <c r="AT1083" s="10"/>
      <c r="AU1083" s="10"/>
      <c r="AV1083" s="10"/>
      <c r="AW1083" s="10"/>
      <c r="AX1083" s="10"/>
      <c r="AY1083" s="10"/>
      <c r="AZ1083" s="10"/>
      <c r="BA1083" s="10"/>
    </row>
    <row r="1084" spans="1:53" x14ac:dyDescent="0.25">
      <c r="A1084" s="10"/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  <c r="N1084" s="10"/>
      <c r="O1084" s="10"/>
      <c r="P1084" s="10"/>
      <c r="Q1084" s="10"/>
      <c r="R1084" s="10"/>
      <c r="S1084" s="10"/>
      <c r="T1084" s="10"/>
      <c r="U1084" s="10"/>
      <c r="V1084" s="10"/>
      <c r="W1084" s="10"/>
      <c r="X1084" s="10"/>
      <c r="Y1084" s="10"/>
      <c r="Z1084" s="10"/>
      <c r="AA1084" s="10"/>
      <c r="AB1084" s="10"/>
      <c r="AC1084" s="10"/>
      <c r="AD1084" s="10"/>
      <c r="AE1084" s="10"/>
      <c r="AF1084" s="10"/>
      <c r="AG1084" s="10"/>
      <c r="AH1084" s="10"/>
      <c r="AI1084" s="10"/>
      <c r="AJ1084" s="10"/>
      <c r="AK1084" s="10"/>
      <c r="AL1084" s="10"/>
      <c r="AM1084" s="10"/>
      <c r="AN1084" s="10"/>
      <c r="AO1084" s="10"/>
      <c r="AP1084" s="10"/>
      <c r="AQ1084" s="10"/>
      <c r="AR1084" s="10"/>
      <c r="AS1084" s="10"/>
      <c r="AT1084" s="10"/>
      <c r="AU1084" s="10"/>
      <c r="AV1084" s="10"/>
      <c r="AW1084" s="10"/>
      <c r="AX1084" s="10"/>
      <c r="AY1084" s="10"/>
      <c r="AZ1084" s="10"/>
      <c r="BA1084" s="10"/>
    </row>
    <row r="1085" spans="1:53" x14ac:dyDescent="0.25">
      <c r="A1085" s="10"/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  <c r="N1085" s="10"/>
      <c r="O1085" s="10"/>
      <c r="P1085" s="10"/>
      <c r="Q1085" s="10"/>
      <c r="R1085" s="10"/>
      <c r="S1085" s="10"/>
      <c r="T1085" s="10"/>
      <c r="U1085" s="10"/>
      <c r="V1085" s="10"/>
      <c r="W1085" s="10"/>
      <c r="X1085" s="10"/>
      <c r="Y1085" s="10"/>
      <c r="Z1085" s="10"/>
      <c r="AA1085" s="10"/>
      <c r="AB1085" s="10"/>
      <c r="AC1085" s="10"/>
      <c r="AD1085" s="10"/>
      <c r="AE1085" s="10"/>
      <c r="AF1085" s="10"/>
      <c r="AG1085" s="10"/>
      <c r="AH1085" s="10"/>
      <c r="AI1085" s="10"/>
      <c r="AJ1085" s="10"/>
      <c r="AK1085" s="10"/>
      <c r="AL1085" s="10"/>
      <c r="AM1085" s="10"/>
      <c r="AN1085" s="10"/>
      <c r="AO1085" s="10"/>
      <c r="AP1085" s="10"/>
      <c r="AQ1085" s="10"/>
      <c r="AR1085" s="10"/>
      <c r="AS1085" s="10"/>
      <c r="AT1085" s="10"/>
      <c r="AU1085" s="10"/>
      <c r="AV1085" s="10"/>
      <c r="AW1085" s="10"/>
      <c r="AX1085" s="10"/>
      <c r="AY1085" s="10"/>
      <c r="AZ1085" s="10"/>
      <c r="BA1085" s="10"/>
    </row>
    <row r="1086" spans="1:53" x14ac:dyDescent="0.25">
      <c r="A1086" s="10"/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N1086" s="10"/>
      <c r="O1086" s="10"/>
      <c r="P1086" s="10"/>
      <c r="Q1086" s="10"/>
      <c r="R1086" s="10"/>
      <c r="S1086" s="10"/>
      <c r="T1086" s="10"/>
      <c r="U1086" s="10"/>
      <c r="V1086" s="10"/>
      <c r="W1086" s="10"/>
      <c r="X1086" s="10"/>
      <c r="Y1086" s="10"/>
      <c r="Z1086" s="10"/>
      <c r="AA1086" s="10"/>
      <c r="AB1086" s="10"/>
      <c r="AC1086" s="10"/>
      <c r="AD1086" s="10"/>
      <c r="AE1086" s="10"/>
      <c r="AF1086" s="10"/>
      <c r="AG1086" s="10"/>
      <c r="AH1086" s="10"/>
      <c r="AI1086" s="10"/>
      <c r="AJ1086" s="10"/>
      <c r="AK1086" s="10"/>
      <c r="AL1086" s="10"/>
      <c r="AM1086" s="10"/>
      <c r="AN1086" s="10"/>
      <c r="AO1086" s="10"/>
      <c r="AP1086" s="10"/>
      <c r="AQ1086" s="10"/>
      <c r="AR1086" s="10"/>
      <c r="AS1086" s="10"/>
      <c r="AT1086" s="10"/>
      <c r="AU1086" s="10"/>
      <c r="AV1086" s="10"/>
      <c r="AW1086" s="10"/>
      <c r="AX1086" s="10"/>
      <c r="AY1086" s="10"/>
      <c r="AZ1086" s="10"/>
      <c r="BA1086" s="10"/>
    </row>
    <row r="1087" spans="1:53" x14ac:dyDescent="0.25">
      <c r="A1087" s="10"/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  <c r="N1087" s="10"/>
      <c r="O1087" s="10"/>
      <c r="P1087" s="10"/>
      <c r="Q1087" s="10"/>
      <c r="R1087" s="10"/>
      <c r="S1087" s="10"/>
      <c r="T1087" s="10"/>
      <c r="U1087" s="10"/>
      <c r="V1087" s="10"/>
      <c r="W1087" s="10"/>
      <c r="X1087" s="10"/>
      <c r="Y1087" s="10"/>
      <c r="Z1087" s="10"/>
      <c r="AA1087" s="10"/>
      <c r="AB1087" s="10"/>
      <c r="AC1087" s="10"/>
      <c r="AD1087" s="10"/>
      <c r="AE1087" s="10"/>
      <c r="AF1087" s="10"/>
      <c r="AG1087" s="10"/>
      <c r="AH1087" s="10"/>
      <c r="AI1087" s="10"/>
      <c r="AJ1087" s="10"/>
      <c r="AK1087" s="10"/>
      <c r="AL1087" s="10"/>
      <c r="AM1087" s="10"/>
      <c r="AN1087" s="10"/>
      <c r="AO1087" s="10"/>
      <c r="AP1087" s="10"/>
      <c r="AQ1087" s="10"/>
      <c r="AR1087" s="10"/>
      <c r="AS1087" s="10"/>
      <c r="AT1087" s="10"/>
      <c r="AU1087" s="10"/>
      <c r="AV1087" s="10"/>
      <c r="AW1087" s="10"/>
      <c r="AX1087" s="10"/>
      <c r="AY1087" s="10"/>
      <c r="AZ1087" s="10"/>
      <c r="BA1087" s="10"/>
    </row>
    <row r="1088" spans="1:53" x14ac:dyDescent="0.25">
      <c r="A1088" s="10"/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N1088" s="10"/>
      <c r="O1088" s="10"/>
      <c r="P1088" s="10"/>
      <c r="Q1088" s="10"/>
      <c r="R1088" s="10"/>
      <c r="S1088" s="10"/>
      <c r="T1088" s="10"/>
      <c r="U1088" s="10"/>
      <c r="V1088" s="10"/>
      <c r="W1088" s="10"/>
      <c r="X1088" s="10"/>
      <c r="Y1088" s="10"/>
      <c r="Z1088" s="10"/>
      <c r="AA1088" s="10"/>
      <c r="AB1088" s="10"/>
      <c r="AC1088" s="10"/>
      <c r="AD1088" s="10"/>
      <c r="AE1088" s="10"/>
      <c r="AF1088" s="10"/>
      <c r="AG1088" s="10"/>
      <c r="AH1088" s="10"/>
      <c r="AI1088" s="10"/>
      <c r="AJ1088" s="10"/>
      <c r="AK1088" s="10"/>
      <c r="AL1088" s="10"/>
      <c r="AM1088" s="10"/>
      <c r="AN1088" s="10"/>
      <c r="AO1088" s="10"/>
      <c r="AP1088" s="10"/>
      <c r="AQ1088" s="10"/>
      <c r="AR1088" s="10"/>
      <c r="AS1088" s="10"/>
      <c r="AT1088" s="10"/>
      <c r="AU1088" s="10"/>
      <c r="AV1088" s="10"/>
      <c r="AW1088" s="10"/>
      <c r="AX1088" s="10"/>
      <c r="AY1088" s="10"/>
      <c r="AZ1088" s="10"/>
      <c r="BA1088" s="10"/>
    </row>
    <row r="1089" spans="1:53" x14ac:dyDescent="0.25">
      <c r="A1089" s="10"/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N1089" s="10"/>
      <c r="O1089" s="10"/>
      <c r="P1089" s="10"/>
      <c r="Q1089" s="10"/>
      <c r="R1089" s="10"/>
      <c r="S1089" s="10"/>
      <c r="T1089" s="10"/>
      <c r="U1089" s="10"/>
      <c r="V1089" s="10"/>
      <c r="W1089" s="10"/>
      <c r="X1089" s="10"/>
      <c r="Y1089" s="10"/>
      <c r="Z1089" s="10"/>
      <c r="AA1089" s="10"/>
      <c r="AB1089" s="10"/>
      <c r="AC1089" s="10"/>
      <c r="AD1089" s="10"/>
      <c r="AE1089" s="10"/>
      <c r="AF1089" s="10"/>
      <c r="AG1089" s="10"/>
      <c r="AH1089" s="10"/>
      <c r="AI1089" s="10"/>
      <c r="AJ1089" s="10"/>
      <c r="AK1089" s="10"/>
      <c r="AL1089" s="10"/>
      <c r="AM1089" s="10"/>
      <c r="AN1089" s="10"/>
      <c r="AO1089" s="10"/>
      <c r="AP1089" s="10"/>
      <c r="AQ1089" s="10"/>
      <c r="AR1089" s="10"/>
      <c r="AS1089" s="10"/>
      <c r="AT1089" s="10"/>
      <c r="AU1089" s="10"/>
      <c r="AV1089" s="10"/>
      <c r="AW1089" s="10"/>
      <c r="AX1089" s="10"/>
      <c r="AY1089" s="10"/>
      <c r="AZ1089" s="10"/>
      <c r="BA1089" s="10"/>
    </row>
    <row r="1090" spans="1:53" x14ac:dyDescent="0.25">
      <c r="A1090" s="10"/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N1090" s="10"/>
      <c r="O1090" s="10"/>
      <c r="P1090" s="10"/>
      <c r="Q1090" s="10"/>
      <c r="R1090" s="10"/>
      <c r="S1090" s="10"/>
      <c r="T1090" s="10"/>
      <c r="U1090" s="10"/>
      <c r="V1090" s="10"/>
      <c r="W1090" s="10"/>
      <c r="X1090" s="10"/>
      <c r="Y1090" s="10"/>
      <c r="Z1090" s="10"/>
      <c r="AA1090" s="10"/>
      <c r="AB1090" s="10"/>
      <c r="AC1090" s="10"/>
      <c r="AD1090" s="10"/>
      <c r="AE1090" s="10"/>
      <c r="AF1090" s="10"/>
      <c r="AG1090" s="10"/>
      <c r="AH1090" s="10"/>
      <c r="AI1090" s="10"/>
      <c r="AJ1090" s="10"/>
      <c r="AK1090" s="10"/>
      <c r="AL1090" s="10"/>
      <c r="AM1090" s="10"/>
      <c r="AN1090" s="10"/>
      <c r="AO1090" s="10"/>
      <c r="AP1090" s="10"/>
      <c r="AQ1090" s="10"/>
      <c r="AR1090" s="10"/>
      <c r="AS1090" s="10"/>
      <c r="AT1090" s="10"/>
      <c r="AU1090" s="10"/>
      <c r="AV1090" s="10"/>
      <c r="AW1090" s="10"/>
      <c r="AX1090" s="10"/>
      <c r="AY1090" s="10"/>
      <c r="AZ1090" s="10"/>
      <c r="BA1090" s="10"/>
    </row>
    <row r="1091" spans="1:53" x14ac:dyDescent="0.25">
      <c r="A1091" s="10"/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N1091" s="10"/>
      <c r="O1091" s="10"/>
      <c r="P1091" s="10"/>
      <c r="Q1091" s="10"/>
      <c r="R1091" s="10"/>
      <c r="S1091" s="10"/>
      <c r="T1091" s="10"/>
      <c r="U1091" s="10"/>
      <c r="V1091" s="10"/>
      <c r="W1091" s="10"/>
      <c r="X1091" s="10"/>
      <c r="Y1091" s="10"/>
      <c r="Z1091" s="10"/>
      <c r="AA1091" s="10"/>
      <c r="AB1091" s="10"/>
      <c r="AC1091" s="10"/>
      <c r="AD1091" s="10"/>
      <c r="AE1091" s="10"/>
      <c r="AF1091" s="10"/>
      <c r="AG1091" s="10"/>
      <c r="AH1091" s="10"/>
      <c r="AI1091" s="10"/>
      <c r="AJ1091" s="10"/>
      <c r="AK1091" s="10"/>
      <c r="AL1091" s="10"/>
      <c r="AM1091" s="10"/>
      <c r="AN1091" s="10"/>
      <c r="AO1091" s="10"/>
      <c r="AP1091" s="10"/>
      <c r="AQ1091" s="10"/>
      <c r="AR1091" s="10"/>
      <c r="AS1091" s="10"/>
      <c r="AT1091" s="10"/>
      <c r="AU1091" s="10"/>
      <c r="AV1091" s="10"/>
      <c r="AW1091" s="10"/>
      <c r="AX1091" s="10"/>
      <c r="AY1091" s="10"/>
      <c r="AZ1091" s="10"/>
      <c r="BA1091" s="10"/>
    </row>
    <row r="1092" spans="1:53" x14ac:dyDescent="0.25">
      <c r="A1092" s="10"/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N1092" s="10"/>
      <c r="O1092" s="10"/>
      <c r="P1092" s="10"/>
      <c r="Q1092" s="10"/>
      <c r="R1092" s="10"/>
      <c r="S1092" s="10"/>
      <c r="T1092" s="10"/>
      <c r="U1092" s="10"/>
      <c r="V1092" s="10"/>
      <c r="W1092" s="10"/>
      <c r="X1092" s="10"/>
      <c r="Y1092" s="10"/>
      <c r="Z1092" s="10"/>
      <c r="AA1092" s="10"/>
      <c r="AB1092" s="10"/>
      <c r="AC1092" s="10"/>
      <c r="AD1092" s="10"/>
      <c r="AE1092" s="10"/>
      <c r="AF1092" s="10"/>
      <c r="AG1092" s="10"/>
      <c r="AH1092" s="10"/>
      <c r="AI1092" s="10"/>
      <c r="AJ1092" s="10"/>
      <c r="AK1092" s="10"/>
      <c r="AL1092" s="10"/>
      <c r="AM1092" s="10"/>
      <c r="AN1092" s="10"/>
      <c r="AO1092" s="10"/>
      <c r="AP1092" s="10"/>
      <c r="AQ1092" s="10"/>
      <c r="AR1092" s="10"/>
      <c r="AS1092" s="10"/>
      <c r="AT1092" s="10"/>
      <c r="AU1092" s="10"/>
      <c r="AV1092" s="10"/>
      <c r="AW1092" s="10"/>
      <c r="AX1092" s="10"/>
      <c r="AY1092" s="10"/>
      <c r="AZ1092" s="10"/>
      <c r="BA1092" s="10"/>
    </row>
    <row r="1093" spans="1:53" x14ac:dyDescent="0.25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N1093" s="10"/>
      <c r="O1093" s="10"/>
      <c r="P1093" s="10"/>
      <c r="Q1093" s="10"/>
      <c r="R1093" s="10"/>
      <c r="S1093" s="10"/>
      <c r="T1093" s="10"/>
      <c r="U1093" s="10"/>
      <c r="V1093" s="10"/>
      <c r="W1093" s="10"/>
      <c r="X1093" s="10"/>
      <c r="Y1093" s="10"/>
      <c r="Z1093" s="10"/>
      <c r="AA1093" s="10"/>
      <c r="AB1093" s="10"/>
      <c r="AC1093" s="10"/>
      <c r="AD1093" s="10"/>
      <c r="AE1093" s="10"/>
      <c r="AF1093" s="10"/>
      <c r="AG1093" s="10"/>
      <c r="AH1093" s="10"/>
      <c r="AI1093" s="10"/>
      <c r="AJ1093" s="10"/>
      <c r="AK1093" s="10"/>
      <c r="AL1093" s="10"/>
      <c r="AM1093" s="10"/>
      <c r="AN1093" s="10"/>
      <c r="AO1093" s="10"/>
      <c r="AP1093" s="10"/>
      <c r="AQ1093" s="10"/>
      <c r="AR1093" s="10"/>
      <c r="AS1093" s="10"/>
      <c r="AT1093" s="10"/>
      <c r="AU1093" s="10"/>
      <c r="AV1093" s="10"/>
      <c r="AW1093" s="10"/>
      <c r="AX1093" s="10"/>
      <c r="AY1093" s="10"/>
      <c r="AZ1093" s="10"/>
      <c r="BA1093" s="10"/>
    </row>
    <row r="1094" spans="1:53" x14ac:dyDescent="0.25">
      <c r="A1094" s="10"/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N1094" s="10"/>
      <c r="O1094" s="10"/>
      <c r="P1094" s="10"/>
      <c r="Q1094" s="10"/>
      <c r="R1094" s="10"/>
      <c r="S1094" s="10"/>
      <c r="T1094" s="10"/>
      <c r="U1094" s="10"/>
      <c r="V1094" s="10"/>
      <c r="W1094" s="10"/>
      <c r="X1094" s="10"/>
      <c r="Y1094" s="10"/>
      <c r="Z1094" s="10"/>
      <c r="AA1094" s="10"/>
      <c r="AB1094" s="10"/>
      <c r="AC1094" s="10"/>
      <c r="AD1094" s="10"/>
      <c r="AE1094" s="10"/>
      <c r="AF1094" s="10"/>
      <c r="AG1094" s="10"/>
      <c r="AH1094" s="10"/>
      <c r="AI1094" s="10"/>
      <c r="AJ1094" s="10"/>
      <c r="AK1094" s="10"/>
      <c r="AL1094" s="10"/>
      <c r="AM1094" s="10"/>
      <c r="AN1094" s="10"/>
      <c r="AO1094" s="10"/>
      <c r="AP1094" s="10"/>
      <c r="AQ1094" s="10"/>
      <c r="AR1094" s="10"/>
      <c r="AS1094" s="10"/>
      <c r="AT1094" s="10"/>
      <c r="AU1094" s="10"/>
      <c r="AV1094" s="10"/>
      <c r="AW1094" s="10"/>
      <c r="AX1094" s="10"/>
      <c r="AY1094" s="10"/>
      <c r="AZ1094" s="10"/>
      <c r="BA1094" s="10"/>
    </row>
    <row r="1095" spans="1:53" x14ac:dyDescent="0.25">
      <c r="A1095" s="10"/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N1095" s="10"/>
      <c r="O1095" s="10"/>
      <c r="P1095" s="10"/>
      <c r="Q1095" s="10"/>
      <c r="R1095" s="10"/>
      <c r="S1095" s="10"/>
      <c r="T1095" s="10"/>
      <c r="U1095" s="10"/>
      <c r="V1095" s="10"/>
      <c r="W1095" s="10"/>
      <c r="X1095" s="10"/>
      <c r="Y1095" s="10"/>
      <c r="Z1095" s="10"/>
      <c r="AA1095" s="10"/>
      <c r="AB1095" s="10"/>
      <c r="AC1095" s="10"/>
      <c r="AD1095" s="10"/>
      <c r="AE1095" s="10"/>
      <c r="AF1095" s="10"/>
      <c r="AG1095" s="10"/>
      <c r="AH1095" s="10"/>
      <c r="AI1095" s="10"/>
      <c r="AJ1095" s="10"/>
      <c r="AK1095" s="10"/>
      <c r="AL1095" s="10"/>
      <c r="AM1095" s="10"/>
      <c r="AN1095" s="10"/>
      <c r="AO1095" s="10"/>
      <c r="AP1095" s="10"/>
      <c r="AQ1095" s="10"/>
      <c r="AR1095" s="10"/>
      <c r="AS1095" s="10"/>
      <c r="AT1095" s="10"/>
      <c r="AU1095" s="10"/>
      <c r="AV1095" s="10"/>
      <c r="AW1095" s="10"/>
      <c r="AX1095" s="10"/>
      <c r="AY1095" s="10"/>
      <c r="AZ1095" s="10"/>
      <c r="BA1095" s="10"/>
    </row>
    <row r="1096" spans="1:53" x14ac:dyDescent="0.25">
      <c r="A1096" s="10"/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N1096" s="10"/>
      <c r="O1096" s="10"/>
      <c r="P1096" s="10"/>
      <c r="Q1096" s="10"/>
      <c r="R1096" s="10"/>
      <c r="S1096" s="10"/>
      <c r="T1096" s="10"/>
      <c r="U1096" s="10"/>
      <c r="V1096" s="10"/>
      <c r="W1096" s="10"/>
      <c r="X1096" s="10"/>
      <c r="Y1096" s="10"/>
      <c r="Z1096" s="10"/>
      <c r="AA1096" s="10"/>
      <c r="AB1096" s="10"/>
      <c r="AC1096" s="10"/>
      <c r="AD1096" s="10"/>
      <c r="AE1096" s="10"/>
      <c r="AF1096" s="10"/>
      <c r="AG1096" s="10"/>
      <c r="AH1096" s="10"/>
      <c r="AI1096" s="10"/>
      <c r="AJ1096" s="10"/>
      <c r="AK1096" s="10"/>
      <c r="AL1096" s="10"/>
      <c r="AM1096" s="10"/>
      <c r="AN1096" s="10"/>
      <c r="AO1096" s="10"/>
      <c r="AP1096" s="10"/>
      <c r="AQ1096" s="10"/>
      <c r="AR1096" s="10"/>
      <c r="AS1096" s="10"/>
      <c r="AT1096" s="10"/>
      <c r="AU1096" s="10"/>
      <c r="AV1096" s="10"/>
      <c r="AW1096" s="10"/>
      <c r="AX1096" s="10"/>
      <c r="AY1096" s="10"/>
      <c r="AZ1096" s="10"/>
      <c r="BA1096" s="10"/>
    </row>
    <row r="1097" spans="1:53" x14ac:dyDescent="0.25">
      <c r="A1097" s="10"/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N1097" s="10"/>
      <c r="O1097" s="10"/>
      <c r="P1097" s="10"/>
      <c r="Q1097" s="10"/>
      <c r="R1097" s="10"/>
      <c r="S1097" s="10"/>
      <c r="T1097" s="10"/>
      <c r="U1097" s="10"/>
      <c r="V1097" s="10"/>
      <c r="W1097" s="10"/>
      <c r="X1097" s="10"/>
      <c r="Y1097" s="10"/>
      <c r="Z1097" s="10"/>
      <c r="AA1097" s="10"/>
      <c r="AB1097" s="10"/>
      <c r="AC1097" s="10"/>
      <c r="AD1097" s="10"/>
      <c r="AE1097" s="10"/>
      <c r="AF1097" s="10"/>
      <c r="AG1097" s="10"/>
      <c r="AH1097" s="10"/>
      <c r="AI1097" s="10"/>
      <c r="AJ1097" s="10"/>
      <c r="AK1097" s="10"/>
      <c r="AL1097" s="10"/>
      <c r="AM1097" s="10"/>
      <c r="AN1097" s="10"/>
      <c r="AO1097" s="10"/>
      <c r="AP1097" s="10"/>
      <c r="AQ1097" s="10"/>
      <c r="AR1097" s="10"/>
      <c r="AS1097" s="10"/>
      <c r="AT1097" s="10"/>
      <c r="AU1097" s="10"/>
      <c r="AV1097" s="10"/>
      <c r="AW1097" s="10"/>
      <c r="AX1097" s="10"/>
      <c r="AY1097" s="10"/>
      <c r="AZ1097" s="10"/>
      <c r="BA1097" s="10"/>
    </row>
    <row r="1098" spans="1:53" x14ac:dyDescent="0.25">
      <c r="A1098" s="10"/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N1098" s="10"/>
      <c r="O1098" s="10"/>
      <c r="P1098" s="10"/>
      <c r="Q1098" s="10"/>
      <c r="R1098" s="10"/>
      <c r="S1098" s="10"/>
      <c r="T1098" s="10"/>
      <c r="U1098" s="10"/>
      <c r="V1098" s="10"/>
      <c r="W1098" s="10"/>
      <c r="X1098" s="10"/>
      <c r="Y1098" s="10"/>
      <c r="Z1098" s="10"/>
      <c r="AA1098" s="10"/>
      <c r="AB1098" s="10"/>
      <c r="AC1098" s="10"/>
      <c r="AD1098" s="10"/>
      <c r="AE1098" s="10"/>
      <c r="AF1098" s="10"/>
      <c r="AG1098" s="10"/>
      <c r="AH1098" s="10"/>
      <c r="AI1098" s="10"/>
      <c r="AJ1098" s="10"/>
      <c r="AK1098" s="10"/>
      <c r="AL1098" s="10"/>
      <c r="AM1098" s="10"/>
      <c r="AN1098" s="10"/>
      <c r="AO1098" s="10"/>
      <c r="AP1098" s="10"/>
      <c r="AQ1098" s="10"/>
      <c r="AR1098" s="10"/>
      <c r="AS1098" s="10"/>
      <c r="AT1098" s="10"/>
      <c r="AU1098" s="10"/>
      <c r="AV1098" s="10"/>
      <c r="AW1098" s="10"/>
      <c r="AX1098" s="10"/>
      <c r="AY1098" s="10"/>
      <c r="AZ1098" s="10"/>
      <c r="BA1098" s="10"/>
    </row>
    <row r="1099" spans="1:53" x14ac:dyDescent="0.25">
      <c r="A1099" s="10"/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N1099" s="10"/>
      <c r="O1099" s="10"/>
      <c r="P1099" s="10"/>
      <c r="Q1099" s="10"/>
      <c r="R1099" s="10"/>
      <c r="S1099" s="10"/>
      <c r="T1099" s="10"/>
      <c r="U1099" s="10"/>
      <c r="V1099" s="10"/>
      <c r="W1099" s="10"/>
      <c r="X1099" s="10"/>
      <c r="Y1099" s="10"/>
      <c r="Z1099" s="10"/>
      <c r="AA1099" s="10"/>
      <c r="AB1099" s="10"/>
      <c r="AC1099" s="10"/>
      <c r="AD1099" s="10"/>
      <c r="AE1099" s="10"/>
      <c r="AF1099" s="10"/>
      <c r="AG1099" s="10"/>
      <c r="AH1099" s="10"/>
      <c r="AI1099" s="10"/>
      <c r="AJ1099" s="10"/>
      <c r="AK1099" s="10"/>
      <c r="AL1099" s="10"/>
      <c r="AM1099" s="10"/>
      <c r="AN1099" s="10"/>
      <c r="AO1099" s="10"/>
      <c r="AP1099" s="10"/>
      <c r="AQ1099" s="10"/>
      <c r="AR1099" s="10"/>
      <c r="AS1099" s="10"/>
      <c r="AT1099" s="10"/>
      <c r="AU1099" s="10"/>
      <c r="AV1099" s="10"/>
      <c r="AW1099" s="10"/>
      <c r="AX1099" s="10"/>
      <c r="AY1099" s="10"/>
      <c r="AZ1099" s="10"/>
      <c r="BA1099" s="10"/>
    </row>
    <row r="1100" spans="1:53" x14ac:dyDescent="0.25">
      <c r="A1100" s="10"/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N1100" s="10"/>
      <c r="O1100" s="10"/>
      <c r="P1100" s="10"/>
      <c r="Q1100" s="10"/>
      <c r="R1100" s="10"/>
      <c r="S1100" s="10"/>
      <c r="T1100" s="10"/>
      <c r="U1100" s="10"/>
      <c r="V1100" s="10"/>
      <c r="W1100" s="10"/>
      <c r="X1100" s="10"/>
      <c r="Y1100" s="10"/>
      <c r="Z1100" s="10"/>
      <c r="AA1100" s="10"/>
      <c r="AB1100" s="10"/>
      <c r="AC1100" s="10"/>
      <c r="AD1100" s="10"/>
      <c r="AE1100" s="10"/>
      <c r="AF1100" s="10"/>
      <c r="AG1100" s="10"/>
      <c r="AH1100" s="10"/>
      <c r="AI1100" s="10"/>
      <c r="AJ1100" s="10"/>
      <c r="AK1100" s="10"/>
      <c r="AL1100" s="10"/>
      <c r="AM1100" s="10"/>
      <c r="AN1100" s="10"/>
      <c r="AO1100" s="10"/>
      <c r="AP1100" s="10"/>
      <c r="AQ1100" s="10"/>
      <c r="AR1100" s="10"/>
      <c r="AS1100" s="10"/>
      <c r="AT1100" s="10"/>
      <c r="AU1100" s="10"/>
      <c r="AV1100" s="10"/>
      <c r="AW1100" s="10"/>
      <c r="AX1100" s="10"/>
      <c r="AY1100" s="10"/>
      <c r="AZ1100" s="10"/>
      <c r="BA1100" s="10"/>
    </row>
    <row r="1101" spans="1:53" x14ac:dyDescent="0.25">
      <c r="A1101" s="10"/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N1101" s="10"/>
      <c r="O1101" s="10"/>
      <c r="P1101" s="10"/>
      <c r="Q1101" s="10"/>
      <c r="R1101" s="10"/>
      <c r="S1101" s="10"/>
      <c r="T1101" s="10"/>
      <c r="U1101" s="10"/>
      <c r="V1101" s="10"/>
      <c r="W1101" s="10"/>
      <c r="X1101" s="10"/>
      <c r="Y1101" s="10"/>
      <c r="Z1101" s="10"/>
      <c r="AA1101" s="10"/>
      <c r="AB1101" s="10"/>
      <c r="AC1101" s="10"/>
      <c r="AD1101" s="10"/>
      <c r="AE1101" s="10"/>
      <c r="AF1101" s="10"/>
      <c r="AG1101" s="10"/>
      <c r="AH1101" s="10"/>
      <c r="AI1101" s="10"/>
      <c r="AJ1101" s="10"/>
      <c r="AK1101" s="10"/>
      <c r="AL1101" s="10"/>
      <c r="AM1101" s="10"/>
      <c r="AN1101" s="10"/>
      <c r="AO1101" s="10"/>
      <c r="AP1101" s="10"/>
      <c r="AQ1101" s="10"/>
      <c r="AR1101" s="10"/>
      <c r="AS1101" s="10"/>
      <c r="AT1101" s="10"/>
      <c r="AU1101" s="10"/>
      <c r="AV1101" s="10"/>
      <c r="AW1101" s="10"/>
      <c r="AX1101" s="10"/>
      <c r="AY1101" s="10"/>
      <c r="AZ1101" s="10"/>
      <c r="BA1101" s="10"/>
    </row>
    <row r="1102" spans="1:53" x14ac:dyDescent="0.25">
      <c r="A1102" s="10"/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N1102" s="10"/>
      <c r="O1102" s="10"/>
      <c r="P1102" s="10"/>
      <c r="Q1102" s="10"/>
      <c r="R1102" s="10"/>
      <c r="S1102" s="10"/>
      <c r="T1102" s="10"/>
      <c r="U1102" s="10"/>
      <c r="V1102" s="10"/>
      <c r="W1102" s="10"/>
      <c r="X1102" s="10"/>
      <c r="Y1102" s="10"/>
      <c r="Z1102" s="10"/>
      <c r="AA1102" s="10"/>
      <c r="AB1102" s="10"/>
      <c r="AC1102" s="10"/>
      <c r="AD1102" s="10"/>
      <c r="AE1102" s="10"/>
      <c r="AF1102" s="10"/>
      <c r="AG1102" s="10"/>
      <c r="AH1102" s="10"/>
      <c r="AI1102" s="10"/>
      <c r="AJ1102" s="10"/>
      <c r="AK1102" s="10"/>
      <c r="AL1102" s="10"/>
      <c r="AM1102" s="10"/>
      <c r="AN1102" s="10"/>
      <c r="AO1102" s="10"/>
      <c r="AP1102" s="10"/>
      <c r="AQ1102" s="10"/>
      <c r="AR1102" s="10"/>
      <c r="AS1102" s="10"/>
      <c r="AT1102" s="10"/>
      <c r="AU1102" s="10"/>
      <c r="AV1102" s="10"/>
      <c r="AW1102" s="10"/>
      <c r="AX1102" s="10"/>
      <c r="AY1102" s="10"/>
      <c r="AZ1102" s="10"/>
      <c r="BA1102" s="10"/>
    </row>
    <row r="1103" spans="1:53" x14ac:dyDescent="0.25">
      <c r="A1103" s="10"/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N1103" s="10"/>
      <c r="O1103" s="10"/>
      <c r="P1103" s="10"/>
      <c r="Q1103" s="10"/>
      <c r="R1103" s="10"/>
      <c r="S1103" s="10"/>
      <c r="T1103" s="10"/>
      <c r="U1103" s="10"/>
      <c r="V1103" s="10"/>
      <c r="W1103" s="10"/>
      <c r="X1103" s="10"/>
      <c r="Y1103" s="10"/>
      <c r="Z1103" s="10"/>
      <c r="AA1103" s="10"/>
      <c r="AB1103" s="10"/>
      <c r="AC1103" s="10"/>
      <c r="AD1103" s="10"/>
      <c r="AE1103" s="10"/>
      <c r="AF1103" s="10"/>
      <c r="AG1103" s="10"/>
      <c r="AH1103" s="10"/>
      <c r="AI1103" s="10"/>
      <c r="AJ1103" s="10"/>
      <c r="AK1103" s="10"/>
      <c r="AL1103" s="10"/>
      <c r="AM1103" s="10"/>
      <c r="AN1103" s="10"/>
      <c r="AO1103" s="10"/>
      <c r="AP1103" s="10"/>
      <c r="AQ1103" s="10"/>
      <c r="AR1103" s="10"/>
      <c r="AS1103" s="10"/>
      <c r="AT1103" s="10"/>
      <c r="AU1103" s="10"/>
      <c r="AV1103" s="10"/>
      <c r="AW1103" s="10"/>
      <c r="AX1103" s="10"/>
      <c r="AY1103" s="10"/>
      <c r="AZ1103" s="10"/>
      <c r="BA1103" s="10"/>
    </row>
    <row r="1104" spans="1:53" x14ac:dyDescent="0.25">
      <c r="A1104" s="10"/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N1104" s="10"/>
      <c r="O1104" s="10"/>
      <c r="P1104" s="10"/>
      <c r="Q1104" s="10"/>
      <c r="R1104" s="10"/>
      <c r="S1104" s="10"/>
      <c r="T1104" s="10"/>
      <c r="U1104" s="10"/>
      <c r="V1104" s="10"/>
      <c r="W1104" s="10"/>
      <c r="X1104" s="10"/>
      <c r="Y1104" s="10"/>
      <c r="Z1104" s="10"/>
      <c r="AA1104" s="10"/>
      <c r="AB1104" s="10"/>
      <c r="AC1104" s="10"/>
      <c r="AD1104" s="10"/>
      <c r="AE1104" s="10"/>
      <c r="AF1104" s="10"/>
      <c r="AG1104" s="10"/>
      <c r="AH1104" s="10"/>
      <c r="AI1104" s="10"/>
      <c r="AJ1104" s="10"/>
      <c r="AK1104" s="10"/>
      <c r="AL1104" s="10"/>
      <c r="AM1104" s="10"/>
      <c r="AN1104" s="10"/>
      <c r="AO1104" s="10"/>
      <c r="AP1104" s="10"/>
      <c r="AQ1104" s="10"/>
      <c r="AR1104" s="10"/>
      <c r="AS1104" s="10"/>
      <c r="AT1104" s="10"/>
      <c r="AU1104" s="10"/>
      <c r="AV1104" s="10"/>
      <c r="AW1104" s="10"/>
      <c r="AX1104" s="10"/>
      <c r="AY1104" s="10"/>
      <c r="AZ1104" s="10"/>
      <c r="BA1104" s="10"/>
    </row>
    <row r="1105" spans="1:53" x14ac:dyDescent="0.25">
      <c r="A1105" s="10"/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N1105" s="10"/>
      <c r="O1105" s="10"/>
      <c r="P1105" s="10"/>
      <c r="Q1105" s="10"/>
      <c r="R1105" s="10"/>
      <c r="S1105" s="10"/>
      <c r="T1105" s="10"/>
      <c r="U1105" s="10"/>
      <c r="V1105" s="10"/>
      <c r="W1105" s="10"/>
      <c r="X1105" s="10"/>
      <c r="Y1105" s="10"/>
      <c r="Z1105" s="10"/>
      <c r="AA1105" s="10"/>
      <c r="AB1105" s="10"/>
      <c r="AC1105" s="10"/>
      <c r="AD1105" s="10"/>
      <c r="AE1105" s="10"/>
      <c r="AF1105" s="10"/>
      <c r="AG1105" s="10"/>
      <c r="AH1105" s="10"/>
      <c r="AI1105" s="10"/>
      <c r="AJ1105" s="10"/>
      <c r="AK1105" s="10"/>
      <c r="AL1105" s="10"/>
      <c r="AM1105" s="10"/>
      <c r="AN1105" s="10"/>
      <c r="AO1105" s="10"/>
      <c r="AP1105" s="10"/>
      <c r="AQ1105" s="10"/>
      <c r="AR1105" s="10"/>
      <c r="AS1105" s="10"/>
      <c r="AT1105" s="10"/>
      <c r="AU1105" s="10"/>
      <c r="AV1105" s="10"/>
      <c r="AW1105" s="10"/>
      <c r="AX1105" s="10"/>
      <c r="AY1105" s="10"/>
      <c r="AZ1105" s="10"/>
      <c r="BA1105" s="10"/>
    </row>
    <row r="1106" spans="1:53" x14ac:dyDescent="0.25">
      <c r="A1106" s="10"/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N1106" s="10"/>
      <c r="O1106" s="10"/>
      <c r="P1106" s="10"/>
      <c r="Q1106" s="10"/>
      <c r="R1106" s="10"/>
      <c r="S1106" s="10"/>
      <c r="T1106" s="10"/>
      <c r="U1106" s="10"/>
      <c r="V1106" s="10"/>
      <c r="W1106" s="10"/>
      <c r="X1106" s="10"/>
      <c r="Y1106" s="10"/>
      <c r="Z1106" s="10"/>
      <c r="AA1106" s="10"/>
      <c r="AB1106" s="10"/>
      <c r="AC1106" s="10"/>
      <c r="AD1106" s="10"/>
      <c r="AE1106" s="10"/>
      <c r="AF1106" s="10"/>
      <c r="AG1106" s="10"/>
      <c r="AH1106" s="10"/>
      <c r="AI1106" s="10"/>
      <c r="AJ1106" s="10"/>
      <c r="AK1106" s="10"/>
      <c r="AL1106" s="10"/>
      <c r="AM1106" s="10"/>
      <c r="AN1106" s="10"/>
      <c r="AO1106" s="10"/>
      <c r="AP1106" s="10"/>
      <c r="AQ1106" s="10"/>
      <c r="AR1106" s="10"/>
      <c r="AS1106" s="10"/>
      <c r="AT1106" s="10"/>
      <c r="AU1106" s="10"/>
      <c r="AV1106" s="10"/>
      <c r="AW1106" s="10"/>
      <c r="AX1106" s="10"/>
      <c r="AY1106" s="10"/>
      <c r="AZ1106" s="10"/>
      <c r="BA1106" s="10"/>
    </row>
    <row r="1107" spans="1:53" x14ac:dyDescent="0.25">
      <c r="A1107" s="10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N1107" s="10"/>
      <c r="O1107" s="10"/>
      <c r="P1107" s="10"/>
      <c r="Q1107" s="10"/>
      <c r="R1107" s="10"/>
      <c r="S1107" s="10"/>
      <c r="T1107" s="10"/>
      <c r="U1107" s="10"/>
      <c r="V1107" s="10"/>
      <c r="W1107" s="10"/>
      <c r="X1107" s="10"/>
      <c r="Y1107" s="10"/>
      <c r="Z1107" s="10"/>
      <c r="AA1107" s="10"/>
      <c r="AB1107" s="10"/>
      <c r="AC1107" s="10"/>
      <c r="AD1107" s="10"/>
      <c r="AE1107" s="10"/>
      <c r="AF1107" s="10"/>
      <c r="AG1107" s="10"/>
      <c r="AH1107" s="10"/>
      <c r="AI1107" s="10"/>
      <c r="AJ1107" s="10"/>
      <c r="AK1107" s="10"/>
      <c r="AL1107" s="10"/>
      <c r="AM1107" s="10"/>
      <c r="AN1107" s="10"/>
      <c r="AO1107" s="10"/>
      <c r="AP1107" s="10"/>
      <c r="AQ1107" s="10"/>
      <c r="AR1107" s="10"/>
      <c r="AS1107" s="10"/>
      <c r="AT1107" s="10"/>
      <c r="AU1107" s="10"/>
      <c r="AV1107" s="10"/>
      <c r="AW1107" s="10"/>
      <c r="AX1107" s="10"/>
      <c r="AY1107" s="10"/>
      <c r="AZ1107" s="10"/>
      <c r="BA1107" s="10"/>
    </row>
    <row r="1108" spans="1:53" x14ac:dyDescent="0.25">
      <c r="A1108" s="10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N1108" s="10"/>
      <c r="O1108" s="10"/>
      <c r="P1108" s="10"/>
      <c r="Q1108" s="10"/>
      <c r="R1108" s="10"/>
      <c r="S1108" s="10"/>
      <c r="T1108" s="10"/>
      <c r="U1108" s="10"/>
      <c r="V1108" s="10"/>
      <c r="W1108" s="10"/>
      <c r="X1108" s="10"/>
      <c r="Y1108" s="10"/>
      <c r="Z1108" s="10"/>
      <c r="AA1108" s="10"/>
      <c r="AB1108" s="10"/>
      <c r="AC1108" s="10"/>
      <c r="AD1108" s="10"/>
      <c r="AE1108" s="10"/>
      <c r="AF1108" s="10"/>
      <c r="AG1108" s="10"/>
      <c r="AH1108" s="10"/>
      <c r="AI1108" s="10"/>
      <c r="AJ1108" s="10"/>
      <c r="AK1108" s="10"/>
      <c r="AL1108" s="10"/>
      <c r="AM1108" s="10"/>
      <c r="AN1108" s="10"/>
      <c r="AO1108" s="10"/>
      <c r="AP1108" s="10"/>
      <c r="AQ1108" s="10"/>
      <c r="AR1108" s="10"/>
      <c r="AS1108" s="10"/>
      <c r="AT1108" s="10"/>
      <c r="AU1108" s="10"/>
      <c r="AV1108" s="10"/>
      <c r="AW1108" s="10"/>
      <c r="AX1108" s="10"/>
      <c r="AY1108" s="10"/>
      <c r="AZ1108" s="10"/>
      <c r="BA1108" s="10"/>
    </row>
    <row r="1109" spans="1:53" x14ac:dyDescent="0.25">
      <c r="A1109" s="10"/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N1109" s="10"/>
      <c r="O1109" s="10"/>
      <c r="P1109" s="10"/>
      <c r="Q1109" s="10"/>
      <c r="R1109" s="10"/>
      <c r="S1109" s="10"/>
      <c r="T1109" s="10"/>
      <c r="U1109" s="10"/>
      <c r="V1109" s="10"/>
      <c r="W1109" s="10"/>
      <c r="X1109" s="10"/>
      <c r="Y1109" s="10"/>
      <c r="Z1109" s="10"/>
      <c r="AA1109" s="10"/>
      <c r="AB1109" s="10"/>
      <c r="AC1109" s="10"/>
      <c r="AD1109" s="10"/>
      <c r="AE1109" s="10"/>
      <c r="AF1109" s="10"/>
      <c r="AG1109" s="10"/>
      <c r="AH1109" s="10"/>
      <c r="AI1109" s="10"/>
      <c r="AJ1109" s="10"/>
      <c r="AK1109" s="10"/>
      <c r="AL1109" s="10"/>
      <c r="AM1109" s="10"/>
      <c r="AN1109" s="10"/>
      <c r="AO1109" s="10"/>
      <c r="AP1109" s="10"/>
      <c r="AQ1109" s="10"/>
      <c r="AR1109" s="10"/>
      <c r="AS1109" s="10"/>
      <c r="AT1109" s="10"/>
      <c r="AU1109" s="10"/>
      <c r="AV1109" s="10"/>
      <c r="AW1109" s="10"/>
      <c r="AX1109" s="10"/>
      <c r="AY1109" s="10"/>
      <c r="AZ1109" s="10"/>
      <c r="BA1109" s="10"/>
    </row>
    <row r="1110" spans="1:53" x14ac:dyDescent="0.25">
      <c r="A1110" s="10"/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N1110" s="10"/>
      <c r="O1110" s="10"/>
      <c r="P1110" s="10"/>
      <c r="Q1110" s="10"/>
      <c r="R1110" s="10"/>
      <c r="S1110" s="10"/>
      <c r="T1110" s="10"/>
      <c r="U1110" s="10"/>
      <c r="V1110" s="10"/>
      <c r="W1110" s="10"/>
      <c r="X1110" s="10"/>
      <c r="Y1110" s="10"/>
      <c r="Z1110" s="10"/>
      <c r="AA1110" s="10"/>
      <c r="AB1110" s="10"/>
      <c r="AC1110" s="10"/>
      <c r="AD1110" s="10"/>
      <c r="AE1110" s="10"/>
      <c r="AF1110" s="10"/>
      <c r="AG1110" s="10"/>
      <c r="AH1110" s="10"/>
      <c r="AI1110" s="10"/>
      <c r="AJ1110" s="10"/>
      <c r="AK1110" s="10"/>
      <c r="AL1110" s="10"/>
      <c r="AM1110" s="10"/>
      <c r="AN1110" s="10"/>
      <c r="AO1110" s="10"/>
      <c r="AP1110" s="10"/>
      <c r="AQ1110" s="10"/>
      <c r="AR1110" s="10"/>
      <c r="AS1110" s="10"/>
      <c r="AT1110" s="10"/>
      <c r="AU1110" s="10"/>
      <c r="AV1110" s="10"/>
      <c r="AW1110" s="10"/>
      <c r="AX1110" s="10"/>
      <c r="AY1110" s="10"/>
      <c r="AZ1110" s="10"/>
      <c r="BA1110" s="10"/>
    </row>
    <row r="1111" spans="1:53" x14ac:dyDescent="0.25">
      <c r="A1111" s="10"/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N1111" s="10"/>
      <c r="O1111" s="10"/>
      <c r="P1111" s="10"/>
      <c r="Q1111" s="10"/>
      <c r="R1111" s="10"/>
      <c r="S1111" s="10"/>
      <c r="T1111" s="10"/>
      <c r="U1111" s="10"/>
      <c r="V1111" s="10"/>
      <c r="W1111" s="10"/>
      <c r="X1111" s="10"/>
      <c r="Y1111" s="10"/>
      <c r="Z1111" s="10"/>
      <c r="AA1111" s="10"/>
      <c r="AB1111" s="10"/>
      <c r="AC1111" s="10"/>
      <c r="AD1111" s="10"/>
      <c r="AE1111" s="10"/>
      <c r="AF1111" s="10"/>
      <c r="AG1111" s="10"/>
      <c r="AH1111" s="10"/>
      <c r="AI1111" s="10"/>
      <c r="AJ1111" s="10"/>
      <c r="AK1111" s="10"/>
      <c r="AL1111" s="10"/>
      <c r="AM1111" s="10"/>
      <c r="AN1111" s="10"/>
      <c r="AO1111" s="10"/>
      <c r="AP1111" s="10"/>
      <c r="AQ1111" s="10"/>
      <c r="AR1111" s="10"/>
      <c r="AS1111" s="10"/>
      <c r="AT1111" s="10"/>
      <c r="AU1111" s="10"/>
      <c r="AV1111" s="10"/>
      <c r="AW1111" s="10"/>
      <c r="AX1111" s="10"/>
      <c r="AY1111" s="10"/>
      <c r="AZ1111" s="10"/>
      <c r="BA1111" s="10"/>
    </row>
    <row r="1112" spans="1:53" x14ac:dyDescent="0.25">
      <c r="A1112" s="10"/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N1112" s="10"/>
      <c r="O1112" s="10"/>
      <c r="P1112" s="10"/>
      <c r="Q1112" s="10"/>
      <c r="R1112" s="10"/>
      <c r="S1112" s="10"/>
      <c r="T1112" s="10"/>
      <c r="U1112" s="10"/>
      <c r="V1112" s="10"/>
      <c r="W1112" s="10"/>
      <c r="X1112" s="10"/>
      <c r="Y1112" s="10"/>
      <c r="Z1112" s="10"/>
      <c r="AA1112" s="10"/>
      <c r="AB1112" s="10"/>
      <c r="AC1112" s="10"/>
      <c r="AD1112" s="10"/>
      <c r="AE1112" s="10"/>
      <c r="AF1112" s="10"/>
      <c r="AG1112" s="10"/>
      <c r="AH1112" s="10"/>
      <c r="AI1112" s="10"/>
      <c r="AJ1112" s="10"/>
      <c r="AK1112" s="10"/>
      <c r="AL1112" s="10"/>
      <c r="AM1112" s="10"/>
      <c r="AN1112" s="10"/>
      <c r="AO1112" s="10"/>
      <c r="AP1112" s="10"/>
      <c r="AQ1112" s="10"/>
      <c r="AR1112" s="10"/>
      <c r="AS1112" s="10"/>
      <c r="AT1112" s="10"/>
      <c r="AU1112" s="10"/>
      <c r="AV1112" s="10"/>
      <c r="AW1112" s="10"/>
      <c r="AX1112" s="10"/>
      <c r="AY1112" s="10"/>
      <c r="AZ1112" s="10"/>
      <c r="BA1112" s="10"/>
    </row>
    <row r="1113" spans="1:53" x14ac:dyDescent="0.25">
      <c r="A1113" s="10"/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N1113" s="10"/>
      <c r="O1113" s="10"/>
      <c r="P1113" s="10"/>
      <c r="Q1113" s="10"/>
      <c r="R1113" s="10"/>
      <c r="S1113" s="10"/>
      <c r="T1113" s="10"/>
      <c r="U1113" s="10"/>
      <c r="V1113" s="10"/>
      <c r="W1113" s="10"/>
      <c r="X1113" s="10"/>
      <c r="Y1113" s="10"/>
      <c r="Z1113" s="10"/>
      <c r="AA1113" s="10"/>
      <c r="AB1113" s="10"/>
      <c r="AC1113" s="10"/>
      <c r="AD1113" s="10"/>
      <c r="AE1113" s="10"/>
      <c r="AF1113" s="10"/>
      <c r="AG1113" s="10"/>
      <c r="AH1113" s="10"/>
      <c r="AI1113" s="10"/>
      <c r="AJ1113" s="10"/>
      <c r="AK1113" s="10"/>
      <c r="AL1113" s="10"/>
      <c r="AM1113" s="10"/>
      <c r="AN1113" s="10"/>
      <c r="AO1113" s="10"/>
      <c r="AP1113" s="10"/>
      <c r="AQ1113" s="10"/>
      <c r="AR1113" s="10"/>
      <c r="AS1113" s="10"/>
      <c r="AT1113" s="10"/>
      <c r="AU1113" s="10"/>
      <c r="AV1113" s="10"/>
      <c r="AW1113" s="10"/>
      <c r="AX1113" s="10"/>
      <c r="AY1113" s="10"/>
      <c r="AZ1113" s="10"/>
      <c r="BA1113" s="10"/>
    </row>
    <row r="1114" spans="1:53" x14ac:dyDescent="0.25">
      <c r="A1114" s="10"/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N1114" s="10"/>
      <c r="O1114" s="10"/>
      <c r="P1114" s="10"/>
      <c r="Q1114" s="10"/>
      <c r="R1114" s="10"/>
      <c r="S1114" s="10"/>
      <c r="T1114" s="10"/>
      <c r="U1114" s="10"/>
      <c r="V1114" s="10"/>
      <c r="W1114" s="10"/>
      <c r="X1114" s="10"/>
      <c r="Y1114" s="10"/>
      <c r="Z1114" s="10"/>
      <c r="AA1114" s="10"/>
      <c r="AB1114" s="10"/>
      <c r="AC1114" s="10"/>
      <c r="AD1114" s="10"/>
      <c r="AE1114" s="10"/>
      <c r="AF1114" s="10"/>
      <c r="AG1114" s="10"/>
      <c r="AH1114" s="10"/>
      <c r="AI1114" s="10"/>
      <c r="AJ1114" s="10"/>
      <c r="AK1114" s="10"/>
      <c r="AL1114" s="10"/>
      <c r="AM1114" s="10"/>
      <c r="AN1114" s="10"/>
      <c r="AO1114" s="10"/>
      <c r="AP1114" s="10"/>
      <c r="AQ1114" s="10"/>
      <c r="AR1114" s="10"/>
      <c r="AS1114" s="10"/>
      <c r="AT1114" s="10"/>
      <c r="AU1114" s="10"/>
      <c r="AV1114" s="10"/>
      <c r="AW1114" s="10"/>
      <c r="AX1114" s="10"/>
      <c r="AY1114" s="10"/>
      <c r="AZ1114" s="10"/>
      <c r="BA1114" s="10"/>
    </row>
    <row r="1115" spans="1:53" x14ac:dyDescent="0.25">
      <c r="A1115" s="10"/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N1115" s="10"/>
      <c r="O1115" s="10"/>
      <c r="P1115" s="10"/>
      <c r="Q1115" s="10"/>
      <c r="R1115" s="10"/>
      <c r="S1115" s="10"/>
      <c r="T1115" s="10"/>
      <c r="U1115" s="10"/>
      <c r="V1115" s="10"/>
      <c r="W1115" s="10"/>
      <c r="X1115" s="10"/>
      <c r="Y1115" s="10"/>
      <c r="Z1115" s="10"/>
      <c r="AA1115" s="10"/>
      <c r="AB1115" s="10"/>
      <c r="AC1115" s="10"/>
      <c r="AD1115" s="10"/>
      <c r="AE1115" s="10"/>
      <c r="AF1115" s="10"/>
      <c r="AG1115" s="10"/>
      <c r="AH1115" s="10"/>
      <c r="AI1115" s="10"/>
      <c r="AJ1115" s="10"/>
      <c r="AK1115" s="10"/>
      <c r="AL1115" s="10"/>
      <c r="AM1115" s="10"/>
      <c r="AN1115" s="10"/>
      <c r="AO1115" s="10"/>
      <c r="AP1115" s="10"/>
      <c r="AQ1115" s="10"/>
      <c r="AR1115" s="10"/>
      <c r="AS1115" s="10"/>
      <c r="AT1115" s="10"/>
      <c r="AU1115" s="10"/>
      <c r="AV1115" s="10"/>
      <c r="AW1115" s="10"/>
      <c r="AX1115" s="10"/>
      <c r="AY1115" s="10"/>
      <c r="AZ1115" s="10"/>
      <c r="BA1115" s="10"/>
    </row>
    <row r="1116" spans="1:53" x14ac:dyDescent="0.25">
      <c r="A1116" s="10"/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N1116" s="10"/>
      <c r="O1116" s="10"/>
      <c r="P1116" s="10"/>
      <c r="Q1116" s="10"/>
      <c r="R1116" s="10"/>
      <c r="S1116" s="10"/>
      <c r="T1116" s="10"/>
      <c r="U1116" s="10"/>
      <c r="V1116" s="10"/>
      <c r="W1116" s="10"/>
      <c r="X1116" s="10"/>
      <c r="Y1116" s="10"/>
      <c r="Z1116" s="10"/>
      <c r="AA1116" s="10"/>
      <c r="AB1116" s="10"/>
      <c r="AC1116" s="10"/>
      <c r="AD1116" s="10"/>
      <c r="AE1116" s="10"/>
      <c r="AF1116" s="10"/>
      <c r="AG1116" s="10"/>
      <c r="AH1116" s="10"/>
      <c r="AI1116" s="10"/>
      <c r="AJ1116" s="10"/>
      <c r="AK1116" s="10"/>
      <c r="AL1116" s="10"/>
      <c r="AM1116" s="10"/>
      <c r="AN1116" s="10"/>
      <c r="AO1116" s="10"/>
      <c r="AP1116" s="10"/>
      <c r="AQ1116" s="10"/>
      <c r="AR1116" s="10"/>
      <c r="AS1116" s="10"/>
      <c r="AT1116" s="10"/>
      <c r="AU1116" s="10"/>
      <c r="AV1116" s="10"/>
      <c r="AW1116" s="10"/>
      <c r="AX1116" s="10"/>
      <c r="AY1116" s="10"/>
      <c r="AZ1116" s="10"/>
      <c r="BA1116" s="10"/>
    </row>
    <row r="1117" spans="1:53" x14ac:dyDescent="0.25">
      <c r="A1117" s="10"/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N1117" s="10"/>
      <c r="O1117" s="10"/>
      <c r="P1117" s="10"/>
      <c r="Q1117" s="10"/>
      <c r="R1117" s="10"/>
      <c r="S1117" s="10"/>
      <c r="T1117" s="10"/>
      <c r="U1117" s="10"/>
      <c r="V1117" s="10"/>
      <c r="W1117" s="10"/>
      <c r="X1117" s="10"/>
      <c r="Y1117" s="10"/>
      <c r="Z1117" s="10"/>
      <c r="AA1117" s="10"/>
      <c r="AB1117" s="10"/>
      <c r="AC1117" s="10"/>
      <c r="AD1117" s="10"/>
      <c r="AE1117" s="10"/>
      <c r="AF1117" s="10"/>
      <c r="AG1117" s="10"/>
      <c r="AH1117" s="10"/>
      <c r="AI1117" s="10"/>
      <c r="AJ1117" s="10"/>
      <c r="AK1117" s="10"/>
      <c r="AL1117" s="10"/>
      <c r="AM1117" s="10"/>
      <c r="AN1117" s="10"/>
      <c r="AO1117" s="10"/>
      <c r="AP1117" s="10"/>
      <c r="AQ1117" s="10"/>
      <c r="AR1117" s="10"/>
      <c r="AS1117" s="10"/>
      <c r="AT1117" s="10"/>
      <c r="AU1117" s="10"/>
      <c r="AV1117" s="10"/>
      <c r="AW1117" s="10"/>
      <c r="AX1117" s="10"/>
      <c r="AY1117" s="10"/>
      <c r="AZ1117" s="10"/>
      <c r="BA1117" s="10"/>
    </row>
    <row r="1118" spans="1:53" x14ac:dyDescent="0.25">
      <c r="A1118" s="10"/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N1118" s="10"/>
      <c r="O1118" s="10"/>
      <c r="P1118" s="10"/>
      <c r="Q1118" s="10"/>
      <c r="R1118" s="10"/>
      <c r="S1118" s="10"/>
      <c r="T1118" s="10"/>
      <c r="U1118" s="10"/>
      <c r="V1118" s="10"/>
      <c r="W1118" s="10"/>
      <c r="X1118" s="10"/>
      <c r="Y1118" s="10"/>
      <c r="Z1118" s="10"/>
      <c r="AA1118" s="10"/>
      <c r="AB1118" s="10"/>
      <c r="AC1118" s="10"/>
      <c r="AD1118" s="10"/>
      <c r="AE1118" s="10"/>
      <c r="AF1118" s="10"/>
      <c r="AG1118" s="10"/>
      <c r="AH1118" s="10"/>
      <c r="AI1118" s="10"/>
      <c r="AJ1118" s="10"/>
      <c r="AK1118" s="10"/>
      <c r="AL1118" s="10"/>
      <c r="AM1118" s="10"/>
      <c r="AN1118" s="10"/>
      <c r="AO1118" s="10"/>
      <c r="AP1118" s="10"/>
      <c r="AQ1118" s="10"/>
      <c r="AR1118" s="10"/>
      <c r="AS1118" s="10"/>
      <c r="AT1118" s="10"/>
      <c r="AU1118" s="10"/>
      <c r="AV1118" s="10"/>
      <c r="AW1118" s="10"/>
      <c r="AX1118" s="10"/>
      <c r="AY1118" s="10"/>
      <c r="AZ1118" s="10"/>
      <c r="BA1118" s="10"/>
    </row>
    <row r="1119" spans="1:53" x14ac:dyDescent="0.25">
      <c r="A1119" s="10"/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N1119" s="10"/>
      <c r="O1119" s="10"/>
      <c r="P1119" s="10"/>
      <c r="Q1119" s="10"/>
      <c r="R1119" s="10"/>
      <c r="S1119" s="10"/>
      <c r="T1119" s="10"/>
      <c r="U1119" s="10"/>
      <c r="V1119" s="10"/>
      <c r="W1119" s="10"/>
      <c r="X1119" s="10"/>
      <c r="Y1119" s="10"/>
      <c r="Z1119" s="10"/>
      <c r="AA1119" s="10"/>
      <c r="AB1119" s="10"/>
      <c r="AC1119" s="10"/>
      <c r="AD1119" s="10"/>
      <c r="AE1119" s="10"/>
      <c r="AF1119" s="10"/>
      <c r="AG1119" s="10"/>
      <c r="AH1119" s="10"/>
      <c r="AI1119" s="10"/>
      <c r="AJ1119" s="10"/>
      <c r="AK1119" s="10"/>
      <c r="AL1119" s="10"/>
      <c r="AM1119" s="10"/>
      <c r="AN1119" s="10"/>
      <c r="AO1119" s="10"/>
      <c r="AP1119" s="10"/>
      <c r="AQ1119" s="10"/>
      <c r="AR1119" s="10"/>
      <c r="AS1119" s="10"/>
      <c r="AT1119" s="10"/>
      <c r="AU1119" s="10"/>
      <c r="AV1119" s="10"/>
      <c r="AW1119" s="10"/>
      <c r="AX1119" s="10"/>
      <c r="AY1119" s="10"/>
      <c r="AZ1119" s="10"/>
      <c r="BA1119" s="10"/>
    </row>
    <row r="1120" spans="1:53" x14ac:dyDescent="0.25">
      <c r="A1120" s="10"/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N1120" s="10"/>
      <c r="O1120" s="10"/>
      <c r="P1120" s="10"/>
      <c r="Q1120" s="10"/>
      <c r="R1120" s="10"/>
      <c r="S1120" s="10"/>
      <c r="T1120" s="10"/>
      <c r="U1120" s="10"/>
      <c r="V1120" s="10"/>
      <c r="W1120" s="10"/>
      <c r="X1120" s="10"/>
      <c r="Y1120" s="10"/>
      <c r="Z1120" s="10"/>
      <c r="AA1120" s="10"/>
      <c r="AB1120" s="10"/>
      <c r="AC1120" s="10"/>
      <c r="AD1120" s="10"/>
      <c r="AE1120" s="10"/>
      <c r="AF1120" s="10"/>
      <c r="AG1120" s="10"/>
      <c r="AH1120" s="10"/>
      <c r="AI1120" s="10"/>
      <c r="AJ1120" s="10"/>
      <c r="AK1120" s="10"/>
      <c r="AL1120" s="10"/>
      <c r="AM1120" s="10"/>
      <c r="AN1120" s="10"/>
      <c r="AO1120" s="10"/>
      <c r="AP1120" s="10"/>
      <c r="AQ1120" s="10"/>
      <c r="AR1120" s="10"/>
      <c r="AS1120" s="10"/>
      <c r="AT1120" s="10"/>
      <c r="AU1120" s="10"/>
      <c r="AV1120" s="10"/>
      <c r="AW1120" s="10"/>
      <c r="AX1120" s="10"/>
      <c r="AY1120" s="10"/>
      <c r="AZ1120" s="10"/>
      <c r="BA1120" s="10"/>
    </row>
    <row r="1121" spans="1:53" x14ac:dyDescent="0.25">
      <c r="A1121" s="10"/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N1121" s="10"/>
      <c r="O1121" s="10"/>
      <c r="P1121" s="10"/>
      <c r="Q1121" s="10"/>
      <c r="R1121" s="10"/>
      <c r="S1121" s="10"/>
      <c r="T1121" s="10"/>
      <c r="U1121" s="10"/>
      <c r="V1121" s="10"/>
      <c r="W1121" s="10"/>
      <c r="X1121" s="10"/>
      <c r="Y1121" s="10"/>
      <c r="Z1121" s="10"/>
      <c r="AA1121" s="10"/>
      <c r="AB1121" s="10"/>
      <c r="AC1121" s="10"/>
      <c r="AD1121" s="10"/>
      <c r="AE1121" s="10"/>
      <c r="AF1121" s="10"/>
      <c r="AG1121" s="10"/>
      <c r="AH1121" s="10"/>
      <c r="AI1121" s="10"/>
      <c r="AJ1121" s="10"/>
      <c r="AK1121" s="10"/>
      <c r="AL1121" s="10"/>
      <c r="AM1121" s="10"/>
      <c r="AN1121" s="10"/>
      <c r="AO1121" s="10"/>
      <c r="AP1121" s="10"/>
      <c r="AQ1121" s="10"/>
      <c r="AR1121" s="10"/>
      <c r="AS1121" s="10"/>
      <c r="AT1121" s="10"/>
      <c r="AU1121" s="10"/>
      <c r="AV1121" s="10"/>
      <c r="AW1121" s="10"/>
      <c r="AX1121" s="10"/>
      <c r="AY1121" s="10"/>
      <c r="AZ1121" s="10"/>
      <c r="BA1121" s="10"/>
    </row>
    <row r="1122" spans="1:53" x14ac:dyDescent="0.25">
      <c r="A1122" s="10"/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N1122" s="10"/>
      <c r="O1122" s="10"/>
      <c r="P1122" s="10"/>
      <c r="Q1122" s="10"/>
      <c r="R1122" s="10"/>
      <c r="S1122" s="10"/>
      <c r="T1122" s="10"/>
      <c r="U1122" s="10"/>
      <c r="V1122" s="10"/>
      <c r="W1122" s="10"/>
      <c r="X1122" s="10"/>
      <c r="Y1122" s="10"/>
      <c r="Z1122" s="10"/>
      <c r="AA1122" s="10"/>
      <c r="AB1122" s="10"/>
      <c r="AC1122" s="10"/>
      <c r="AD1122" s="10"/>
      <c r="AE1122" s="10"/>
      <c r="AF1122" s="10"/>
      <c r="AG1122" s="10"/>
      <c r="AH1122" s="10"/>
      <c r="AI1122" s="10"/>
      <c r="AJ1122" s="10"/>
      <c r="AK1122" s="10"/>
      <c r="AL1122" s="10"/>
      <c r="AM1122" s="10"/>
      <c r="AN1122" s="10"/>
      <c r="AO1122" s="10"/>
      <c r="AP1122" s="10"/>
      <c r="AQ1122" s="10"/>
      <c r="AR1122" s="10"/>
      <c r="AS1122" s="10"/>
      <c r="AT1122" s="10"/>
      <c r="AU1122" s="10"/>
      <c r="AV1122" s="10"/>
      <c r="AW1122" s="10"/>
      <c r="AX1122" s="10"/>
      <c r="AY1122" s="10"/>
      <c r="AZ1122" s="10"/>
      <c r="BA1122" s="10"/>
    </row>
    <row r="1123" spans="1:53" x14ac:dyDescent="0.25">
      <c r="A1123" s="10"/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N1123" s="10"/>
      <c r="O1123" s="10"/>
      <c r="P1123" s="10"/>
      <c r="Q1123" s="10"/>
      <c r="R1123" s="10"/>
      <c r="S1123" s="10"/>
      <c r="T1123" s="10"/>
      <c r="U1123" s="10"/>
      <c r="V1123" s="10"/>
      <c r="W1123" s="10"/>
      <c r="X1123" s="10"/>
      <c r="Y1123" s="10"/>
      <c r="Z1123" s="10"/>
      <c r="AA1123" s="10"/>
      <c r="AB1123" s="10"/>
      <c r="AC1123" s="10"/>
      <c r="AD1123" s="10"/>
      <c r="AE1123" s="10"/>
      <c r="AF1123" s="10"/>
      <c r="AG1123" s="10"/>
      <c r="AH1123" s="10"/>
      <c r="AI1123" s="10"/>
      <c r="AJ1123" s="10"/>
      <c r="AK1123" s="10"/>
      <c r="AL1123" s="10"/>
      <c r="AM1123" s="10"/>
      <c r="AN1123" s="10"/>
      <c r="AO1123" s="10"/>
      <c r="AP1123" s="10"/>
      <c r="AQ1123" s="10"/>
      <c r="AR1123" s="10"/>
      <c r="AS1123" s="10"/>
      <c r="AT1123" s="10"/>
      <c r="AU1123" s="10"/>
      <c r="AV1123" s="10"/>
      <c r="AW1123" s="10"/>
      <c r="AX1123" s="10"/>
      <c r="AY1123" s="10"/>
      <c r="AZ1123" s="10"/>
      <c r="BA1123" s="10"/>
    </row>
    <row r="1124" spans="1:53" x14ac:dyDescent="0.25">
      <c r="A1124" s="10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N1124" s="10"/>
      <c r="O1124" s="10"/>
      <c r="P1124" s="10"/>
      <c r="Q1124" s="10"/>
      <c r="R1124" s="10"/>
      <c r="S1124" s="10"/>
      <c r="T1124" s="10"/>
      <c r="U1124" s="10"/>
      <c r="V1124" s="10"/>
      <c r="W1124" s="10"/>
      <c r="X1124" s="10"/>
      <c r="Y1124" s="10"/>
      <c r="Z1124" s="10"/>
      <c r="AA1124" s="10"/>
      <c r="AB1124" s="10"/>
      <c r="AC1124" s="10"/>
      <c r="AD1124" s="10"/>
      <c r="AE1124" s="10"/>
      <c r="AF1124" s="10"/>
      <c r="AG1124" s="10"/>
      <c r="AH1124" s="10"/>
      <c r="AI1124" s="10"/>
      <c r="AJ1124" s="10"/>
      <c r="AK1124" s="10"/>
      <c r="AL1124" s="10"/>
      <c r="AM1124" s="10"/>
      <c r="AN1124" s="10"/>
      <c r="AO1124" s="10"/>
      <c r="AP1124" s="10"/>
      <c r="AQ1124" s="10"/>
      <c r="AR1124" s="10"/>
      <c r="AS1124" s="10"/>
      <c r="AT1124" s="10"/>
      <c r="AU1124" s="10"/>
      <c r="AV1124" s="10"/>
      <c r="AW1124" s="10"/>
      <c r="AX1124" s="10"/>
      <c r="AY1124" s="10"/>
      <c r="AZ1124" s="10"/>
      <c r="BA1124" s="10"/>
    </row>
    <row r="1125" spans="1:53" x14ac:dyDescent="0.25">
      <c r="A1125" s="10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N1125" s="10"/>
      <c r="O1125" s="10"/>
      <c r="P1125" s="10"/>
      <c r="Q1125" s="10"/>
      <c r="R1125" s="10"/>
      <c r="S1125" s="10"/>
      <c r="T1125" s="10"/>
      <c r="U1125" s="10"/>
      <c r="V1125" s="10"/>
      <c r="W1125" s="10"/>
      <c r="X1125" s="10"/>
      <c r="Y1125" s="10"/>
      <c r="Z1125" s="10"/>
      <c r="AA1125" s="10"/>
      <c r="AB1125" s="10"/>
      <c r="AC1125" s="10"/>
      <c r="AD1125" s="10"/>
      <c r="AE1125" s="10"/>
      <c r="AF1125" s="10"/>
      <c r="AG1125" s="10"/>
      <c r="AH1125" s="10"/>
      <c r="AI1125" s="10"/>
      <c r="AJ1125" s="10"/>
      <c r="AK1125" s="10"/>
      <c r="AL1125" s="10"/>
      <c r="AM1125" s="10"/>
      <c r="AN1125" s="10"/>
      <c r="AO1125" s="10"/>
      <c r="AP1125" s="10"/>
      <c r="AQ1125" s="10"/>
      <c r="AR1125" s="10"/>
      <c r="AS1125" s="10"/>
      <c r="AT1125" s="10"/>
      <c r="AU1125" s="10"/>
      <c r="AV1125" s="10"/>
      <c r="AW1125" s="10"/>
      <c r="AX1125" s="10"/>
      <c r="AY1125" s="10"/>
      <c r="AZ1125" s="10"/>
      <c r="BA1125" s="10"/>
    </row>
    <row r="1126" spans="1:53" x14ac:dyDescent="0.25">
      <c r="A1126" s="10"/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N1126" s="10"/>
      <c r="O1126" s="10"/>
      <c r="P1126" s="10"/>
      <c r="Q1126" s="10"/>
      <c r="R1126" s="10"/>
      <c r="S1126" s="10"/>
      <c r="T1126" s="10"/>
      <c r="U1126" s="10"/>
      <c r="V1126" s="10"/>
      <c r="W1126" s="10"/>
      <c r="X1126" s="10"/>
      <c r="Y1126" s="10"/>
      <c r="Z1126" s="10"/>
      <c r="AA1126" s="10"/>
      <c r="AB1126" s="10"/>
      <c r="AC1126" s="10"/>
      <c r="AD1126" s="10"/>
      <c r="AE1126" s="10"/>
      <c r="AF1126" s="10"/>
      <c r="AG1126" s="10"/>
      <c r="AH1126" s="10"/>
      <c r="AI1126" s="10"/>
      <c r="AJ1126" s="10"/>
      <c r="AK1126" s="10"/>
      <c r="AL1126" s="10"/>
      <c r="AM1126" s="10"/>
      <c r="AN1126" s="10"/>
      <c r="AO1126" s="10"/>
      <c r="AP1126" s="10"/>
      <c r="AQ1126" s="10"/>
      <c r="AR1126" s="10"/>
      <c r="AS1126" s="10"/>
      <c r="AT1126" s="10"/>
      <c r="AU1126" s="10"/>
      <c r="AV1126" s="10"/>
      <c r="AW1126" s="10"/>
      <c r="AX1126" s="10"/>
      <c r="AY1126" s="10"/>
      <c r="AZ1126" s="10"/>
      <c r="BA1126" s="10"/>
    </row>
    <row r="1127" spans="1:53" x14ac:dyDescent="0.25">
      <c r="A1127" s="10"/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N1127" s="10"/>
      <c r="O1127" s="10"/>
      <c r="P1127" s="10"/>
      <c r="Q1127" s="10"/>
      <c r="R1127" s="10"/>
      <c r="S1127" s="10"/>
      <c r="T1127" s="10"/>
      <c r="U1127" s="10"/>
      <c r="V1127" s="10"/>
      <c r="W1127" s="10"/>
      <c r="X1127" s="10"/>
      <c r="Y1127" s="10"/>
      <c r="Z1127" s="10"/>
      <c r="AA1127" s="10"/>
      <c r="AB1127" s="10"/>
      <c r="AC1127" s="10"/>
      <c r="AD1127" s="10"/>
      <c r="AE1127" s="10"/>
      <c r="AF1127" s="10"/>
      <c r="AG1127" s="10"/>
      <c r="AH1127" s="10"/>
      <c r="AI1127" s="10"/>
      <c r="AJ1127" s="10"/>
      <c r="AK1127" s="10"/>
      <c r="AL1127" s="10"/>
      <c r="AM1127" s="10"/>
      <c r="AN1127" s="10"/>
      <c r="AO1127" s="10"/>
      <c r="AP1127" s="10"/>
      <c r="AQ1127" s="10"/>
      <c r="AR1127" s="10"/>
      <c r="AS1127" s="10"/>
      <c r="AT1127" s="10"/>
      <c r="AU1127" s="10"/>
      <c r="AV1127" s="10"/>
      <c r="AW1127" s="10"/>
      <c r="AX1127" s="10"/>
      <c r="AY1127" s="10"/>
      <c r="AZ1127" s="10"/>
      <c r="BA1127" s="10"/>
    </row>
    <row r="1128" spans="1:53" x14ac:dyDescent="0.25">
      <c r="A1128" s="10"/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N1128" s="10"/>
      <c r="O1128" s="10"/>
      <c r="P1128" s="10"/>
      <c r="Q1128" s="10"/>
      <c r="R1128" s="10"/>
      <c r="S1128" s="10"/>
      <c r="T1128" s="10"/>
      <c r="U1128" s="10"/>
      <c r="V1128" s="10"/>
      <c r="W1128" s="10"/>
      <c r="X1128" s="10"/>
      <c r="Y1128" s="10"/>
      <c r="Z1128" s="10"/>
      <c r="AA1128" s="10"/>
      <c r="AB1128" s="10"/>
      <c r="AC1128" s="10"/>
      <c r="AD1128" s="10"/>
      <c r="AE1128" s="10"/>
      <c r="AF1128" s="10"/>
      <c r="AG1128" s="10"/>
      <c r="AH1128" s="10"/>
      <c r="AI1128" s="10"/>
      <c r="AJ1128" s="10"/>
      <c r="AK1128" s="10"/>
      <c r="AL1128" s="10"/>
      <c r="AM1128" s="10"/>
      <c r="AN1128" s="10"/>
      <c r="AO1128" s="10"/>
      <c r="AP1128" s="10"/>
      <c r="AQ1128" s="10"/>
      <c r="AR1128" s="10"/>
      <c r="AS1128" s="10"/>
      <c r="AT1128" s="10"/>
      <c r="AU1128" s="10"/>
      <c r="AV1128" s="10"/>
      <c r="AW1128" s="10"/>
      <c r="AX1128" s="10"/>
      <c r="AY1128" s="10"/>
      <c r="AZ1128" s="10"/>
      <c r="BA1128" s="10"/>
    </row>
    <row r="1129" spans="1:53" x14ac:dyDescent="0.25">
      <c r="A1129" s="10"/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N1129" s="10"/>
      <c r="O1129" s="10"/>
      <c r="P1129" s="10"/>
      <c r="Q1129" s="10"/>
      <c r="R1129" s="10"/>
      <c r="S1129" s="10"/>
      <c r="T1129" s="10"/>
      <c r="U1129" s="10"/>
      <c r="V1129" s="10"/>
      <c r="W1129" s="10"/>
      <c r="X1129" s="10"/>
      <c r="Y1129" s="10"/>
      <c r="Z1129" s="10"/>
      <c r="AA1129" s="10"/>
      <c r="AB1129" s="10"/>
      <c r="AC1129" s="10"/>
      <c r="AD1129" s="10"/>
      <c r="AE1129" s="10"/>
      <c r="AF1129" s="10"/>
      <c r="AG1129" s="10"/>
      <c r="AH1129" s="10"/>
      <c r="AI1129" s="10"/>
      <c r="AJ1129" s="10"/>
      <c r="AK1129" s="10"/>
      <c r="AL1129" s="10"/>
      <c r="AM1129" s="10"/>
      <c r="AN1129" s="10"/>
      <c r="AO1129" s="10"/>
      <c r="AP1129" s="10"/>
      <c r="AQ1129" s="10"/>
      <c r="AR1129" s="10"/>
      <c r="AS1129" s="10"/>
      <c r="AT1129" s="10"/>
      <c r="AU1129" s="10"/>
      <c r="AV1129" s="10"/>
      <c r="AW1129" s="10"/>
      <c r="AX1129" s="10"/>
      <c r="AY1129" s="10"/>
      <c r="AZ1129" s="10"/>
      <c r="BA1129" s="10"/>
    </row>
    <row r="1130" spans="1:53" x14ac:dyDescent="0.25">
      <c r="A1130" s="10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N1130" s="10"/>
      <c r="O1130" s="10"/>
      <c r="P1130" s="10"/>
      <c r="Q1130" s="10"/>
      <c r="R1130" s="10"/>
      <c r="S1130" s="10"/>
      <c r="T1130" s="10"/>
      <c r="U1130" s="10"/>
      <c r="V1130" s="10"/>
      <c r="W1130" s="10"/>
      <c r="X1130" s="10"/>
      <c r="Y1130" s="10"/>
      <c r="Z1130" s="10"/>
      <c r="AA1130" s="10"/>
      <c r="AB1130" s="10"/>
      <c r="AC1130" s="10"/>
      <c r="AD1130" s="10"/>
      <c r="AE1130" s="10"/>
      <c r="AF1130" s="10"/>
      <c r="AG1130" s="10"/>
      <c r="AH1130" s="10"/>
      <c r="AI1130" s="10"/>
      <c r="AJ1130" s="10"/>
      <c r="AK1130" s="10"/>
      <c r="AL1130" s="10"/>
      <c r="AM1130" s="10"/>
      <c r="AN1130" s="10"/>
      <c r="AO1130" s="10"/>
      <c r="AP1130" s="10"/>
      <c r="AQ1130" s="10"/>
      <c r="AR1130" s="10"/>
      <c r="AS1130" s="10"/>
      <c r="AT1130" s="10"/>
      <c r="AU1130" s="10"/>
      <c r="AV1130" s="10"/>
      <c r="AW1130" s="10"/>
      <c r="AX1130" s="10"/>
      <c r="AY1130" s="10"/>
      <c r="AZ1130" s="10"/>
      <c r="BA1130" s="10"/>
    </row>
    <row r="1131" spans="1:53" x14ac:dyDescent="0.25">
      <c r="A1131" s="10"/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N1131" s="10"/>
      <c r="O1131" s="10"/>
      <c r="P1131" s="10"/>
      <c r="Q1131" s="10"/>
      <c r="R1131" s="10"/>
      <c r="S1131" s="10"/>
      <c r="T1131" s="10"/>
      <c r="U1131" s="10"/>
      <c r="V1131" s="10"/>
      <c r="W1131" s="10"/>
      <c r="X1131" s="10"/>
      <c r="Y1131" s="10"/>
      <c r="Z1131" s="10"/>
      <c r="AA1131" s="10"/>
      <c r="AB1131" s="10"/>
      <c r="AC1131" s="10"/>
      <c r="AD1131" s="10"/>
      <c r="AE1131" s="10"/>
      <c r="AF1131" s="10"/>
      <c r="AG1131" s="10"/>
      <c r="AH1131" s="10"/>
      <c r="AI1131" s="10"/>
      <c r="AJ1131" s="10"/>
      <c r="AK1131" s="10"/>
      <c r="AL1131" s="10"/>
      <c r="AM1131" s="10"/>
      <c r="AN1131" s="10"/>
      <c r="AO1131" s="10"/>
      <c r="AP1131" s="10"/>
      <c r="AQ1131" s="10"/>
      <c r="AR1131" s="10"/>
      <c r="AS1131" s="10"/>
      <c r="AT1131" s="10"/>
      <c r="AU1131" s="10"/>
      <c r="AV1131" s="10"/>
      <c r="AW1131" s="10"/>
      <c r="AX1131" s="10"/>
      <c r="AY1131" s="10"/>
      <c r="AZ1131" s="10"/>
      <c r="BA1131" s="10"/>
    </row>
    <row r="1132" spans="1:53" x14ac:dyDescent="0.25">
      <c r="A1132" s="10"/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N1132" s="10"/>
      <c r="O1132" s="10"/>
      <c r="P1132" s="10"/>
      <c r="Q1132" s="10"/>
      <c r="R1132" s="10"/>
      <c r="S1132" s="10"/>
      <c r="T1132" s="10"/>
      <c r="U1132" s="10"/>
      <c r="V1132" s="10"/>
      <c r="W1132" s="10"/>
      <c r="X1132" s="10"/>
      <c r="Y1132" s="10"/>
      <c r="Z1132" s="10"/>
      <c r="AA1132" s="10"/>
      <c r="AB1132" s="10"/>
      <c r="AC1132" s="10"/>
      <c r="AD1132" s="10"/>
      <c r="AE1132" s="10"/>
      <c r="AF1132" s="10"/>
      <c r="AG1132" s="10"/>
      <c r="AH1132" s="10"/>
      <c r="AI1132" s="10"/>
      <c r="AJ1132" s="10"/>
      <c r="AK1132" s="10"/>
      <c r="AL1132" s="10"/>
      <c r="AM1132" s="10"/>
      <c r="AN1132" s="10"/>
      <c r="AO1132" s="10"/>
      <c r="AP1132" s="10"/>
      <c r="AQ1132" s="10"/>
      <c r="AR1132" s="10"/>
      <c r="AS1132" s="10"/>
      <c r="AT1132" s="10"/>
      <c r="AU1132" s="10"/>
      <c r="AV1132" s="10"/>
      <c r="AW1132" s="10"/>
      <c r="AX1132" s="10"/>
      <c r="AY1132" s="10"/>
      <c r="AZ1132" s="10"/>
      <c r="BA1132" s="10"/>
    </row>
    <row r="1133" spans="1:53" x14ac:dyDescent="0.25">
      <c r="A1133" s="10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N1133" s="10"/>
      <c r="O1133" s="10"/>
      <c r="P1133" s="10"/>
      <c r="Q1133" s="10"/>
      <c r="R1133" s="10"/>
      <c r="S1133" s="10"/>
      <c r="T1133" s="10"/>
      <c r="U1133" s="10"/>
      <c r="V1133" s="10"/>
      <c r="W1133" s="10"/>
      <c r="X1133" s="10"/>
      <c r="Y1133" s="10"/>
      <c r="Z1133" s="10"/>
      <c r="AA1133" s="10"/>
      <c r="AB1133" s="10"/>
      <c r="AC1133" s="10"/>
      <c r="AD1133" s="10"/>
      <c r="AE1133" s="10"/>
      <c r="AF1133" s="10"/>
      <c r="AG1133" s="10"/>
      <c r="AH1133" s="10"/>
      <c r="AI1133" s="10"/>
      <c r="AJ1133" s="10"/>
      <c r="AK1133" s="10"/>
      <c r="AL1133" s="10"/>
      <c r="AM1133" s="10"/>
      <c r="AN1133" s="10"/>
      <c r="AO1133" s="10"/>
      <c r="AP1133" s="10"/>
      <c r="AQ1133" s="10"/>
      <c r="AR1133" s="10"/>
      <c r="AS1133" s="10"/>
      <c r="AT1133" s="10"/>
      <c r="AU1133" s="10"/>
      <c r="AV1133" s="10"/>
      <c r="AW1133" s="10"/>
      <c r="AX1133" s="10"/>
      <c r="AY1133" s="10"/>
      <c r="AZ1133" s="10"/>
      <c r="BA1133" s="10"/>
    </row>
    <row r="1134" spans="1:53" x14ac:dyDescent="0.25">
      <c r="A1134" s="10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N1134" s="10"/>
      <c r="O1134" s="10"/>
      <c r="P1134" s="10"/>
      <c r="Q1134" s="10"/>
      <c r="R1134" s="10"/>
      <c r="S1134" s="10"/>
      <c r="T1134" s="10"/>
      <c r="U1134" s="10"/>
      <c r="V1134" s="10"/>
      <c r="W1134" s="10"/>
      <c r="X1134" s="10"/>
      <c r="Y1134" s="10"/>
      <c r="Z1134" s="10"/>
      <c r="AA1134" s="10"/>
      <c r="AB1134" s="10"/>
      <c r="AC1134" s="10"/>
      <c r="AD1134" s="10"/>
      <c r="AE1134" s="10"/>
      <c r="AF1134" s="10"/>
      <c r="AG1134" s="10"/>
      <c r="AH1134" s="10"/>
      <c r="AI1134" s="10"/>
      <c r="AJ1134" s="10"/>
      <c r="AK1134" s="10"/>
      <c r="AL1134" s="10"/>
      <c r="AM1134" s="10"/>
      <c r="AN1134" s="10"/>
      <c r="AO1134" s="10"/>
      <c r="AP1134" s="10"/>
      <c r="AQ1134" s="10"/>
      <c r="AR1134" s="10"/>
      <c r="AS1134" s="10"/>
      <c r="AT1134" s="10"/>
      <c r="AU1134" s="10"/>
      <c r="AV1134" s="10"/>
      <c r="AW1134" s="10"/>
      <c r="AX1134" s="10"/>
      <c r="AY1134" s="10"/>
      <c r="AZ1134" s="10"/>
      <c r="BA1134" s="10"/>
    </row>
    <row r="1135" spans="1:53" x14ac:dyDescent="0.25">
      <c r="A1135" s="10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N1135" s="10"/>
      <c r="O1135" s="10"/>
      <c r="P1135" s="10"/>
      <c r="Q1135" s="10"/>
      <c r="R1135" s="10"/>
      <c r="S1135" s="10"/>
      <c r="T1135" s="10"/>
      <c r="U1135" s="10"/>
      <c r="V1135" s="10"/>
      <c r="W1135" s="10"/>
      <c r="X1135" s="10"/>
      <c r="Y1135" s="10"/>
      <c r="Z1135" s="10"/>
      <c r="AA1135" s="10"/>
      <c r="AB1135" s="10"/>
      <c r="AC1135" s="10"/>
      <c r="AD1135" s="10"/>
      <c r="AE1135" s="10"/>
      <c r="AF1135" s="10"/>
      <c r="AG1135" s="10"/>
      <c r="AH1135" s="10"/>
      <c r="AI1135" s="10"/>
      <c r="AJ1135" s="10"/>
      <c r="AK1135" s="10"/>
      <c r="AL1135" s="10"/>
      <c r="AM1135" s="10"/>
      <c r="AN1135" s="10"/>
      <c r="AO1135" s="10"/>
      <c r="AP1135" s="10"/>
      <c r="AQ1135" s="10"/>
      <c r="AR1135" s="10"/>
      <c r="AS1135" s="10"/>
      <c r="AT1135" s="10"/>
      <c r="AU1135" s="10"/>
      <c r="AV1135" s="10"/>
      <c r="AW1135" s="10"/>
      <c r="AX1135" s="10"/>
      <c r="AY1135" s="10"/>
      <c r="AZ1135" s="10"/>
      <c r="BA1135" s="10"/>
    </row>
    <row r="1136" spans="1:53" x14ac:dyDescent="0.25">
      <c r="A1136" s="10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N1136" s="10"/>
      <c r="O1136" s="10"/>
      <c r="P1136" s="10"/>
      <c r="Q1136" s="10"/>
      <c r="R1136" s="10"/>
      <c r="S1136" s="10"/>
      <c r="T1136" s="10"/>
      <c r="U1136" s="10"/>
      <c r="V1136" s="10"/>
      <c r="W1136" s="10"/>
      <c r="X1136" s="10"/>
      <c r="Y1136" s="10"/>
      <c r="Z1136" s="10"/>
      <c r="AA1136" s="10"/>
      <c r="AB1136" s="10"/>
      <c r="AC1136" s="10"/>
      <c r="AD1136" s="10"/>
      <c r="AE1136" s="10"/>
      <c r="AF1136" s="10"/>
      <c r="AG1136" s="10"/>
      <c r="AH1136" s="10"/>
      <c r="AI1136" s="10"/>
      <c r="AJ1136" s="10"/>
      <c r="AK1136" s="10"/>
      <c r="AL1136" s="10"/>
      <c r="AM1136" s="10"/>
      <c r="AN1136" s="10"/>
      <c r="AO1136" s="10"/>
      <c r="AP1136" s="10"/>
      <c r="AQ1136" s="10"/>
      <c r="AR1136" s="10"/>
      <c r="AS1136" s="10"/>
      <c r="AT1136" s="10"/>
      <c r="AU1136" s="10"/>
      <c r="AV1136" s="10"/>
      <c r="AW1136" s="10"/>
      <c r="AX1136" s="10"/>
      <c r="AY1136" s="10"/>
      <c r="AZ1136" s="10"/>
      <c r="BA1136" s="10"/>
    </row>
    <row r="1137" spans="1:53" x14ac:dyDescent="0.25">
      <c r="A1137" s="10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N1137" s="10"/>
      <c r="O1137" s="10"/>
      <c r="P1137" s="10"/>
      <c r="Q1137" s="10"/>
      <c r="R1137" s="10"/>
      <c r="S1137" s="10"/>
      <c r="T1137" s="10"/>
      <c r="U1137" s="10"/>
      <c r="V1137" s="10"/>
      <c r="W1137" s="10"/>
      <c r="X1137" s="10"/>
      <c r="Y1137" s="10"/>
      <c r="Z1137" s="10"/>
      <c r="AA1137" s="10"/>
      <c r="AB1137" s="10"/>
      <c r="AC1137" s="10"/>
      <c r="AD1137" s="10"/>
      <c r="AE1137" s="10"/>
      <c r="AF1137" s="10"/>
      <c r="AG1137" s="10"/>
      <c r="AH1137" s="10"/>
      <c r="AI1137" s="10"/>
      <c r="AJ1137" s="10"/>
      <c r="AK1137" s="10"/>
      <c r="AL1137" s="10"/>
      <c r="AM1137" s="10"/>
      <c r="AN1137" s="10"/>
      <c r="AO1137" s="10"/>
      <c r="AP1137" s="10"/>
      <c r="AQ1137" s="10"/>
      <c r="AR1137" s="10"/>
      <c r="AS1137" s="10"/>
      <c r="AT1137" s="10"/>
      <c r="AU1137" s="10"/>
      <c r="AV1137" s="10"/>
      <c r="AW1137" s="10"/>
      <c r="AX1137" s="10"/>
      <c r="AY1137" s="10"/>
      <c r="AZ1137" s="10"/>
      <c r="BA1137" s="10"/>
    </row>
    <row r="1138" spans="1:53" x14ac:dyDescent="0.25">
      <c r="A1138" s="10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N1138" s="10"/>
      <c r="O1138" s="10"/>
      <c r="P1138" s="10"/>
      <c r="Q1138" s="10"/>
      <c r="R1138" s="10"/>
      <c r="S1138" s="10"/>
      <c r="T1138" s="10"/>
      <c r="U1138" s="10"/>
      <c r="V1138" s="10"/>
      <c r="W1138" s="10"/>
      <c r="X1138" s="10"/>
      <c r="Y1138" s="10"/>
      <c r="Z1138" s="10"/>
      <c r="AA1138" s="10"/>
      <c r="AB1138" s="10"/>
      <c r="AC1138" s="10"/>
      <c r="AD1138" s="10"/>
      <c r="AE1138" s="10"/>
      <c r="AF1138" s="10"/>
      <c r="AG1138" s="10"/>
      <c r="AH1138" s="10"/>
      <c r="AI1138" s="10"/>
      <c r="AJ1138" s="10"/>
      <c r="AK1138" s="10"/>
      <c r="AL1138" s="10"/>
      <c r="AM1138" s="10"/>
      <c r="AN1138" s="10"/>
      <c r="AO1138" s="10"/>
      <c r="AP1138" s="10"/>
      <c r="AQ1138" s="10"/>
      <c r="AR1138" s="10"/>
      <c r="AS1138" s="10"/>
      <c r="AT1138" s="10"/>
      <c r="AU1138" s="10"/>
      <c r="AV1138" s="10"/>
      <c r="AW1138" s="10"/>
      <c r="AX1138" s="10"/>
      <c r="AY1138" s="10"/>
      <c r="AZ1138" s="10"/>
      <c r="BA1138" s="10"/>
    </row>
    <row r="1139" spans="1:53" x14ac:dyDescent="0.25">
      <c r="A1139" s="10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N1139" s="10"/>
      <c r="O1139" s="10"/>
      <c r="P1139" s="10"/>
      <c r="Q1139" s="10"/>
      <c r="R1139" s="10"/>
      <c r="S1139" s="10"/>
      <c r="T1139" s="10"/>
      <c r="U1139" s="10"/>
      <c r="V1139" s="10"/>
      <c r="W1139" s="10"/>
      <c r="X1139" s="10"/>
      <c r="Y1139" s="10"/>
      <c r="Z1139" s="10"/>
      <c r="AA1139" s="10"/>
      <c r="AB1139" s="10"/>
      <c r="AC1139" s="10"/>
      <c r="AD1139" s="10"/>
      <c r="AE1139" s="10"/>
      <c r="AF1139" s="10"/>
      <c r="AG1139" s="10"/>
      <c r="AH1139" s="10"/>
      <c r="AI1139" s="10"/>
      <c r="AJ1139" s="10"/>
      <c r="AK1139" s="10"/>
      <c r="AL1139" s="10"/>
      <c r="AM1139" s="10"/>
      <c r="AN1139" s="10"/>
      <c r="AO1139" s="10"/>
      <c r="AP1139" s="10"/>
      <c r="AQ1139" s="10"/>
      <c r="AR1139" s="10"/>
      <c r="AS1139" s="10"/>
      <c r="AT1139" s="10"/>
      <c r="AU1139" s="10"/>
      <c r="AV1139" s="10"/>
      <c r="AW1139" s="10"/>
      <c r="AX1139" s="10"/>
      <c r="AY1139" s="10"/>
      <c r="AZ1139" s="10"/>
      <c r="BA1139" s="10"/>
    </row>
    <row r="1140" spans="1:53" x14ac:dyDescent="0.25">
      <c r="A1140" s="10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N1140" s="10"/>
      <c r="O1140" s="10"/>
      <c r="P1140" s="10"/>
      <c r="Q1140" s="10"/>
      <c r="R1140" s="10"/>
      <c r="S1140" s="10"/>
      <c r="T1140" s="10"/>
      <c r="U1140" s="10"/>
      <c r="V1140" s="10"/>
      <c r="W1140" s="10"/>
      <c r="X1140" s="10"/>
      <c r="Y1140" s="10"/>
      <c r="Z1140" s="10"/>
      <c r="AA1140" s="10"/>
      <c r="AB1140" s="10"/>
      <c r="AC1140" s="10"/>
      <c r="AD1140" s="10"/>
      <c r="AE1140" s="10"/>
      <c r="AF1140" s="10"/>
      <c r="AG1140" s="10"/>
      <c r="AH1140" s="10"/>
      <c r="AI1140" s="10"/>
      <c r="AJ1140" s="10"/>
      <c r="AK1140" s="10"/>
      <c r="AL1140" s="10"/>
      <c r="AM1140" s="10"/>
      <c r="AN1140" s="10"/>
      <c r="AO1140" s="10"/>
      <c r="AP1140" s="10"/>
      <c r="AQ1140" s="10"/>
      <c r="AR1140" s="10"/>
      <c r="AS1140" s="10"/>
      <c r="AT1140" s="10"/>
      <c r="AU1140" s="10"/>
      <c r="AV1140" s="10"/>
      <c r="AW1140" s="10"/>
      <c r="AX1140" s="10"/>
      <c r="AY1140" s="10"/>
      <c r="AZ1140" s="10"/>
      <c r="BA1140" s="10"/>
    </row>
    <row r="1141" spans="1:53" x14ac:dyDescent="0.25">
      <c r="A1141" s="10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N1141" s="10"/>
      <c r="O1141" s="10"/>
      <c r="P1141" s="10"/>
      <c r="Q1141" s="10"/>
      <c r="R1141" s="10"/>
      <c r="S1141" s="10"/>
      <c r="T1141" s="10"/>
      <c r="U1141" s="10"/>
      <c r="V1141" s="10"/>
      <c r="W1141" s="10"/>
      <c r="X1141" s="10"/>
      <c r="Y1141" s="10"/>
      <c r="Z1141" s="10"/>
      <c r="AA1141" s="10"/>
      <c r="AB1141" s="10"/>
      <c r="AC1141" s="10"/>
      <c r="AD1141" s="10"/>
      <c r="AE1141" s="10"/>
      <c r="AF1141" s="10"/>
      <c r="AG1141" s="10"/>
      <c r="AH1141" s="10"/>
      <c r="AI1141" s="10"/>
      <c r="AJ1141" s="10"/>
      <c r="AK1141" s="10"/>
      <c r="AL1141" s="10"/>
      <c r="AM1141" s="10"/>
      <c r="AN1141" s="10"/>
      <c r="AO1141" s="10"/>
      <c r="AP1141" s="10"/>
      <c r="AQ1141" s="10"/>
      <c r="AR1141" s="10"/>
      <c r="AS1141" s="10"/>
      <c r="AT1141" s="10"/>
      <c r="AU1141" s="10"/>
      <c r="AV1141" s="10"/>
      <c r="AW1141" s="10"/>
      <c r="AX1141" s="10"/>
      <c r="AY1141" s="10"/>
      <c r="AZ1141" s="10"/>
      <c r="BA1141" s="10"/>
    </row>
    <row r="1142" spans="1:53" x14ac:dyDescent="0.25">
      <c r="A1142" s="10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N1142" s="10"/>
      <c r="O1142" s="10"/>
      <c r="P1142" s="10"/>
      <c r="Q1142" s="10"/>
      <c r="R1142" s="10"/>
      <c r="S1142" s="10"/>
      <c r="T1142" s="10"/>
      <c r="U1142" s="10"/>
      <c r="V1142" s="10"/>
      <c r="W1142" s="10"/>
      <c r="X1142" s="10"/>
      <c r="Y1142" s="10"/>
      <c r="Z1142" s="10"/>
      <c r="AA1142" s="10"/>
      <c r="AB1142" s="10"/>
      <c r="AC1142" s="10"/>
      <c r="AD1142" s="10"/>
      <c r="AE1142" s="10"/>
      <c r="AF1142" s="10"/>
      <c r="AG1142" s="10"/>
      <c r="AH1142" s="10"/>
      <c r="AI1142" s="10"/>
      <c r="AJ1142" s="10"/>
      <c r="AK1142" s="10"/>
      <c r="AL1142" s="10"/>
      <c r="AM1142" s="10"/>
      <c r="AN1142" s="10"/>
      <c r="AO1142" s="10"/>
      <c r="AP1142" s="10"/>
      <c r="AQ1142" s="10"/>
      <c r="AR1142" s="10"/>
      <c r="AS1142" s="10"/>
      <c r="AT1142" s="10"/>
      <c r="AU1142" s="10"/>
      <c r="AV1142" s="10"/>
      <c r="AW1142" s="10"/>
      <c r="AX1142" s="10"/>
      <c r="AY1142" s="10"/>
      <c r="AZ1142" s="10"/>
      <c r="BA1142" s="10"/>
    </row>
    <row r="1143" spans="1:53" x14ac:dyDescent="0.25">
      <c r="A1143" s="10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N1143" s="10"/>
      <c r="O1143" s="10"/>
      <c r="P1143" s="10"/>
      <c r="Q1143" s="10"/>
      <c r="R1143" s="10"/>
      <c r="S1143" s="10"/>
      <c r="T1143" s="10"/>
      <c r="U1143" s="10"/>
      <c r="V1143" s="10"/>
      <c r="W1143" s="10"/>
      <c r="X1143" s="10"/>
      <c r="Y1143" s="10"/>
      <c r="Z1143" s="10"/>
      <c r="AA1143" s="10"/>
      <c r="AB1143" s="10"/>
      <c r="AC1143" s="10"/>
      <c r="AD1143" s="10"/>
      <c r="AE1143" s="10"/>
      <c r="AF1143" s="10"/>
      <c r="AG1143" s="10"/>
      <c r="AH1143" s="10"/>
      <c r="AI1143" s="10"/>
      <c r="AJ1143" s="10"/>
      <c r="AK1143" s="10"/>
      <c r="AL1143" s="10"/>
      <c r="AM1143" s="10"/>
      <c r="AN1143" s="10"/>
      <c r="AO1143" s="10"/>
      <c r="AP1143" s="10"/>
      <c r="AQ1143" s="10"/>
      <c r="AR1143" s="10"/>
      <c r="AS1143" s="10"/>
      <c r="AT1143" s="10"/>
      <c r="AU1143" s="10"/>
      <c r="AV1143" s="10"/>
      <c r="AW1143" s="10"/>
      <c r="AX1143" s="10"/>
      <c r="AY1143" s="10"/>
      <c r="AZ1143" s="10"/>
      <c r="BA1143" s="10"/>
    </row>
    <row r="1144" spans="1:53" x14ac:dyDescent="0.25">
      <c r="A1144" s="10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N1144" s="10"/>
      <c r="O1144" s="10"/>
      <c r="P1144" s="10"/>
      <c r="Q1144" s="10"/>
      <c r="R1144" s="10"/>
      <c r="S1144" s="10"/>
      <c r="T1144" s="10"/>
      <c r="U1144" s="10"/>
      <c r="V1144" s="10"/>
      <c r="W1144" s="10"/>
      <c r="X1144" s="10"/>
      <c r="Y1144" s="10"/>
      <c r="Z1144" s="10"/>
      <c r="AA1144" s="10"/>
      <c r="AB1144" s="10"/>
      <c r="AC1144" s="10"/>
      <c r="AD1144" s="10"/>
      <c r="AE1144" s="10"/>
      <c r="AF1144" s="10"/>
      <c r="AG1144" s="10"/>
      <c r="AH1144" s="10"/>
      <c r="AI1144" s="10"/>
      <c r="AJ1144" s="10"/>
      <c r="AK1144" s="10"/>
      <c r="AL1144" s="10"/>
      <c r="AM1144" s="10"/>
      <c r="AN1144" s="10"/>
      <c r="AO1144" s="10"/>
      <c r="AP1144" s="10"/>
      <c r="AQ1144" s="10"/>
      <c r="AR1144" s="10"/>
      <c r="AS1144" s="10"/>
      <c r="AT1144" s="10"/>
      <c r="AU1144" s="10"/>
      <c r="AV1144" s="10"/>
      <c r="AW1144" s="10"/>
      <c r="AX1144" s="10"/>
      <c r="AY1144" s="10"/>
      <c r="AZ1144" s="10"/>
      <c r="BA1144" s="10"/>
    </row>
    <row r="1145" spans="1:53" x14ac:dyDescent="0.25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N1145" s="10"/>
      <c r="O1145" s="10"/>
      <c r="P1145" s="10"/>
      <c r="Q1145" s="10"/>
      <c r="R1145" s="10"/>
      <c r="S1145" s="10"/>
      <c r="T1145" s="10"/>
      <c r="U1145" s="10"/>
      <c r="V1145" s="10"/>
      <c r="W1145" s="10"/>
      <c r="X1145" s="10"/>
      <c r="Y1145" s="10"/>
      <c r="Z1145" s="10"/>
      <c r="AA1145" s="10"/>
      <c r="AB1145" s="10"/>
      <c r="AC1145" s="10"/>
      <c r="AD1145" s="10"/>
      <c r="AE1145" s="10"/>
      <c r="AF1145" s="10"/>
      <c r="AG1145" s="10"/>
      <c r="AH1145" s="10"/>
      <c r="AI1145" s="10"/>
      <c r="AJ1145" s="10"/>
      <c r="AK1145" s="10"/>
      <c r="AL1145" s="10"/>
      <c r="AM1145" s="10"/>
      <c r="AN1145" s="10"/>
      <c r="AO1145" s="10"/>
      <c r="AP1145" s="10"/>
      <c r="AQ1145" s="10"/>
      <c r="AR1145" s="10"/>
      <c r="AS1145" s="10"/>
      <c r="AT1145" s="10"/>
      <c r="AU1145" s="10"/>
      <c r="AV1145" s="10"/>
      <c r="AW1145" s="10"/>
      <c r="AX1145" s="10"/>
      <c r="AY1145" s="10"/>
      <c r="AZ1145" s="10"/>
      <c r="BA1145" s="10"/>
    </row>
    <row r="1146" spans="1:53" x14ac:dyDescent="0.25">
      <c r="A1146" s="10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N1146" s="10"/>
      <c r="O1146" s="10"/>
      <c r="P1146" s="10"/>
      <c r="Q1146" s="10"/>
      <c r="R1146" s="10"/>
      <c r="S1146" s="10"/>
      <c r="T1146" s="10"/>
      <c r="U1146" s="10"/>
      <c r="V1146" s="10"/>
      <c r="W1146" s="10"/>
      <c r="X1146" s="10"/>
      <c r="Y1146" s="10"/>
      <c r="Z1146" s="10"/>
      <c r="AA1146" s="10"/>
      <c r="AB1146" s="10"/>
      <c r="AC1146" s="10"/>
      <c r="AD1146" s="10"/>
      <c r="AE1146" s="10"/>
      <c r="AF1146" s="10"/>
      <c r="AG1146" s="10"/>
      <c r="AH1146" s="10"/>
      <c r="AI1146" s="10"/>
      <c r="AJ1146" s="10"/>
      <c r="AK1146" s="10"/>
      <c r="AL1146" s="10"/>
      <c r="AM1146" s="10"/>
      <c r="AN1146" s="10"/>
      <c r="AO1146" s="10"/>
      <c r="AP1146" s="10"/>
      <c r="AQ1146" s="10"/>
      <c r="AR1146" s="10"/>
      <c r="AS1146" s="10"/>
      <c r="AT1146" s="10"/>
      <c r="AU1146" s="10"/>
      <c r="AV1146" s="10"/>
      <c r="AW1146" s="10"/>
      <c r="AX1146" s="10"/>
      <c r="AY1146" s="10"/>
      <c r="AZ1146" s="10"/>
      <c r="BA1146" s="10"/>
    </row>
    <row r="1147" spans="1:53" x14ac:dyDescent="0.25">
      <c r="A1147" s="10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N1147" s="10"/>
      <c r="O1147" s="10"/>
      <c r="P1147" s="10"/>
      <c r="Q1147" s="10"/>
      <c r="R1147" s="10"/>
      <c r="S1147" s="10"/>
      <c r="T1147" s="10"/>
      <c r="U1147" s="10"/>
      <c r="V1147" s="10"/>
      <c r="W1147" s="10"/>
      <c r="X1147" s="10"/>
      <c r="Y1147" s="10"/>
      <c r="Z1147" s="10"/>
      <c r="AA1147" s="10"/>
      <c r="AB1147" s="10"/>
      <c r="AC1147" s="10"/>
      <c r="AD1147" s="10"/>
      <c r="AE1147" s="10"/>
      <c r="AF1147" s="10"/>
      <c r="AG1147" s="10"/>
      <c r="AH1147" s="10"/>
      <c r="AI1147" s="10"/>
      <c r="AJ1147" s="10"/>
      <c r="AK1147" s="10"/>
      <c r="AL1147" s="10"/>
      <c r="AM1147" s="10"/>
      <c r="AN1147" s="10"/>
      <c r="AO1147" s="10"/>
      <c r="AP1147" s="10"/>
      <c r="AQ1147" s="10"/>
      <c r="AR1147" s="10"/>
      <c r="AS1147" s="10"/>
      <c r="AT1147" s="10"/>
      <c r="AU1147" s="10"/>
      <c r="AV1147" s="10"/>
      <c r="AW1147" s="10"/>
      <c r="AX1147" s="10"/>
      <c r="AY1147" s="10"/>
      <c r="AZ1147" s="10"/>
      <c r="BA1147" s="10"/>
    </row>
    <row r="1148" spans="1:53" x14ac:dyDescent="0.25">
      <c r="A1148" s="10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N1148" s="10"/>
      <c r="O1148" s="10"/>
      <c r="P1148" s="10"/>
      <c r="Q1148" s="10"/>
      <c r="R1148" s="10"/>
      <c r="S1148" s="10"/>
      <c r="T1148" s="10"/>
      <c r="U1148" s="10"/>
      <c r="V1148" s="10"/>
      <c r="W1148" s="10"/>
      <c r="X1148" s="10"/>
      <c r="Y1148" s="10"/>
      <c r="Z1148" s="10"/>
      <c r="AA1148" s="10"/>
      <c r="AB1148" s="10"/>
      <c r="AC1148" s="10"/>
      <c r="AD1148" s="10"/>
      <c r="AE1148" s="10"/>
      <c r="AF1148" s="10"/>
      <c r="AG1148" s="10"/>
      <c r="AH1148" s="10"/>
      <c r="AI1148" s="10"/>
      <c r="AJ1148" s="10"/>
      <c r="AK1148" s="10"/>
      <c r="AL1148" s="10"/>
      <c r="AM1148" s="10"/>
      <c r="AN1148" s="10"/>
      <c r="AO1148" s="10"/>
      <c r="AP1148" s="10"/>
      <c r="AQ1148" s="10"/>
      <c r="AR1148" s="10"/>
      <c r="AS1148" s="10"/>
      <c r="AT1148" s="10"/>
      <c r="AU1148" s="10"/>
      <c r="AV1148" s="10"/>
      <c r="AW1148" s="10"/>
      <c r="AX1148" s="10"/>
      <c r="AY1148" s="10"/>
      <c r="AZ1148" s="10"/>
      <c r="BA1148" s="10"/>
    </row>
    <row r="1149" spans="1:53" x14ac:dyDescent="0.25">
      <c r="A1149" s="10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N1149" s="10"/>
      <c r="O1149" s="10"/>
      <c r="P1149" s="10"/>
      <c r="Q1149" s="10"/>
      <c r="R1149" s="10"/>
      <c r="S1149" s="10"/>
      <c r="T1149" s="10"/>
      <c r="U1149" s="10"/>
      <c r="V1149" s="10"/>
      <c r="W1149" s="10"/>
      <c r="X1149" s="10"/>
      <c r="Y1149" s="10"/>
      <c r="Z1149" s="10"/>
      <c r="AA1149" s="10"/>
      <c r="AB1149" s="10"/>
      <c r="AC1149" s="10"/>
      <c r="AD1149" s="10"/>
      <c r="AE1149" s="10"/>
      <c r="AF1149" s="10"/>
      <c r="AG1149" s="10"/>
      <c r="AH1149" s="10"/>
      <c r="AI1149" s="10"/>
      <c r="AJ1149" s="10"/>
      <c r="AK1149" s="10"/>
      <c r="AL1149" s="10"/>
      <c r="AM1149" s="10"/>
      <c r="AN1149" s="10"/>
      <c r="AO1149" s="10"/>
      <c r="AP1149" s="10"/>
      <c r="AQ1149" s="10"/>
      <c r="AR1149" s="10"/>
      <c r="AS1149" s="10"/>
      <c r="AT1149" s="10"/>
      <c r="AU1149" s="10"/>
      <c r="AV1149" s="10"/>
      <c r="AW1149" s="10"/>
      <c r="AX1149" s="10"/>
      <c r="AY1149" s="10"/>
      <c r="AZ1149" s="10"/>
      <c r="BA1149" s="10"/>
    </row>
    <row r="1150" spans="1:53" x14ac:dyDescent="0.25">
      <c r="A1150" s="10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N1150" s="10"/>
      <c r="O1150" s="10"/>
      <c r="P1150" s="10"/>
      <c r="Q1150" s="10"/>
      <c r="R1150" s="10"/>
      <c r="S1150" s="10"/>
      <c r="T1150" s="10"/>
      <c r="U1150" s="10"/>
      <c r="V1150" s="10"/>
      <c r="W1150" s="10"/>
      <c r="X1150" s="10"/>
      <c r="Y1150" s="10"/>
      <c r="Z1150" s="10"/>
      <c r="AA1150" s="10"/>
      <c r="AB1150" s="10"/>
      <c r="AC1150" s="10"/>
      <c r="AD1150" s="10"/>
      <c r="AE1150" s="10"/>
      <c r="AF1150" s="10"/>
      <c r="AG1150" s="10"/>
      <c r="AH1150" s="10"/>
      <c r="AI1150" s="10"/>
      <c r="AJ1150" s="10"/>
      <c r="AK1150" s="10"/>
      <c r="AL1150" s="10"/>
      <c r="AM1150" s="10"/>
      <c r="AN1150" s="10"/>
      <c r="AO1150" s="10"/>
      <c r="AP1150" s="10"/>
      <c r="AQ1150" s="10"/>
      <c r="AR1150" s="10"/>
      <c r="AS1150" s="10"/>
      <c r="AT1150" s="10"/>
      <c r="AU1150" s="10"/>
      <c r="AV1150" s="10"/>
      <c r="AW1150" s="10"/>
      <c r="AX1150" s="10"/>
      <c r="AY1150" s="10"/>
      <c r="AZ1150" s="10"/>
      <c r="BA1150" s="10"/>
    </row>
    <row r="1151" spans="1:53" x14ac:dyDescent="0.25">
      <c r="A1151" s="10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N1151" s="10"/>
      <c r="O1151" s="10"/>
      <c r="P1151" s="10"/>
      <c r="Q1151" s="10"/>
      <c r="R1151" s="10"/>
      <c r="S1151" s="10"/>
      <c r="T1151" s="10"/>
      <c r="U1151" s="10"/>
      <c r="V1151" s="10"/>
      <c r="W1151" s="10"/>
      <c r="X1151" s="10"/>
      <c r="Y1151" s="10"/>
      <c r="Z1151" s="10"/>
      <c r="AA1151" s="10"/>
      <c r="AB1151" s="10"/>
      <c r="AC1151" s="10"/>
      <c r="AD1151" s="10"/>
      <c r="AE1151" s="10"/>
      <c r="AF1151" s="10"/>
      <c r="AG1151" s="10"/>
      <c r="AH1151" s="10"/>
      <c r="AI1151" s="10"/>
      <c r="AJ1151" s="10"/>
      <c r="AK1151" s="10"/>
      <c r="AL1151" s="10"/>
      <c r="AM1151" s="10"/>
      <c r="AN1151" s="10"/>
      <c r="AO1151" s="10"/>
      <c r="AP1151" s="10"/>
      <c r="AQ1151" s="10"/>
      <c r="AR1151" s="10"/>
      <c r="AS1151" s="10"/>
      <c r="AT1151" s="10"/>
      <c r="AU1151" s="10"/>
      <c r="AV1151" s="10"/>
      <c r="AW1151" s="10"/>
      <c r="AX1151" s="10"/>
      <c r="AY1151" s="10"/>
      <c r="AZ1151" s="10"/>
      <c r="BA1151" s="10"/>
    </row>
    <row r="1152" spans="1:53" x14ac:dyDescent="0.25">
      <c r="A1152" s="10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N1152" s="10"/>
      <c r="O1152" s="10"/>
      <c r="P1152" s="10"/>
      <c r="Q1152" s="10"/>
      <c r="R1152" s="10"/>
      <c r="S1152" s="10"/>
      <c r="T1152" s="10"/>
      <c r="U1152" s="10"/>
      <c r="V1152" s="10"/>
      <c r="W1152" s="10"/>
      <c r="X1152" s="10"/>
      <c r="Y1152" s="10"/>
      <c r="Z1152" s="10"/>
      <c r="AA1152" s="10"/>
      <c r="AB1152" s="10"/>
      <c r="AC1152" s="10"/>
      <c r="AD1152" s="10"/>
      <c r="AE1152" s="10"/>
      <c r="AF1152" s="10"/>
      <c r="AG1152" s="10"/>
      <c r="AH1152" s="10"/>
      <c r="AI1152" s="10"/>
      <c r="AJ1152" s="10"/>
      <c r="AK1152" s="10"/>
      <c r="AL1152" s="10"/>
      <c r="AM1152" s="10"/>
      <c r="AN1152" s="10"/>
      <c r="AO1152" s="10"/>
      <c r="AP1152" s="10"/>
      <c r="AQ1152" s="10"/>
      <c r="AR1152" s="10"/>
      <c r="AS1152" s="10"/>
      <c r="AT1152" s="10"/>
      <c r="AU1152" s="10"/>
      <c r="AV1152" s="10"/>
      <c r="AW1152" s="10"/>
      <c r="AX1152" s="10"/>
      <c r="AY1152" s="10"/>
      <c r="AZ1152" s="10"/>
      <c r="BA1152" s="10"/>
    </row>
    <row r="1153" spans="1:53" x14ac:dyDescent="0.25">
      <c r="A1153" s="10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N1153" s="10"/>
      <c r="O1153" s="10"/>
      <c r="P1153" s="10"/>
      <c r="Q1153" s="10"/>
      <c r="R1153" s="10"/>
      <c r="S1153" s="10"/>
      <c r="T1153" s="10"/>
      <c r="U1153" s="10"/>
      <c r="V1153" s="10"/>
      <c r="W1153" s="10"/>
      <c r="X1153" s="10"/>
      <c r="Y1153" s="10"/>
      <c r="Z1153" s="10"/>
      <c r="AA1153" s="10"/>
      <c r="AB1153" s="10"/>
      <c r="AC1153" s="10"/>
      <c r="AD1153" s="10"/>
      <c r="AE1153" s="10"/>
      <c r="AF1153" s="10"/>
      <c r="AG1153" s="10"/>
      <c r="AH1153" s="10"/>
      <c r="AI1153" s="10"/>
      <c r="AJ1153" s="10"/>
      <c r="AK1153" s="10"/>
      <c r="AL1153" s="10"/>
      <c r="AM1153" s="10"/>
      <c r="AN1153" s="10"/>
      <c r="AO1153" s="10"/>
      <c r="AP1153" s="10"/>
      <c r="AQ1153" s="10"/>
      <c r="AR1153" s="10"/>
      <c r="AS1153" s="10"/>
      <c r="AT1153" s="10"/>
      <c r="AU1153" s="10"/>
      <c r="AV1153" s="10"/>
      <c r="AW1153" s="10"/>
      <c r="AX1153" s="10"/>
      <c r="AY1153" s="10"/>
      <c r="AZ1153" s="10"/>
      <c r="BA1153" s="10"/>
    </row>
    <row r="1154" spans="1:53" x14ac:dyDescent="0.25">
      <c r="A1154" s="10"/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N1154" s="10"/>
      <c r="O1154" s="10"/>
      <c r="P1154" s="10"/>
      <c r="Q1154" s="10"/>
      <c r="R1154" s="10"/>
      <c r="S1154" s="10"/>
      <c r="T1154" s="10"/>
      <c r="U1154" s="10"/>
      <c r="V1154" s="10"/>
      <c r="W1154" s="10"/>
      <c r="X1154" s="10"/>
      <c r="Y1154" s="10"/>
      <c r="Z1154" s="10"/>
      <c r="AA1154" s="10"/>
      <c r="AB1154" s="10"/>
      <c r="AC1154" s="10"/>
      <c r="AD1154" s="10"/>
      <c r="AE1154" s="10"/>
      <c r="AF1154" s="10"/>
      <c r="AG1154" s="10"/>
      <c r="AH1154" s="10"/>
      <c r="AI1154" s="10"/>
      <c r="AJ1154" s="10"/>
      <c r="AK1154" s="10"/>
      <c r="AL1154" s="10"/>
      <c r="AM1154" s="10"/>
      <c r="AN1154" s="10"/>
      <c r="AO1154" s="10"/>
      <c r="AP1154" s="10"/>
      <c r="AQ1154" s="10"/>
      <c r="AR1154" s="10"/>
      <c r="AS1154" s="10"/>
      <c r="AT1154" s="10"/>
      <c r="AU1154" s="10"/>
      <c r="AV1154" s="10"/>
      <c r="AW1154" s="10"/>
      <c r="AX1154" s="10"/>
      <c r="AY1154" s="10"/>
      <c r="AZ1154" s="10"/>
      <c r="BA1154" s="10"/>
    </row>
    <row r="1155" spans="1:53" x14ac:dyDescent="0.25">
      <c r="A1155" s="10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N1155" s="10"/>
      <c r="O1155" s="10"/>
      <c r="P1155" s="10"/>
      <c r="Q1155" s="10"/>
      <c r="R1155" s="10"/>
      <c r="S1155" s="10"/>
      <c r="T1155" s="10"/>
      <c r="U1155" s="10"/>
      <c r="V1155" s="10"/>
      <c r="W1155" s="10"/>
      <c r="X1155" s="10"/>
      <c r="Y1155" s="10"/>
      <c r="Z1155" s="10"/>
      <c r="AA1155" s="10"/>
      <c r="AB1155" s="10"/>
      <c r="AC1155" s="10"/>
      <c r="AD1155" s="10"/>
      <c r="AE1155" s="10"/>
      <c r="AF1155" s="10"/>
      <c r="AG1155" s="10"/>
      <c r="AH1155" s="10"/>
      <c r="AI1155" s="10"/>
      <c r="AJ1155" s="10"/>
      <c r="AK1155" s="10"/>
      <c r="AL1155" s="10"/>
      <c r="AM1155" s="10"/>
      <c r="AN1155" s="10"/>
      <c r="AO1155" s="10"/>
      <c r="AP1155" s="10"/>
      <c r="AQ1155" s="10"/>
      <c r="AR1155" s="10"/>
      <c r="AS1155" s="10"/>
      <c r="AT1155" s="10"/>
      <c r="AU1155" s="10"/>
      <c r="AV1155" s="10"/>
      <c r="AW1155" s="10"/>
      <c r="AX1155" s="10"/>
      <c r="AY1155" s="10"/>
      <c r="AZ1155" s="10"/>
      <c r="BA1155" s="10"/>
    </row>
    <row r="1156" spans="1:53" x14ac:dyDescent="0.25">
      <c r="A1156" s="10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N1156" s="10"/>
      <c r="O1156" s="10"/>
      <c r="P1156" s="10"/>
      <c r="Q1156" s="10"/>
      <c r="R1156" s="10"/>
      <c r="S1156" s="10"/>
      <c r="T1156" s="10"/>
      <c r="U1156" s="10"/>
      <c r="V1156" s="10"/>
      <c r="W1156" s="10"/>
      <c r="X1156" s="10"/>
      <c r="Y1156" s="10"/>
      <c r="Z1156" s="10"/>
      <c r="AA1156" s="10"/>
      <c r="AB1156" s="10"/>
      <c r="AC1156" s="10"/>
      <c r="AD1156" s="10"/>
      <c r="AE1156" s="10"/>
      <c r="AF1156" s="10"/>
      <c r="AG1156" s="10"/>
      <c r="AH1156" s="10"/>
      <c r="AI1156" s="10"/>
      <c r="AJ1156" s="10"/>
      <c r="AK1156" s="10"/>
      <c r="AL1156" s="10"/>
      <c r="AM1156" s="10"/>
      <c r="AN1156" s="10"/>
      <c r="AO1156" s="10"/>
      <c r="AP1156" s="10"/>
      <c r="AQ1156" s="10"/>
      <c r="AR1156" s="10"/>
      <c r="AS1156" s="10"/>
      <c r="AT1156" s="10"/>
      <c r="AU1156" s="10"/>
      <c r="AV1156" s="10"/>
      <c r="AW1156" s="10"/>
      <c r="AX1156" s="10"/>
      <c r="AY1156" s="10"/>
      <c r="AZ1156" s="10"/>
      <c r="BA1156" s="10"/>
    </row>
    <row r="1157" spans="1:53" x14ac:dyDescent="0.25">
      <c r="A1157" s="10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N1157" s="10"/>
      <c r="O1157" s="10"/>
      <c r="P1157" s="10"/>
      <c r="Q1157" s="10"/>
      <c r="R1157" s="10"/>
      <c r="S1157" s="10"/>
      <c r="T1157" s="10"/>
      <c r="U1157" s="10"/>
      <c r="V1157" s="10"/>
      <c r="W1157" s="10"/>
      <c r="X1157" s="10"/>
      <c r="Y1157" s="10"/>
      <c r="Z1157" s="10"/>
      <c r="AA1157" s="10"/>
      <c r="AB1157" s="10"/>
      <c r="AC1157" s="10"/>
      <c r="AD1157" s="10"/>
      <c r="AE1157" s="10"/>
      <c r="AF1157" s="10"/>
      <c r="AG1157" s="10"/>
      <c r="AH1157" s="10"/>
      <c r="AI1157" s="10"/>
      <c r="AJ1157" s="10"/>
      <c r="AK1157" s="10"/>
      <c r="AL1157" s="10"/>
      <c r="AM1157" s="10"/>
      <c r="AN1157" s="10"/>
      <c r="AO1157" s="10"/>
      <c r="AP1157" s="10"/>
      <c r="AQ1157" s="10"/>
      <c r="AR1157" s="10"/>
      <c r="AS1157" s="10"/>
      <c r="AT1157" s="10"/>
      <c r="AU1157" s="10"/>
      <c r="AV1157" s="10"/>
      <c r="AW1157" s="10"/>
      <c r="AX1157" s="10"/>
      <c r="AY1157" s="10"/>
      <c r="AZ1157" s="10"/>
      <c r="BA1157" s="10"/>
    </row>
    <row r="1158" spans="1:53" x14ac:dyDescent="0.25">
      <c r="A1158" s="10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N1158" s="10"/>
      <c r="O1158" s="10"/>
      <c r="P1158" s="10"/>
      <c r="Q1158" s="10"/>
      <c r="R1158" s="10"/>
      <c r="S1158" s="10"/>
      <c r="T1158" s="10"/>
      <c r="U1158" s="10"/>
      <c r="V1158" s="10"/>
      <c r="W1158" s="10"/>
      <c r="X1158" s="10"/>
      <c r="Y1158" s="10"/>
      <c r="Z1158" s="10"/>
      <c r="AA1158" s="10"/>
      <c r="AB1158" s="10"/>
      <c r="AC1158" s="10"/>
      <c r="AD1158" s="10"/>
      <c r="AE1158" s="10"/>
      <c r="AF1158" s="10"/>
      <c r="AG1158" s="10"/>
      <c r="AH1158" s="10"/>
      <c r="AI1158" s="10"/>
      <c r="AJ1158" s="10"/>
      <c r="AK1158" s="10"/>
      <c r="AL1158" s="10"/>
      <c r="AM1158" s="10"/>
      <c r="AN1158" s="10"/>
      <c r="AO1158" s="10"/>
      <c r="AP1158" s="10"/>
      <c r="AQ1158" s="10"/>
      <c r="AR1158" s="10"/>
      <c r="AS1158" s="10"/>
      <c r="AT1158" s="10"/>
      <c r="AU1158" s="10"/>
      <c r="AV1158" s="10"/>
      <c r="AW1158" s="10"/>
      <c r="AX1158" s="10"/>
      <c r="AY1158" s="10"/>
      <c r="AZ1158" s="10"/>
      <c r="BA1158" s="10"/>
    </row>
    <row r="1159" spans="1:53" x14ac:dyDescent="0.25">
      <c r="A1159" s="10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N1159" s="10"/>
      <c r="O1159" s="10"/>
      <c r="P1159" s="10"/>
      <c r="Q1159" s="10"/>
      <c r="R1159" s="10"/>
      <c r="S1159" s="10"/>
      <c r="T1159" s="10"/>
      <c r="U1159" s="10"/>
      <c r="V1159" s="10"/>
      <c r="W1159" s="10"/>
      <c r="X1159" s="10"/>
      <c r="Y1159" s="10"/>
      <c r="Z1159" s="10"/>
      <c r="AA1159" s="10"/>
      <c r="AB1159" s="10"/>
      <c r="AC1159" s="10"/>
      <c r="AD1159" s="10"/>
      <c r="AE1159" s="10"/>
      <c r="AF1159" s="10"/>
      <c r="AG1159" s="10"/>
      <c r="AH1159" s="10"/>
      <c r="AI1159" s="10"/>
      <c r="AJ1159" s="10"/>
      <c r="AK1159" s="10"/>
      <c r="AL1159" s="10"/>
      <c r="AM1159" s="10"/>
      <c r="AN1159" s="10"/>
      <c r="AO1159" s="10"/>
      <c r="AP1159" s="10"/>
      <c r="AQ1159" s="10"/>
      <c r="AR1159" s="10"/>
      <c r="AS1159" s="10"/>
      <c r="AT1159" s="10"/>
      <c r="AU1159" s="10"/>
      <c r="AV1159" s="10"/>
      <c r="AW1159" s="10"/>
      <c r="AX1159" s="10"/>
      <c r="AY1159" s="10"/>
      <c r="AZ1159" s="10"/>
      <c r="BA1159" s="10"/>
    </row>
    <row r="1160" spans="1:53" x14ac:dyDescent="0.25">
      <c r="A1160" s="10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N1160" s="10"/>
      <c r="O1160" s="10"/>
      <c r="P1160" s="10"/>
      <c r="Q1160" s="10"/>
      <c r="R1160" s="10"/>
      <c r="S1160" s="10"/>
      <c r="T1160" s="10"/>
      <c r="U1160" s="10"/>
      <c r="V1160" s="10"/>
      <c r="W1160" s="10"/>
      <c r="X1160" s="10"/>
      <c r="Y1160" s="10"/>
      <c r="Z1160" s="10"/>
      <c r="AA1160" s="10"/>
      <c r="AB1160" s="10"/>
      <c r="AC1160" s="10"/>
      <c r="AD1160" s="10"/>
      <c r="AE1160" s="10"/>
      <c r="AF1160" s="10"/>
      <c r="AG1160" s="10"/>
      <c r="AH1160" s="10"/>
      <c r="AI1160" s="10"/>
      <c r="AJ1160" s="10"/>
      <c r="AK1160" s="10"/>
      <c r="AL1160" s="10"/>
      <c r="AM1160" s="10"/>
      <c r="AN1160" s="10"/>
      <c r="AO1160" s="10"/>
      <c r="AP1160" s="10"/>
      <c r="AQ1160" s="10"/>
      <c r="AR1160" s="10"/>
      <c r="AS1160" s="10"/>
      <c r="AT1160" s="10"/>
      <c r="AU1160" s="10"/>
      <c r="AV1160" s="10"/>
      <c r="AW1160" s="10"/>
      <c r="AX1160" s="10"/>
      <c r="AY1160" s="10"/>
      <c r="AZ1160" s="10"/>
      <c r="BA1160" s="10"/>
    </row>
    <row r="1161" spans="1:53" x14ac:dyDescent="0.25">
      <c r="A1161" s="10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N1161" s="10"/>
      <c r="O1161" s="10"/>
      <c r="P1161" s="10"/>
      <c r="Q1161" s="10"/>
      <c r="R1161" s="10"/>
      <c r="S1161" s="10"/>
      <c r="T1161" s="10"/>
      <c r="U1161" s="10"/>
      <c r="V1161" s="10"/>
      <c r="W1161" s="10"/>
      <c r="X1161" s="10"/>
      <c r="Y1161" s="10"/>
      <c r="Z1161" s="10"/>
      <c r="AA1161" s="10"/>
      <c r="AB1161" s="10"/>
      <c r="AC1161" s="10"/>
      <c r="AD1161" s="10"/>
      <c r="AE1161" s="10"/>
      <c r="AF1161" s="10"/>
      <c r="AG1161" s="10"/>
      <c r="AH1161" s="10"/>
      <c r="AI1161" s="10"/>
      <c r="AJ1161" s="10"/>
      <c r="AK1161" s="10"/>
      <c r="AL1161" s="10"/>
      <c r="AM1161" s="10"/>
      <c r="AN1161" s="10"/>
      <c r="AO1161" s="10"/>
      <c r="AP1161" s="10"/>
      <c r="AQ1161" s="10"/>
      <c r="AR1161" s="10"/>
      <c r="AS1161" s="10"/>
      <c r="AT1161" s="10"/>
      <c r="AU1161" s="10"/>
      <c r="AV1161" s="10"/>
      <c r="AW1161" s="10"/>
      <c r="AX1161" s="10"/>
      <c r="AY1161" s="10"/>
      <c r="AZ1161" s="10"/>
      <c r="BA1161" s="10"/>
    </row>
    <row r="1162" spans="1:53" x14ac:dyDescent="0.25">
      <c r="A1162" s="10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N1162" s="10"/>
      <c r="O1162" s="10"/>
      <c r="P1162" s="10"/>
      <c r="Q1162" s="10"/>
      <c r="R1162" s="10"/>
      <c r="S1162" s="10"/>
      <c r="T1162" s="10"/>
      <c r="U1162" s="10"/>
      <c r="V1162" s="10"/>
      <c r="W1162" s="10"/>
      <c r="X1162" s="10"/>
      <c r="Y1162" s="10"/>
      <c r="Z1162" s="10"/>
      <c r="AA1162" s="10"/>
      <c r="AB1162" s="10"/>
      <c r="AC1162" s="10"/>
      <c r="AD1162" s="10"/>
      <c r="AE1162" s="10"/>
      <c r="AF1162" s="10"/>
      <c r="AG1162" s="10"/>
      <c r="AH1162" s="10"/>
      <c r="AI1162" s="10"/>
      <c r="AJ1162" s="10"/>
      <c r="AK1162" s="10"/>
      <c r="AL1162" s="10"/>
      <c r="AM1162" s="10"/>
      <c r="AN1162" s="10"/>
      <c r="AO1162" s="10"/>
      <c r="AP1162" s="10"/>
      <c r="AQ1162" s="10"/>
      <c r="AR1162" s="10"/>
      <c r="AS1162" s="10"/>
      <c r="AT1162" s="10"/>
      <c r="AU1162" s="10"/>
      <c r="AV1162" s="10"/>
      <c r="AW1162" s="10"/>
      <c r="AX1162" s="10"/>
      <c r="AY1162" s="10"/>
      <c r="AZ1162" s="10"/>
      <c r="BA1162" s="10"/>
    </row>
    <row r="1163" spans="1:53" x14ac:dyDescent="0.25">
      <c r="A1163" s="10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N1163" s="10"/>
      <c r="O1163" s="10"/>
      <c r="P1163" s="10"/>
      <c r="Q1163" s="10"/>
      <c r="R1163" s="10"/>
      <c r="S1163" s="10"/>
      <c r="T1163" s="10"/>
      <c r="U1163" s="10"/>
      <c r="V1163" s="10"/>
      <c r="W1163" s="10"/>
      <c r="X1163" s="10"/>
      <c r="Y1163" s="10"/>
      <c r="Z1163" s="10"/>
      <c r="AA1163" s="10"/>
      <c r="AB1163" s="10"/>
      <c r="AC1163" s="10"/>
      <c r="AD1163" s="10"/>
      <c r="AE1163" s="10"/>
      <c r="AF1163" s="10"/>
      <c r="AG1163" s="10"/>
      <c r="AH1163" s="10"/>
      <c r="AI1163" s="10"/>
      <c r="AJ1163" s="10"/>
      <c r="AK1163" s="10"/>
      <c r="AL1163" s="10"/>
      <c r="AM1163" s="10"/>
      <c r="AN1163" s="10"/>
      <c r="AO1163" s="10"/>
      <c r="AP1163" s="10"/>
      <c r="AQ1163" s="10"/>
      <c r="AR1163" s="10"/>
      <c r="AS1163" s="10"/>
      <c r="AT1163" s="10"/>
      <c r="AU1163" s="10"/>
      <c r="AV1163" s="10"/>
      <c r="AW1163" s="10"/>
      <c r="AX1163" s="10"/>
      <c r="AY1163" s="10"/>
      <c r="AZ1163" s="10"/>
      <c r="BA1163" s="10"/>
    </row>
    <row r="1164" spans="1:53" x14ac:dyDescent="0.25">
      <c r="A1164" s="10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N1164" s="10"/>
      <c r="O1164" s="10"/>
      <c r="P1164" s="10"/>
      <c r="Q1164" s="10"/>
      <c r="R1164" s="10"/>
      <c r="S1164" s="10"/>
      <c r="T1164" s="10"/>
      <c r="U1164" s="10"/>
      <c r="V1164" s="10"/>
      <c r="W1164" s="10"/>
      <c r="X1164" s="10"/>
      <c r="Y1164" s="10"/>
      <c r="Z1164" s="10"/>
      <c r="AA1164" s="10"/>
      <c r="AB1164" s="10"/>
      <c r="AC1164" s="10"/>
      <c r="AD1164" s="10"/>
      <c r="AE1164" s="10"/>
      <c r="AF1164" s="10"/>
      <c r="AG1164" s="10"/>
      <c r="AH1164" s="10"/>
      <c r="AI1164" s="10"/>
      <c r="AJ1164" s="10"/>
      <c r="AK1164" s="10"/>
      <c r="AL1164" s="10"/>
      <c r="AM1164" s="10"/>
      <c r="AN1164" s="10"/>
      <c r="AO1164" s="10"/>
      <c r="AP1164" s="10"/>
      <c r="AQ1164" s="10"/>
      <c r="AR1164" s="10"/>
      <c r="AS1164" s="10"/>
      <c r="AT1164" s="10"/>
      <c r="AU1164" s="10"/>
      <c r="AV1164" s="10"/>
      <c r="AW1164" s="10"/>
      <c r="AX1164" s="10"/>
      <c r="AY1164" s="10"/>
      <c r="AZ1164" s="10"/>
      <c r="BA1164" s="10"/>
    </row>
    <row r="1165" spans="1:53" x14ac:dyDescent="0.25">
      <c r="A1165" s="10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N1165" s="10"/>
      <c r="O1165" s="10"/>
      <c r="P1165" s="10"/>
      <c r="Q1165" s="10"/>
      <c r="R1165" s="10"/>
      <c r="S1165" s="10"/>
      <c r="T1165" s="10"/>
      <c r="U1165" s="10"/>
      <c r="V1165" s="10"/>
      <c r="W1165" s="10"/>
      <c r="X1165" s="10"/>
      <c r="Y1165" s="10"/>
      <c r="Z1165" s="10"/>
      <c r="AA1165" s="10"/>
      <c r="AB1165" s="10"/>
      <c r="AC1165" s="10"/>
      <c r="AD1165" s="10"/>
      <c r="AE1165" s="10"/>
      <c r="AF1165" s="10"/>
      <c r="AG1165" s="10"/>
      <c r="AH1165" s="10"/>
      <c r="AI1165" s="10"/>
      <c r="AJ1165" s="10"/>
      <c r="AK1165" s="10"/>
      <c r="AL1165" s="10"/>
      <c r="AM1165" s="10"/>
      <c r="AN1165" s="10"/>
      <c r="AO1165" s="10"/>
      <c r="AP1165" s="10"/>
      <c r="AQ1165" s="10"/>
      <c r="AR1165" s="10"/>
      <c r="AS1165" s="10"/>
      <c r="AT1165" s="10"/>
      <c r="AU1165" s="10"/>
      <c r="AV1165" s="10"/>
      <c r="AW1165" s="10"/>
      <c r="AX1165" s="10"/>
      <c r="AY1165" s="10"/>
      <c r="AZ1165" s="10"/>
      <c r="BA1165" s="10"/>
    </row>
    <row r="1166" spans="1:53" x14ac:dyDescent="0.25">
      <c r="A1166" s="10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N1166" s="10"/>
      <c r="O1166" s="10"/>
      <c r="P1166" s="10"/>
      <c r="Q1166" s="10"/>
      <c r="R1166" s="10"/>
      <c r="S1166" s="10"/>
      <c r="T1166" s="10"/>
      <c r="U1166" s="10"/>
      <c r="V1166" s="10"/>
      <c r="W1166" s="10"/>
      <c r="X1166" s="10"/>
      <c r="Y1166" s="10"/>
      <c r="Z1166" s="10"/>
      <c r="AA1166" s="10"/>
      <c r="AB1166" s="10"/>
      <c r="AC1166" s="10"/>
      <c r="AD1166" s="10"/>
      <c r="AE1166" s="10"/>
      <c r="AF1166" s="10"/>
      <c r="AG1166" s="10"/>
      <c r="AH1166" s="10"/>
      <c r="AI1166" s="10"/>
      <c r="AJ1166" s="10"/>
      <c r="AK1166" s="10"/>
      <c r="AL1166" s="10"/>
      <c r="AM1166" s="10"/>
      <c r="AN1166" s="10"/>
      <c r="AO1166" s="10"/>
      <c r="AP1166" s="10"/>
      <c r="AQ1166" s="10"/>
      <c r="AR1166" s="10"/>
      <c r="AS1166" s="10"/>
      <c r="AT1166" s="10"/>
      <c r="AU1166" s="10"/>
      <c r="AV1166" s="10"/>
      <c r="AW1166" s="10"/>
      <c r="AX1166" s="10"/>
      <c r="AY1166" s="10"/>
      <c r="AZ1166" s="10"/>
      <c r="BA1166" s="10"/>
    </row>
    <row r="1167" spans="1:53" x14ac:dyDescent="0.25">
      <c r="A1167" s="10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N1167" s="10"/>
      <c r="O1167" s="10"/>
      <c r="P1167" s="10"/>
      <c r="Q1167" s="10"/>
      <c r="R1167" s="10"/>
      <c r="S1167" s="10"/>
      <c r="T1167" s="10"/>
      <c r="U1167" s="10"/>
      <c r="V1167" s="10"/>
      <c r="W1167" s="10"/>
      <c r="X1167" s="10"/>
      <c r="Y1167" s="10"/>
      <c r="Z1167" s="10"/>
      <c r="AA1167" s="10"/>
      <c r="AB1167" s="10"/>
      <c r="AC1167" s="10"/>
      <c r="AD1167" s="10"/>
      <c r="AE1167" s="10"/>
      <c r="AF1167" s="10"/>
      <c r="AG1167" s="10"/>
      <c r="AH1167" s="10"/>
      <c r="AI1167" s="10"/>
      <c r="AJ1167" s="10"/>
      <c r="AK1167" s="10"/>
      <c r="AL1167" s="10"/>
      <c r="AM1167" s="10"/>
      <c r="AN1167" s="10"/>
      <c r="AO1167" s="10"/>
      <c r="AP1167" s="10"/>
      <c r="AQ1167" s="10"/>
      <c r="AR1167" s="10"/>
      <c r="AS1167" s="10"/>
      <c r="AT1167" s="10"/>
      <c r="AU1167" s="10"/>
      <c r="AV1167" s="10"/>
      <c r="AW1167" s="10"/>
      <c r="AX1167" s="10"/>
      <c r="AY1167" s="10"/>
      <c r="AZ1167" s="10"/>
      <c r="BA1167" s="10"/>
    </row>
    <row r="1168" spans="1:53" x14ac:dyDescent="0.25">
      <c r="A1168" s="10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N1168" s="10"/>
      <c r="O1168" s="10"/>
      <c r="P1168" s="10"/>
      <c r="Q1168" s="10"/>
      <c r="R1168" s="10"/>
      <c r="S1168" s="10"/>
      <c r="T1168" s="10"/>
      <c r="U1168" s="10"/>
      <c r="V1168" s="10"/>
      <c r="W1168" s="10"/>
      <c r="X1168" s="10"/>
      <c r="Y1168" s="10"/>
      <c r="Z1168" s="10"/>
      <c r="AA1168" s="10"/>
      <c r="AB1168" s="10"/>
      <c r="AC1168" s="10"/>
      <c r="AD1168" s="10"/>
      <c r="AE1168" s="10"/>
      <c r="AF1168" s="10"/>
      <c r="AG1168" s="10"/>
      <c r="AH1168" s="10"/>
      <c r="AI1168" s="10"/>
      <c r="AJ1168" s="10"/>
      <c r="AK1168" s="10"/>
      <c r="AL1168" s="10"/>
      <c r="AM1168" s="10"/>
      <c r="AN1168" s="10"/>
      <c r="AO1168" s="10"/>
      <c r="AP1168" s="10"/>
      <c r="AQ1168" s="10"/>
      <c r="AR1168" s="10"/>
      <c r="AS1168" s="10"/>
      <c r="AT1168" s="10"/>
      <c r="AU1168" s="10"/>
      <c r="AV1168" s="10"/>
      <c r="AW1168" s="10"/>
      <c r="AX1168" s="10"/>
      <c r="AY1168" s="10"/>
      <c r="AZ1168" s="10"/>
      <c r="BA1168" s="10"/>
    </row>
    <row r="1169" spans="1:53" x14ac:dyDescent="0.25">
      <c r="A1169" s="10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N1169" s="10"/>
      <c r="O1169" s="10"/>
      <c r="P1169" s="10"/>
      <c r="Q1169" s="10"/>
      <c r="R1169" s="10"/>
      <c r="S1169" s="10"/>
      <c r="T1169" s="10"/>
      <c r="U1169" s="10"/>
      <c r="V1169" s="10"/>
      <c r="W1169" s="10"/>
      <c r="X1169" s="10"/>
      <c r="Y1169" s="10"/>
      <c r="Z1169" s="10"/>
      <c r="AA1169" s="10"/>
      <c r="AB1169" s="10"/>
      <c r="AC1169" s="10"/>
      <c r="AD1169" s="10"/>
      <c r="AE1169" s="10"/>
      <c r="AF1169" s="10"/>
      <c r="AG1169" s="10"/>
      <c r="AH1169" s="10"/>
      <c r="AI1169" s="10"/>
      <c r="AJ1169" s="10"/>
      <c r="AK1169" s="10"/>
      <c r="AL1169" s="10"/>
      <c r="AM1169" s="10"/>
      <c r="AN1169" s="10"/>
      <c r="AO1169" s="10"/>
      <c r="AP1169" s="10"/>
      <c r="AQ1169" s="10"/>
      <c r="AR1169" s="10"/>
      <c r="AS1169" s="10"/>
      <c r="AT1169" s="10"/>
      <c r="AU1169" s="10"/>
      <c r="AV1169" s="10"/>
      <c r="AW1169" s="10"/>
      <c r="AX1169" s="10"/>
      <c r="AY1169" s="10"/>
      <c r="AZ1169" s="10"/>
      <c r="BA1169" s="10"/>
    </row>
    <row r="1170" spans="1:53" x14ac:dyDescent="0.25">
      <c r="A1170" s="10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N1170" s="10"/>
      <c r="O1170" s="10"/>
      <c r="P1170" s="10"/>
      <c r="Q1170" s="10"/>
      <c r="R1170" s="10"/>
      <c r="S1170" s="10"/>
      <c r="T1170" s="10"/>
      <c r="U1170" s="10"/>
      <c r="V1170" s="10"/>
      <c r="W1170" s="10"/>
      <c r="X1170" s="10"/>
      <c r="Y1170" s="10"/>
      <c r="Z1170" s="10"/>
      <c r="AA1170" s="10"/>
      <c r="AB1170" s="10"/>
      <c r="AC1170" s="10"/>
      <c r="AD1170" s="10"/>
      <c r="AE1170" s="10"/>
      <c r="AF1170" s="10"/>
      <c r="AG1170" s="10"/>
      <c r="AH1170" s="10"/>
      <c r="AI1170" s="10"/>
      <c r="AJ1170" s="10"/>
      <c r="AK1170" s="10"/>
      <c r="AL1170" s="10"/>
      <c r="AM1170" s="10"/>
      <c r="AN1170" s="10"/>
      <c r="AO1170" s="10"/>
      <c r="AP1170" s="10"/>
      <c r="AQ1170" s="10"/>
      <c r="AR1170" s="10"/>
      <c r="AS1170" s="10"/>
      <c r="AT1170" s="10"/>
      <c r="AU1170" s="10"/>
      <c r="AV1170" s="10"/>
      <c r="AW1170" s="10"/>
      <c r="AX1170" s="10"/>
      <c r="AY1170" s="10"/>
      <c r="AZ1170" s="10"/>
      <c r="BA1170" s="10"/>
    </row>
    <row r="1171" spans="1:53" x14ac:dyDescent="0.25">
      <c r="A1171" s="10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N1171" s="10"/>
      <c r="O1171" s="10"/>
      <c r="P1171" s="10"/>
      <c r="Q1171" s="10"/>
      <c r="R1171" s="10"/>
      <c r="S1171" s="10"/>
      <c r="T1171" s="10"/>
      <c r="U1171" s="10"/>
      <c r="V1171" s="10"/>
      <c r="W1171" s="10"/>
      <c r="X1171" s="10"/>
      <c r="Y1171" s="10"/>
      <c r="Z1171" s="10"/>
      <c r="AA1171" s="10"/>
      <c r="AB1171" s="10"/>
      <c r="AC1171" s="10"/>
      <c r="AD1171" s="10"/>
      <c r="AE1171" s="10"/>
      <c r="AF1171" s="10"/>
      <c r="AG1171" s="10"/>
      <c r="AH1171" s="10"/>
      <c r="AI1171" s="10"/>
      <c r="AJ1171" s="10"/>
      <c r="AK1171" s="10"/>
      <c r="AL1171" s="10"/>
      <c r="AM1171" s="10"/>
      <c r="AN1171" s="10"/>
      <c r="AO1171" s="10"/>
      <c r="AP1171" s="10"/>
      <c r="AQ1171" s="10"/>
      <c r="AR1171" s="10"/>
      <c r="AS1171" s="10"/>
      <c r="AT1171" s="10"/>
      <c r="AU1171" s="10"/>
      <c r="AV1171" s="10"/>
      <c r="AW1171" s="10"/>
      <c r="AX1171" s="10"/>
      <c r="AY1171" s="10"/>
      <c r="AZ1171" s="10"/>
      <c r="BA1171" s="10"/>
    </row>
    <row r="1172" spans="1:53" x14ac:dyDescent="0.25">
      <c r="A1172" s="10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N1172" s="10"/>
      <c r="O1172" s="10"/>
      <c r="P1172" s="10"/>
      <c r="Q1172" s="10"/>
      <c r="R1172" s="10"/>
      <c r="S1172" s="10"/>
      <c r="T1172" s="10"/>
      <c r="U1172" s="10"/>
      <c r="V1172" s="10"/>
      <c r="W1172" s="10"/>
      <c r="X1172" s="10"/>
      <c r="Y1172" s="10"/>
      <c r="Z1172" s="10"/>
      <c r="AA1172" s="10"/>
      <c r="AB1172" s="10"/>
      <c r="AC1172" s="10"/>
      <c r="AD1172" s="10"/>
      <c r="AE1172" s="10"/>
      <c r="AF1172" s="10"/>
      <c r="AG1172" s="10"/>
      <c r="AH1172" s="10"/>
      <c r="AI1172" s="10"/>
      <c r="AJ1172" s="10"/>
      <c r="AK1172" s="10"/>
      <c r="AL1172" s="10"/>
      <c r="AM1172" s="10"/>
      <c r="AN1172" s="10"/>
      <c r="AO1172" s="10"/>
      <c r="AP1172" s="10"/>
      <c r="AQ1172" s="10"/>
      <c r="AR1172" s="10"/>
      <c r="AS1172" s="10"/>
      <c r="AT1172" s="10"/>
      <c r="AU1172" s="10"/>
      <c r="AV1172" s="10"/>
      <c r="AW1172" s="10"/>
      <c r="AX1172" s="10"/>
      <c r="AY1172" s="10"/>
      <c r="AZ1172" s="10"/>
      <c r="BA1172" s="10"/>
    </row>
    <row r="1173" spans="1:53" x14ac:dyDescent="0.25">
      <c r="A1173" s="10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N1173" s="10"/>
      <c r="O1173" s="10"/>
      <c r="P1173" s="10"/>
      <c r="Q1173" s="10"/>
      <c r="R1173" s="10"/>
      <c r="S1173" s="10"/>
      <c r="T1173" s="10"/>
      <c r="U1173" s="10"/>
      <c r="V1173" s="10"/>
      <c r="W1173" s="10"/>
      <c r="X1173" s="10"/>
      <c r="Y1173" s="10"/>
      <c r="Z1173" s="10"/>
      <c r="AA1173" s="10"/>
      <c r="AB1173" s="10"/>
      <c r="AC1173" s="10"/>
      <c r="AD1173" s="10"/>
      <c r="AE1173" s="10"/>
      <c r="AF1173" s="10"/>
      <c r="AG1173" s="10"/>
      <c r="AH1173" s="10"/>
      <c r="AI1173" s="10"/>
      <c r="AJ1173" s="10"/>
      <c r="AK1173" s="10"/>
      <c r="AL1173" s="10"/>
      <c r="AM1173" s="10"/>
      <c r="AN1173" s="10"/>
      <c r="AO1173" s="10"/>
      <c r="AP1173" s="10"/>
      <c r="AQ1173" s="10"/>
      <c r="AR1173" s="10"/>
      <c r="AS1173" s="10"/>
      <c r="AT1173" s="10"/>
      <c r="AU1173" s="10"/>
      <c r="AV1173" s="10"/>
      <c r="AW1173" s="10"/>
      <c r="AX1173" s="10"/>
      <c r="AY1173" s="10"/>
      <c r="AZ1173" s="10"/>
      <c r="BA1173" s="10"/>
    </row>
    <row r="1174" spans="1:53" x14ac:dyDescent="0.25">
      <c r="A1174" s="10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N1174" s="10"/>
      <c r="O1174" s="10"/>
      <c r="P1174" s="10"/>
      <c r="Q1174" s="10"/>
      <c r="R1174" s="10"/>
      <c r="S1174" s="10"/>
      <c r="T1174" s="10"/>
      <c r="U1174" s="10"/>
      <c r="V1174" s="10"/>
      <c r="W1174" s="10"/>
      <c r="X1174" s="10"/>
      <c r="Y1174" s="10"/>
      <c r="Z1174" s="10"/>
      <c r="AA1174" s="10"/>
      <c r="AB1174" s="10"/>
      <c r="AC1174" s="10"/>
      <c r="AD1174" s="10"/>
      <c r="AE1174" s="10"/>
      <c r="AF1174" s="10"/>
      <c r="AG1174" s="10"/>
      <c r="AH1174" s="10"/>
      <c r="AI1174" s="10"/>
      <c r="AJ1174" s="10"/>
      <c r="AK1174" s="10"/>
      <c r="AL1174" s="10"/>
      <c r="AM1174" s="10"/>
      <c r="AN1174" s="10"/>
      <c r="AO1174" s="10"/>
      <c r="AP1174" s="10"/>
      <c r="AQ1174" s="10"/>
      <c r="AR1174" s="10"/>
      <c r="AS1174" s="10"/>
      <c r="AT1174" s="10"/>
      <c r="AU1174" s="10"/>
      <c r="AV1174" s="10"/>
      <c r="AW1174" s="10"/>
      <c r="AX1174" s="10"/>
      <c r="AY1174" s="10"/>
      <c r="AZ1174" s="10"/>
      <c r="BA1174" s="10"/>
    </row>
    <row r="1175" spans="1:53" x14ac:dyDescent="0.25">
      <c r="A1175" s="10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N1175" s="10"/>
      <c r="O1175" s="10"/>
      <c r="P1175" s="10"/>
      <c r="Q1175" s="10"/>
      <c r="R1175" s="10"/>
      <c r="S1175" s="10"/>
      <c r="T1175" s="10"/>
      <c r="U1175" s="10"/>
      <c r="V1175" s="10"/>
      <c r="W1175" s="10"/>
      <c r="X1175" s="10"/>
      <c r="Y1175" s="10"/>
      <c r="Z1175" s="10"/>
      <c r="AA1175" s="10"/>
      <c r="AB1175" s="10"/>
      <c r="AC1175" s="10"/>
      <c r="AD1175" s="10"/>
      <c r="AE1175" s="10"/>
      <c r="AF1175" s="10"/>
      <c r="AG1175" s="10"/>
      <c r="AH1175" s="10"/>
      <c r="AI1175" s="10"/>
      <c r="AJ1175" s="10"/>
      <c r="AK1175" s="10"/>
      <c r="AL1175" s="10"/>
      <c r="AM1175" s="10"/>
      <c r="AN1175" s="10"/>
      <c r="AO1175" s="10"/>
      <c r="AP1175" s="10"/>
      <c r="AQ1175" s="10"/>
      <c r="AR1175" s="10"/>
      <c r="AS1175" s="10"/>
      <c r="AT1175" s="10"/>
      <c r="AU1175" s="10"/>
      <c r="AV1175" s="10"/>
      <c r="AW1175" s="10"/>
      <c r="AX1175" s="10"/>
      <c r="AY1175" s="10"/>
      <c r="AZ1175" s="10"/>
      <c r="BA1175" s="10"/>
    </row>
    <row r="1176" spans="1:53" x14ac:dyDescent="0.25">
      <c r="A1176" s="10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N1176" s="10"/>
      <c r="O1176" s="10"/>
      <c r="P1176" s="10"/>
      <c r="Q1176" s="10"/>
      <c r="R1176" s="10"/>
      <c r="S1176" s="10"/>
      <c r="T1176" s="10"/>
      <c r="U1176" s="10"/>
      <c r="V1176" s="10"/>
      <c r="W1176" s="10"/>
      <c r="X1176" s="10"/>
      <c r="Y1176" s="10"/>
      <c r="Z1176" s="10"/>
      <c r="AA1176" s="10"/>
      <c r="AB1176" s="10"/>
      <c r="AC1176" s="10"/>
      <c r="AD1176" s="10"/>
      <c r="AE1176" s="10"/>
      <c r="AF1176" s="10"/>
      <c r="AG1176" s="10"/>
      <c r="AH1176" s="10"/>
      <c r="AI1176" s="10"/>
      <c r="AJ1176" s="10"/>
      <c r="AK1176" s="10"/>
      <c r="AL1176" s="10"/>
      <c r="AM1176" s="10"/>
      <c r="AN1176" s="10"/>
      <c r="AO1176" s="10"/>
      <c r="AP1176" s="10"/>
      <c r="AQ1176" s="10"/>
      <c r="AR1176" s="10"/>
      <c r="AS1176" s="10"/>
      <c r="AT1176" s="10"/>
      <c r="AU1176" s="10"/>
      <c r="AV1176" s="10"/>
      <c r="AW1176" s="10"/>
      <c r="AX1176" s="10"/>
      <c r="AY1176" s="10"/>
      <c r="AZ1176" s="10"/>
      <c r="BA1176" s="10"/>
    </row>
    <row r="1177" spans="1:53" x14ac:dyDescent="0.25">
      <c r="A1177" s="10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N1177" s="10"/>
      <c r="O1177" s="10"/>
      <c r="P1177" s="10"/>
      <c r="Q1177" s="10"/>
      <c r="R1177" s="10"/>
      <c r="S1177" s="10"/>
      <c r="T1177" s="10"/>
      <c r="U1177" s="10"/>
      <c r="V1177" s="10"/>
      <c r="W1177" s="10"/>
      <c r="X1177" s="10"/>
      <c r="Y1177" s="10"/>
      <c r="Z1177" s="10"/>
      <c r="AA1177" s="10"/>
      <c r="AB1177" s="10"/>
      <c r="AC1177" s="10"/>
      <c r="AD1177" s="10"/>
      <c r="AE1177" s="10"/>
      <c r="AF1177" s="10"/>
      <c r="AG1177" s="10"/>
      <c r="AH1177" s="10"/>
      <c r="AI1177" s="10"/>
      <c r="AJ1177" s="10"/>
      <c r="AK1177" s="10"/>
      <c r="AL1177" s="10"/>
      <c r="AM1177" s="10"/>
      <c r="AN1177" s="10"/>
      <c r="AO1177" s="10"/>
      <c r="AP1177" s="10"/>
      <c r="AQ1177" s="10"/>
      <c r="AR1177" s="10"/>
      <c r="AS1177" s="10"/>
      <c r="AT1177" s="10"/>
      <c r="AU1177" s="10"/>
      <c r="AV1177" s="10"/>
      <c r="AW1177" s="10"/>
      <c r="AX1177" s="10"/>
      <c r="AY1177" s="10"/>
      <c r="AZ1177" s="10"/>
      <c r="BA1177" s="10"/>
    </row>
    <row r="1178" spans="1:53" x14ac:dyDescent="0.25">
      <c r="A1178" s="10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N1178" s="10"/>
      <c r="O1178" s="10"/>
      <c r="P1178" s="10"/>
      <c r="Q1178" s="10"/>
      <c r="R1178" s="10"/>
      <c r="S1178" s="10"/>
      <c r="T1178" s="10"/>
      <c r="U1178" s="10"/>
      <c r="V1178" s="10"/>
      <c r="W1178" s="10"/>
      <c r="X1178" s="10"/>
      <c r="Y1178" s="10"/>
      <c r="Z1178" s="10"/>
      <c r="AA1178" s="10"/>
      <c r="AB1178" s="10"/>
      <c r="AC1178" s="10"/>
      <c r="AD1178" s="10"/>
      <c r="AE1178" s="10"/>
      <c r="AF1178" s="10"/>
      <c r="AG1178" s="10"/>
      <c r="AH1178" s="10"/>
      <c r="AI1178" s="10"/>
      <c r="AJ1178" s="10"/>
      <c r="AK1178" s="10"/>
      <c r="AL1178" s="10"/>
      <c r="AM1178" s="10"/>
      <c r="AN1178" s="10"/>
      <c r="AO1178" s="10"/>
      <c r="AP1178" s="10"/>
      <c r="AQ1178" s="10"/>
      <c r="AR1178" s="10"/>
      <c r="AS1178" s="10"/>
      <c r="AT1178" s="10"/>
      <c r="AU1178" s="10"/>
      <c r="AV1178" s="10"/>
      <c r="AW1178" s="10"/>
      <c r="AX1178" s="10"/>
      <c r="AY1178" s="10"/>
      <c r="AZ1178" s="10"/>
      <c r="BA1178" s="10"/>
    </row>
    <row r="1179" spans="1:53" x14ac:dyDescent="0.25">
      <c r="A1179" s="10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N1179" s="10"/>
      <c r="O1179" s="10"/>
      <c r="P1179" s="10"/>
      <c r="Q1179" s="10"/>
      <c r="R1179" s="10"/>
      <c r="S1179" s="10"/>
      <c r="T1179" s="10"/>
      <c r="U1179" s="10"/>
      <c r="V1179" s="10"/>
      <c r="W1179" s="10"/>
      <c r="X1179" s="10"/>
      <c r="Y1179" s="10"/>
      <c r="Z1179" s="10"/>
      <c r="AA1179" s="10"/>
      <c r="AB1179" s="10"/>
      <c r="AC1179" s="10"/>
      <c r="AD1179" s="10"/>
      <c r="AE1179" s="10"/>
      <c r="AF1179" s="10"/>
      <c r="AG1179" s="10"/>
      <c r="AH1179" s="10"/>
      <c r="AI1179" s="10"/>
      <c r="AJ1179" s="10"/>
      <c r="AK1179" s="10"/>
      <c r="AL1179" s="10"/>
      <c r="AM1179" s="10"/>
      <c r="AN1179" s="10"/>
      <c r="AO1179" s="10"/>
      <c r="AP1179" s="10"/>
      <c r="AQ1179" s="10"/>
      <c r="AR1179" s="10"/>
      <c r="AS1179" s="10"/>
      <c r="AT1179" s="10"/>
      <c r="AU1179" s="10"/>
      <c r="AV1179" s="10"/>
      <c r="AW1179" s="10"/>
      <c r="AX1179" s="10"/>
      <c r="AY1179" s="10"/>
      <c r="AZ1179" s="10"/>
      <c r="BA1179" s="10"/>
    </row>
    <row r="1180" spans="1:53" x14ac:dyDescent="0.25">
      <c r="A1180" s="10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N1180" s="10"/>
      <c r="O1180" s="10"/>
      <c r="P1180" s="10"/>
      <c r="Q1180" s="10"/>
      <c r="R1180" s="10"/>
      <c r="S1180" s="10"/>
      <c r="T1180" s="10"/>
      <c r="U1180" s="10"/>
      <c r="V1180" s="10"/>
      <c r="W1180" s="10"/>
      <c r="X1180" s="10"/>
      <c r="Y1180" s="10"/>
      <c r="Z1180" s="10"/>
      <c r="AA1180" s="10"/>
      <c r="AB1180" s="10"/>
      <c r="AC1180" s="10"/>
      <c r="AD1180" s="10"/>
      <c r="AE1180" s="10"/>
      <c r="AF1180" s="10"/>
      <c r="AG1180" s="10"/>
      <c r="AH1180" s="10"/>
      <c r="AI1180" s="10"/>
      <c r="AJ1180" s="10"/>
      <c r="AK1180" s="10"/>
      <c r="AL1180" s="10"/>
      <c r="AM1180" s="10"/>
      <c r="AN1180" s="10"/>
      <c r="AO1180" s="10"/>
      <c r="AP1180" s="10"/>
      <c r="AQ1180" s="10"/>
      <c r="AR1180" s="10"/>
      <c r="AS1180" s="10"/>
      <c r="AT1180" s="10"/>
      <c r="AU1180" s="10"/>
      <c r="AV1180" s="10"/>
      <c r="AW1180" s="10"/>
      <c r="AX1180" s="10"/>
      <c r="AY1180" s="10"/>
      <c r="AZ1180" s="10"/>
      <c r="BA1180" s="10"/>
    </row>
    <row r="1181" spans="1:53" x14ac:dyDescent="0.25">
      <c r="A1181" s="10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N1181" s="10"/>
      <c r="O1181" s="10"/>
      <c r="P1181" s="10"/>
      <c r="Q1181" s="10"/>
      <c r="R1181" s="10"/>
      <c r="S1181" s="10"/>
      <c r="T1181" s="10"/>
      <c r="U1181" s="10"/>
      <c r="V1181" s="10"/>
      <c r="W1181" s="10"/>
      <c r="X1181" s="10"/>
      <c r="Y1181" s="10"/>
      <c r="Z1181" s="10"/>
      <c r="AA1181" s="10"/>
      <c r="AB1181" s="10"/>
      <c r="AC1181" s="10"/>
      <c r="AD1181" s="10"/>
      <c r="AE1181" s="10"/>
      <c r="AF1181" s="10"/>
      <c r="AG1181" s="10"/>
      <c r="AH1181" s="10"/>
      <c r="AI1181" s="10"/>
      <c r="AJ1181" s="10"/>
      <c r="AK1181" s="10"/>
      <c r="AL1181" s="10"/>
      <c r="AM1181" s="10"/>
      <c r="AN1181" s="10"/>
      <c r="AO1181" s="10"/>
      <c r="AP1181" s="10"/>
      <c r="AQ1181" s="10"/>
      <c r="AR1181" s="10"/>
      <c r="AS1181" s="10"/>
      <c r="AT1181" s="10"/>
      <c r="AU1181" s="10"/>
      <c r="AV1181" s="10"/>
      <c r="AW1181" s="10"/>
      <c r="AX1181" s="10"/>
      <c r="AY1181" s="10"/>
      <c r="AZ1181" s="10"/>
      <c r="BA1181" s="10"/>
    </row>
    <row r="1182" spans="1:53" x14ac:dyDescent="0.25">
      <c r="A1182" s="10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N1182" s="10"/>
      <c r="O1182" s="10"/>
      <c r="P1182" s="10"/>
      <c r="Q1182" s="10"/>
      <c r="R1182" s="10"/>
      <c r="S1182" s="10"/>
      <c r="T1182" s="10"/>
      <c r="U1182" s="10"/>
      <c r="V1182" s="10"/>
      <c r="W1182" s="10"/>
      <c r="X1182" s="10"/>
      <c r="Y1182" s="10"/>
      <c r="Z1182" s="10"/>
      <c r="AA1182" s="10"/>
      <c r="AB1182" s="10"/>
      <c r="AC1182" s="10"/>
      <c r="AD1182" s="10"/>
      <c r="AE1182" s="10"/>
      <c r="AF1182" s="10"/>
      <c r="AG1182" s="10"/>
      <c r="AH1182" s="10"/>
      <c r="AI1182" s="10"/>
      <c r="AJ1182" s="10"/>
      <c r="AK1182" s="10"/>
      <c r="AL1182" s="10"/>
      <c r="AM1182" s="10"/>
      <c r="AN1182" s="10"/>
      <c r="AO1182" s="10"/>
      <c r="AP1182" s="10"/>
      <c r="AQ1182" s="10"/>
      <c r="AR1182" s="10"/>
      <c r="AS1182" s="10"/>
      <c r="AT1182" s="10"/>
      <c r="AU1182" s="10"/>
      <c r="AV1182" s="10"/>
      <c r="AW1182" s="10"/>
      <c r="AX1182" s="10"/>
      <c r="AY1182" s="10"/>
      <c r="AZ1182" s="10"/>
      <c r="BA1182" s="10"/>
    </row>
    <row r="1183" spans="1:53" x14ac:dyDescent="0.25">
      <c r="A1183" s="10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N1183" s="10"/>
      <c r="O1183" s="10"/>
      <c r="P1183" s="10"/>
      <c r="Q1183" s="10"/>
      <c r="R1183" s="10"/>
      <c r="S1183" s="10"/>
      <c r="T1183" s="10"/>
      <c r="U1183" s="10"/>
      <c r="V1183" s="10"/>
      <c r="W1183" s="10"/>
      <c r="X1183" s="10"/>
      <c r="Y1183" s="10"/>
      <c r="Z1183" s="10"/>
      <c r="AA1183" s="10"/>
      <c r="AB1183" s="10"/>
      <c r="AC1183" s="10"/>
      <c r="AD1183" s="10"/>
      <c r="AE1183" s="10"/>
      <c r="AF1183" s="10"/>
      <c r="AG1183" s="10"/>
      <c r="AH1183" s="10"/>
      <c r="AI1183" s="10"/>
      <c r="AJ1183" s="10"/>
      <c r="AK1183" s="10"/>
      <c r="AL1183" s="10"/>
      <c r="AM1183" s="10"/>
      <c r="AN1183" s="10"/>
      <c r="AO1183" s="10"/>
      <c r="AP1183" s="10"/>
      <c r="AQ1183" s="10"/>
      <c r="AR1183" s="10"/>
      <c r="AS1183" s="10"/>
      <c r="AT1183" s="10"/>
      <c r="AU1183" s="10"/>
      <c r="AV1183" s="10"/>
      <c r="AW1183" s="10"/>
      <c r="AX1183" s="10"/>
      <c r="AY1183" s="10"/>
      <c r="AZ1183" s="10"/>
      <c r="BA1183" s="10"/>
    </row>
    <row r="1184" spans="1:53" x14ac:dyDescent="0.25">
      <c r="A1184" s="10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N1184" s="10"/>
      <c r="O1184" s="10"/>
      <c r="P1184" s="10"/>
      <c r="Q1184" s="10"/>
      <c r="R1184" s="10"/>
      <c r="S1184" s="10"/>
      <c r="T1184" s="10"/>
      <c r="U1184" s="10"/>
      <c r="V1184" s="10"/>
      <c r="W1184" s="10"/>
      <c r="X1184" s="10"/>
      <c r="Y1184" s="10"/>
      <c r="Z1184" s="10"/>
      <c r="AA1184" s="10"/>
      <c r="AB1184" s="10"/>
      <c r="AC1184" s="10"/>
      <c r="AD1184" s="10"/>
      <c r="AE1184" s="10"/>
      <c r="AF1184" s="10"/>
      <c r="AG1184" s="10"/>
      <c r="AH1184" s="10"/>
      <c r="AI1184" s="10"/>
      <c r="AJ1184" s="10"/>
      <c r="AK1184" s="10"/>
      <c r="AL1184" s="10"/>
      <c r="AM1184" s="10"/>
      <c r="AN1184" s="10"/>
      <c r="AO1184" s="10"/>
      <c r="AP1184" s="10"/>
      <c r="AQ1184" s="10"/>
      <c r="AR1184" s="10"/>
      <c r="AS1184" s="10"/>
      <c r="AT1184" s="10"/>
      <c r="AU1184" s="10"/>
      <c r="AV1184" s="10"/>
      <c r="AW1184" s="10"/>
      <c r="AX1184" s="10"/>
      <c r="AY1184" s="10"/>
      <c r="AZ1184" s="10"/>
      <c r="BA1184" s="10"/>
    </row>
    <row r="1185" spans="1:53" x14ac:dyDescent="0.25">
      <c r="A1185" s="10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N1185" s="10"/>
      <c r="O1185" s="10"/>
      <c r="P1185" s="10"/>
      <c r="Q1185" s="10"/>
      <c r="R1185" s="10"/>
      <c r="S1185" s="10"/>
      <c r="T1185" s="10"/>
      <c r="U1185" s="10"/>
      <c r="V1185" s="10"/>
      <c r="W1185" s="10"/>
      <c r="X1185" s="10"/>
      <c r="Y1185" s="10"/>
      <c r="Z1185" s="10"/>
      <c r="AA1185" s="10"/>
      <c r="AB1185" s="10"/>
      <c r="AC1185" s="10"/>
      <c r="AD1185" s="10"/>
      <c r="AE1185" s="10"/>
      <c r="AF1185" s="10"/>
      <c r="AG1185" s="10"/>
      <c r="AH1185" s="10"/>
      <c r="AI1185" s="10"/>
      <c r="AJ1185" s="10"/>
      <c r="AK1185" s="10"/>
      <c r="AL1185" s="10"/>
      <c r="AM1185" s="10"/>
      <c r="AN1185" s="10"/>
      <c r="AO1185" s="10"/>
      <c r="AP1185" s="10"/>
      <c r="AQ1185" s="10"/>
      <c r="AR1185" s="10"/>
      <c r="AS1185" s="10"/>
      <c r="AT1185" s="10"/>
      <c r="AU1185" s="10"/>
      <c r="AV1185" s="10"/>
      <c r="AW1185" s="10"/>
      <c r="AX1185" s="10"/>
      <c r="AY1185" s="10"/>
      <c r="AZ1185" s="10"/>
      <c r="BA1185" s="10"/>
    </row>
    <row r="1186" spans="1:53" x14ac:dyDescent="0.25">
      <c r="A1186" s="10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N1186" s="10"/>
      <c r="O1186" s="10"/>
      <c r="P1186" s="10"/>
      <c r="Q1186" s="10"/>
      <c r="R1186" s="10"/>
      <c r="S1186" s="10"/>
      <c r="T1186" s="10"/>
      <c r="U1186" s="10"/>
      <c r="V1186" s="10"/>
      <c r="W1186" s="10"/>
      <c r="X1186" s="10"/>
      <c r="Y1186" s="10"/>
      <c r="Z1186" s="10"/>
      <c r="AA1186" s="10"/>
      <c r="AB1186" s="10"/>
      <c r="AC1186" s="10"/>
      <c r="AD1186" s="10"/>
      <c r="AE1186" s="10"/>
      <c r="AF1186" s="10"/>
      <c r="AG1186" s="10"/>
      <c r="AH1186" s="10"/>
      <c r="AI1186" s="10"/>
      <c r="AJ1186" s="10"/>
      <c r="AK1186" s="10"/>
      <c r="AL1186" s="10"/>
      <c r="AM1186" s="10"/>
      <c r="AN1186" s="10"/>
      <c r="AO1186" s="10"/>
      <c r="AP1186" s="10"/>
      <c r="AQ1186" s="10"/>
      <c r="AR1186" s="10"/>
      <c r="AS1186" s="10"/>
      <c r="AT1186" s="10"/>
      <c r="AU1186" s="10"/>
      <c r="AV1186" s="10"/>
      <c r="AW1186" s="10"/>
      <c r="AX1186" s="10"/>
      <c r="AY1186" s="10"/>
      <c r="AZ1186" s="10"/>
      <c r="BA1186" s="10"/>
    </row>
    <row r="1187" spans="1:53" x14ac:dyDescent="0.25">
      <c r="A1187" s="10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N1187" s="10"/>
      <c r="O1187" s="10"/>
      <c r="P1187" s="10"/>
      <c r="Q1187" s="10"/>
      <c r="R1187" s="10"/>
      <c r="S1187" s="10"/>
      <c r="T1187" s="10"/>
      <c r="U1187" s="10"/>
      <c r="V1187" s="10"/>
      <c r="W1187" s="10"/>
      <c r="X1187" s="10"/>
      <c r="Y1187" s="10"/>
      <c r="Z1187" s="10"/>
      <c r="AA1187" s="10"/>
      <c r="AB1187" s="10"/>
      <c r="AC1187" s="10"/>
      <c r="AD1187" s="10"/>
      <c r="AE1187" s="10"/>
      <c r="AF1187" s="10"/>
      <c r="AG1187" s="10"/>
      <c r="AH1187" s="10"/>
      <c r="AI1187" s="10"/>
      <c r="AJ1187" s="10"/>
      <c r="AK1187" s="10"/>
      <c r="AL1187" s="10"/>
      <c r="AM1187" s="10"/>
      <c r="AN1187" s="10"/>
      <c r="AO1187" s="10"/>
      <c r="AP1187" s="10"/>
      <c r="AQ1187" s="10"/>
      <c r="AR1187" s="10"/>
      <c r="AS1187" s="10"/>
      <c r="AT1187" s="10"/>
      <c r="AU1187" s="10"/>
      <c r="AV1187" s="10"/>
      <c r="AW1187" s="10"/>
      <c r="AX1187" s="10"/>
      <c r="AY1187" s="10"/>
      <c r="AZ1187" s="10"/>
      <c r="BA1187" s="10"/>
    </row>
    <row r="1188" spans="1:53" x14ac:dyDescent="0.25">
      <c r="A1188" s="10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N1188" s="10"/>
      <c r="O1188" s="10"/>
      <c r="P1188" s="10"/>
      <c r="Q1188" s="10"/>
      <c r="R1188" s="10"/>
      <c r="S1188" s="10"/>
      <c r="T1188" s="10"/>
      <c r="U1188" s="10"/>
      <c r="V1188" s="10"/>
      <c r="W1188" s="10"/>
      <c r="X1188" s="10"/>
      <c r="Y1188" s="10"/>
      <c r="Z1188" s="10"/>
      <c r="AA1188" s="10"/>
      <c r="AB1188" s="10"/>
      <c r="AC1188" s="10"/>
      <c r="AD1188" s="10"/>
      <c r="AE1188" s="10"/>
      <c r="AF1188" s="10"/>
      <c r="AG1188" s="10"/>
      <c r="AH1188" s="10"/>
      <c r="AI1188" s="10"/>
      <c r="AJ1188" s="10"/>
      <c r="AK1188" s="10"/>
      <c r="AL1188" s="10"/>
      <c r="AM1188" s="10"/>
      <c r="AN1188" s="10"/>
      <c r="AO1188" s="10"/>
      <c r="AP1188" s="10"/>
      <c r="AQ1188" s="10"/>
      <c r="AR1188" s="10"/>
      <c r="AS1188" s="10"/>
      <c r="AT1188" s="10"/>
      <c r="AU1188" s="10"/>
      <c r="AV1188" s="10"/>
      <c r="AW1188" s="10"/>
      <c r="AX1188" s="10"/>
      <c r="AY1188" s="10"/>
      <c r="AZ1188" s="10"/>
      <c r="BA1188" s="10"/>
    </row>
    <row r="1189" spans="1:53" x14ac:dyDescent="0.25">
      <c r="A1189" s="10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N1189" s="10"/>
      <c r="O1189" s="10"/>
      <c r="P1189" s="10"/>
      <c r="Q1189" s="10"/>
      <c r="R1189" s="10"/>
      <c r="S1189" s="10"/>
      <c r="T1189" s="10"/>
      <c r="U1189" s="10"/>
      <c r="V1189" s="10"/>
      <c r="W1189" s="10"/>
      <c r="X1189" s="10"/>
      <c r="Y1189" s="10"/>
      <c r="Z1189" s="10"/>
      <c r="AA1189" s="10"/>
      <c r="AB1189" s="10"/>
      <c r="AC1189" s="10"/>
      <c r="AD1189" s="10"/>
      <c r="AE1189" s="10"/>
      <c r="AF1189" s="10"/>
      <c r="AG1189" s="10"/>
      <c r="AH1189" s="10"/>
      <c r="AI1189" s="10"/>
      <c r="AJ1189" s="10"/>
      <c r="AK1189" s="10"/>
      <c r="AL1189" s="10"/>
      <c r="AM1189" s="10"/>
      <c r="AN1189" s="10"/>
      <c r="AO1189" s="10"/>
      <c r="AP1189" s="10"/>
      <c r="AQ1189" s="10"/>
      <c r="AR1189" s="10"/>
      <c r="AS1189" s="10"/>
      <c r="AT1189" s="10"/>
      <c r="AU1189" s="10"/>
      <c r="AV1189" s="10"/>
      <c r="AW1189" s="10"/>
      <c r="AX1189" s="10"/>
      <c r="AY1189" s="10"/>
      <c r="AZ1189" s="10"/>
      <c r="BA1189" s="10"/>
    </row>
    <row r="1190" spans="1:53" x14ac:dyDescent="0.25">
      <c r="A1190" s="10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N1190" s="10"/>
      <c r="O1190" s="10"/>
      <c r="P1190" s="10"/>
      <c r="Q1190" s="10"/>
      <c r="R1190" s="10"/>
      <c r="S1190" s="10"/>
      <c r="T1190" s="10"/>
      <c r="U1190" s="10"/>
      <c r="V1190" s="10"/>
      <c r="W1190" s="10"/>
      <c r="X1190" s="10"/>
      <c r="Y1190" s="10"/>
      <c r="Z1190" s="10"/>
      <c r="AA1190" s="10"/>
      <c r="AB1190" s="10"/>
      <c r="AC1190" s="10"/>
      <c r="AD1190" s="10"/>
      <c r="AE1190" s="10"/>
      <c r="AF1190" s="10"/>
      <c r="AG1190" s="10"/>
      <c r="AH1190" s="10"/>
      <c r="AI1190" s="10"/>
      <c r="AJ1190" s="10"/>
      <c r="AK1190" s="10"/>
      <c r="AL1190" s="10"/>
      <c r="AM1190" s="10"/>
      <c r="AN1190" s="10"/>
      <c r="AO1190" s="10"/>
      <c r="AP1190" s="10"/>
      <c r="AQ1190" s="10"/>
      <c r="AR1190" s="10"/>
      <c r="AS1190" s="10"/>
      <c r="AT1190" s="10"/>
      <c r="AU1190" s="10"/>
      <c r="AV1190" s="10"/>
      <c r="AW1190" s="10"/>
      <c r="AX1190" s="10"/>
      <c r="AY1190" s="10"/>
      <c r="AZ1190" s="10"/>
      <c r="BA1190" s="10"/>
    </row>
    <row r="1191" spans="1:53" x14ac:dyDescent="0.25">
      <c r="A1191" s="10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N1191" s="10"/>
      <c r="O1191" s="10"/>
      <c r="P1191" s="10"/>
      <c r="Q1191" s="10"/>
      <c r="R1191" s="10"/>
      <c r="S1191" s="10"/>
      <c r="T1191" s="10"/>
      <c r="U1191" s="10"/>
      <c r="V1191" s="10"/>
      <c r="W1191" s="10"/>
      <c r="X1191" s="10"/>
      <c r="Y1191" s="10"/>
      <c r="Z1191" s="10"/>
      <c r="AA1191" s="10"/>
      <c r="AB1191" s="10"/>
      <c r="AC1191" s="10"/>
      <c r="AD1191" s="10"/>
      <c r="AE1191" s="10"/>
      <c r="AF1191" s="10"/>
      <c r="AG1191" s="10"/>
      <c r="AH1191" s="10"/>
      <c r="AI1191" s="10"/>
      <c r="AJ1191" s="10"/>
      <c r="AK1191" s="10"/>
      <c r="AL1191" s="10"/>
      <c r="AM1191" s="10"/>
      <c r="AN1191" s="10"/>
      <c r="AO1191" s="10"/>
      <c r="AP1191" s="10"/>
      <c r="AQ1191" s="10"/>
      <c r="AR1191" s="10"/>
      <c r="AS1191" s="10"/>
      <c r="AT1191" s="10"/>
      <c r="AU1191" s="10"/>
      <c r="AV1191" s="10"/>
      <c r="AW1191" s="10"/>
      <c r="AX1191" s="10"/>
      <c r="AY1191" s="10"/>
      <c r="AZ1191" s="10"/>
      <c r="BA1191" s="10"/>
    </row>
    <row r="1192" spans="1:53" x14ac:dyDescent="0.25">
      <c r="A1192" s="10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N1192" s="10"/>
      <c r="O1192" s="10"/>
      <c r="P1192" s="10"/>
      <c r="Q1192" s="10"/>
      <c r="R1192" s="10"/>
      <c r="S1192" s="10"/>
      <c r="T1192" s="10"/>
      <c r="U1192" s="10"/>
      <c r="V1192" s="10"/>
      <c r="W1192" s="10"/>
      <c r="X1192" s="10"/>
      <c r="Y1192" s="10"/>
      <c r="Z1192" s="10"/>
      <c r="AA1192" s="10"/>
      <c r="AB1192" s="10"/>
      <c r="AC1192" s="10"/>
      <c r="AD1192" s="10"/>
      <c r="AE1192" s="10"/>
      <c r="AF1192" s="10"/>
      <c r="AG1192" s="10"/>
      <c r="AH1192" s="10"/>
      <c r="AI1192" s="10"/>
      <c r="AJ1192" s="10"/>
      <c r="AK1192" s="10"/>
      <c r="AL1192" s="10"/>
      <c r="AM1192" s="10"/>
      <c r="AN1192" s="10"/>
      <c r="AO1192" s="10"/>
      <c r="AP1192" s="10"/>
      <c r="AQ1192" s="10"/>
      <c r="AR1192" s="10"/>
      <c r="AS1192" s="10"/>
      <c r="AT1192" s="10"/>
      <c r="AU1192" s="10"/>
      <c r="AV1192" s="10"/>
      <c r="AW1192" s="10"/>
      <c r="AX1192" s="10"/>
      <c r="AY1192" s="10"/>
      <c r="AZ1192" s="10"/>
      <c r="BA1192" s="10"/>
    </row>
    <row r="1193" spans="1:53" x14ac:dyDescent="0.25">
      <c r="A1193" s="10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N1193" s="10"/>
      <c r="O1193" s="10"/>
      <c r="P1193" s="10"/>
      <c r="Q1193" s="10"/>
      <c r="R1193" s="10"/>
      <c r="S1193" s="10"/>
      <c r="T1193" s="10"/>
      <c r="U1193" s="10"/>
      <c r="V1193" s="10"/>
      <c r="W1193" s="10"/>
      <c r="X1193" s="10"/>
      <c r="Y1193" s="10"/>
      <c r="Z1193" s="10"/>
      <c r="AA1193" s="10"/>
      <c r="AB1193" s="10"/>
      <c r="AC1193" s="10"/>
      <c r="AD1193" s="10"/>
      <c r="AE1193" s="10"/>
      <c r="AF1193" s="10"/>
      <c r="AG1193" s="10"/>
      <c r="AH1193" s="10"/>
      <c r="AI1193" s="10"/>
      <c r="AJ1193" s="10"/>
      <c r="AK1193" s="10"/>
      <c r="AL1193" s="10"/>
      <c r="AM1193" s="10"/>
      <c r="AN1193" s="10"/>
      <c r="AO1193" s="10"/>
      <c r="AP1193" s="10"/>
      <c r="AQ1193" s="10"/>
      <c r="AR1193" s="10"/>
      <c r="AS1193" s="10"/>
      <c r="AT1193" s="10"/>
      <c r="AU1193" s="10"/>
      <c r="AV1193" s="10"/>
      <c r="AW1193" s="10"/>
      <c r="AX1193" s="10"/>
      <c r="AY1193" s="10"/>
      <c r="AZ1193" s="10"/>
      <c r="BA1193" s="10"/>
    </row>
    <row r="1194" spans="1:53" x14ac:dyDescent="0.25">
      <c r="A1194" s="10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N1194" s="10"/>
      <c r="O1194" s="10"/>
      <c r="P1194" s="10"/>
      <c r="Q1194" s="10"/>
      <c r="R1194" s="10"/>
      <c r="S1194" s="10"/>
      <c r="T1194" s="10"/>
      <c r="U1194" s="10"/>
      <c r="V1194" s="10"/>
      <c r="W1194" s="10"/>
      <c r="X1194" s="10"/>
      <c r="Y1194" s="10"/>
      <c r="Z1194" s="10"/>
      <c r="AA1194" s="10"/>
      <c r="AB1194" s="10"/>
      <c r="AC1194" s="10"/>
      <c r="AD1194" s="10"/>
      <c r="AE1194" s="10"/>
      <c r="AF1194" s="10"/>
      <c r="AG1194" s="10"/>
      <c r="AH1194" s="10"/>
      <c r="AI1194" s="10"/>
      <c r="AJ1194" s="10"/>
      <c r="AK1194" s="10"/>
      <c r="AL1194" s="10"/>
      <c r="AM1194" s="10"/>
      <c r="AN1194" s="10"/>
      <c r="AO1194" s="10"/>
      <c r="AP1194" s="10"/>
      <c r="AQ1194" s="10"/>
      <c r="AR1194" s="10"/>
      <c r="AS1194" s="10"/>
      <c r="AT1194" s="10"/>
      <c r="AU1194" s="10"/>
      <c r="AV1194" s="10"/>
      <c r="AW1194" s="10"/>
      <c r="AX1194" s="10"/>
      <c r="AY1194" s="10"/>
      <c r="AZ1194" s="10"/>
      <c r="BA1194" s="10"/>
    </row>
    <row r="1195" spans="1:53" x14ac:dyDescent="0.25">
      <c r="A1195" s="10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N1195" s="10"/>
      <c r="O1195" s="10"/>
      <c r="P1195" s="10"/>
      <c r="Q1195" s="10"/>
      <c r="R1195" s="10"/>
      <c r="S1195" s="10"/>
      <c r="T1195" s="10"/>
      <c r="U1195" s="10"/>
      <c r="V1195" s="10"/>
      <c r="W1195" s="10"/>
      <c r="X1195" s="10"/>
      <c r="Y1195" s="10"/>
      <c r="Z1195" s="10"/>
      <c r="AA1195" s="10"/>
      <c r="AB1195" s="10"/>
      <c r="AC1195" s="10"/>
      <c r="AD1195" s="10"/>
      <c r="AE1195" s="10"/>
      <c r="AF1195" s="10"/>
      <c r="AG1195" s="10"/>
      <c r="AH1195" s="10"/>
      <c r="AI1195" s="10"/>
      <c r="AJ1195" s="10"/>
      <c r="AK1195" s="10"/>
      <c r="AL1195" s="10"/>
      <c r="AM1195" s="10"/>
      <c r="AN1195" s="10"/>
      <c r="AO1195" s="10"/>
      <c r="AP1195" s="10"/>
      <c r="AQ1195" s="10"/>
      <c r="AR1195" s="10"/>
      <c r="AS1195" s="10"/>
      <c r="AT1195" s="10"/>
      <c r="AU1195" s="10"/>
      <c r="AV1195" s="10"/>
      <c r="AW1195" s="10"/>
      <c r="AX1195" s="10"/>
      <c r="AY1195" s="10"/>
      <c r="AZ1195" s="10"/>
      <c r="BA1195" s="10"/>
    </row>
    <row r="1196" spans="1:53" x14ac:dyDescent="0.25">
      <c r="A1196" s="10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N1196" s="10"/>
      <c r="O1196" s="10"/>
      <c r="P1196" s="10"/>
      <c r="Q1196" s="10"/>
      <c r="R1196" s="10"/>
      <c r="S1196" s="10"/>
      <c r="T1196" s="10"/>
      <c r="U1196" s="10"/>
      <c r="V1196" s="10"/>
      <c r="W1196" s="10"/>
      <c r="X1196" s="10"/>
      <c r="Y1196" s="10"/>
      <c r="Z1196" s="10"/>
      <c r="AA1196" s="10"/>
      <c r="AB1196" s="10"/>
      <c r="AC1196" s="10"/>
      <c r="AD1196" s="10"/>
      <c r="AE1196" s="10"/>
      <c r="AF1196" s="10"/>
      <c r="AG1196" s="10"/>
      <c r="AH1196" s="10"/>
      <c r="AI1196" s="10"/>
      <c r="AJ1196" s="10"/>
      <c r="AK1196" s="10"/>
      <c r="AL1196" s="10"/>
      <c r="AM1196" s="10"/>
      <c r="AN1196" s="10"/>
      <c r="AO1196" s="10"/>
      <c r="AP1196" s="10"/>
      <c r="AQ1196" s="10"/>
      <c r="AR1196" s="10"/>
      <c r="AS1196" s="10"/>
      <c r="AT1196" s="10"/>
      <c r="AU1196" s="10"/>
      <c r="AV1196" s="10"/>
      <c r="AW1196" s="10"/>
      <c r="AX1196" s="10"/>
      <c r="AY1196" s="10"/>
      <c r="AZ1196" s="10"/>
      <c r="BA1196" s="10"/>
    </row>
    <row r="1197" spans="1:53" x14ac:dyDescent="0.25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N1197" s="10"/>
      <c r="O1197" s="10"/>
      <c r="P1197" s="10"/>
      <c r="Q1197" s="10"/>
      <c r="R1197" s="10"/>
      <c r="S1197" s="10"/>
      <c r="T1197" s="10"/>
      <c r="U1197" s="10"/>
      <c r="V1197" s="10"/>
      <c r="W1197" s="10"/>
      <c r="X1197" s="10"/>
      <c r="Y1197" s="10"/>
      <c r="Z1197" s="10"/>
      <c r="AA1197" s="10"/>
      <c r="AB1197" s="10"/>
      <c r="AC1197" s="10"/>
      <c r="AD1197" s="10"/>
      <c r="AE1197" s="10"/>
      <c r="AF1197" s="10"/>
      <c r="AG1197" s="10"/>
      <c r="AH1197" s="10"/>
      <c r="AI1197" s="10"/>
      <c r="AJ1197" s="10"/>
      <c r="AK1197" s="10"/>
      <c r="AL1197" s="10"/>
      <c r="AM1197" s="10"/>
      <c r="AN1197" s="10"/>
      <c r="AO1197" s="10"/>
      <c r="AP1197" s="10"/>
      <c r="AQ1197" s="10"/>
      <c r="AR1197" s="10"/>
      <c r="AS1197" s="10"/>
      <c r="AT1197" s="10"/>
      <c r="AU1197" s="10"/>
      <c r="AV1197" s="10"/>
      <c r="AW1197" s="10"/>
      <c r="AX1197" s="10"/>
      <c r="AY1197" s="10"/>
      <c r="AZ1197" s="10"/>
      <c r="BA1197" s="10"/>
    </row>
    <row r="1198" spans="1:53" x14ac:dyDescent="0.25">
      <c r="A1198" s="10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N1198" s="10"/>
      <c r="O1198" s="10"/>
      <c r="P1198" s="10"/>
      <c r="Q1198" s="10"/>
      <c r="R1198" s="10"/>
      <c r="S1198" s="10"/>
      <c r="T1198" s="10"/>
      <c r="U1198" s="10"/>
      <c r="V1198" s="10"/>
      <c r="W1198" s="10"/>
      <c r="X1198" s="10"/>
      <c r="Y1198" s="10"/>
      <c r="Z1198" s="10"/>
      <c r="AA1198" s="10"/>
      <c r="AB1198" s="10"/>
      <c r="AC1198" s="10"/>
      <c r="AD1198" s="10"/>
      <c r="AE1198" s="10"/>
      <c r="AF1198" s="10"/>
      <c r="AG1198" s="10"/>
      <c r="AH1198" s="10"/>
      <c r="AI1198" s="10"/>
      <c r="AJ1198" s="10"/>
      <c r="AK1198" s="10"/>
      <c r="AL1198" s="10"/>
      <c r="AM1198" s="10"/>
      <c r="AN1198" s="10"/>
      <c r="AO1198" s="10"/>
      <c r="AP1198" s="10"/>
      <c r="AQ1198" s="10"/>
      <c r="AR1198" s="10"/>
      <c r="AS1198" s="10"/>
      <c r="AT1198" s="10"/>
      <c r="AU1198" s="10"/>
      <c r="AV1198" s="10"/>
      <c r="AW1198" s="10"/>
      <c r="AX1198" s="10"/>
      <c r="AY1198" s="10"/>
      <c r="AZ1198" s="10"/>
      <c r="BA1198" s="10"/>
    </row>
    <row r="1199" spans="1:53" x14ac:dyDescent="0.25">
      <c r="A1199" s="10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N1199" s="10"/>
      <c r="O1199" s="10"/>
      <c r="P1199" s="10"/>
      <c r="Q1199" s="10"/>
      <c r="R1199" s="10"/>
      <c r="S1199" s="10"/>
      <c r="T1199" s="10"/>
      <c r="U1199" s="10"/>
      <c r="V1199" s="10"/>
      <c r="W1199" s="10"/>
      <c r="X1199" s="10"/>
      <c r="Y1199" s="10"/>
      <c r="Z1199" s="10"/>
      <c r="AA1199" s="10"/>
      <c r="AB1199" s="10"/>
      <c r="AC1199" s="10"/>
      <c r="AD1199" s="10"/>
      <c r="AE1199" s="10"/>
      <c r="AF1199" s="10"/>
      <c r="AG1199" s="10"/>
      <c r="AH1199" s="10"/>
      <c r="AI1199" s="10"/>
      <c r="AJ1199" s="10"/>
      <c r="AK1199" s="10"/>
      <c r="AL1199" s="10"/>
      <c r="AM1199" s="10"/>
      <c r="AN1199" s="10"/>
      <c r="AO1199" s="10"/>
      <c r="AP1199" s="10"/>
      <c r="AQ1199" s="10"/>
      <c r="AR1199" s="10"/>
      <c r="AS1199" s="10"/>
      <c r="AT1199" s="10"/>
      <c r="AU1199" s="10"/>
      <c r="AV1199" s="10"/>
      <c r="AW1199" s="10"/>
      <c r="AX1199" s="10"/>
      <c r="AY1199" s="10"/>
      <c r="AZ1199" s="10"/>
      <c r="BA1199" s="10"/>
    </row>
    <row r="1200" spans="1:53" x14ac:dyDescent="0.25">
      <c r="A1200" s="10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N1200" s="10"/>
      <c r="O1200" s="10"/>
      <c r="P1200" s="10"/>
      <c r="Q1200" s="10"/>
      <c r="R1200" s="10"/>
      <c r="S1200" s="10"/>
      <c r="T1200" s="10"/>
      <c r="U1200" s="10"/>
      <c r="V1200" s="10"/>
      <c r="W1200" s="10"/>
      <c r="X1200" s="10"/>
      <c r="Y1200" s="10"/>
      <c r="Z1200" s="10"/>
      <c r="AA1200" s="10"/>
      <c r="AB1200" s="10"/>
      <c r="AC1200" s="10"/>
      <c r="AD1200" s="10"/>
      <c r="AE1200" s="10"/>
      <c r="AF1200" s="10"/>
      <c r="AG1200" s="10"/>
      <c r="AH1200" s="10"/>
      <c r="AI1200" s="10"/>
      <c r="AJ1200" s="10"/>
      <c r="AK1200" s="10"/>
      <c r="AL1200" s="10"/>
      <c r="AM1200" s="10"/>
      <c r="AN1200" s="10"/>
      <c r="AO1200" s="10"/>
      <c r="AP1200" s="10"/>
      <c r="AQ1200" s="10"/>
      <c r="AR1200" s="10"/>
      <c r="AS1200" s="10"/>
      <c r="AT1200" s="10"/>
      <c r="AU1200" s="10"/>
      <c r="AV1200" s="10"/>
      <c r="AW1200" s="10"/>
      <c r="AX1200" s="10"/>
      <c r="AY1200" s="10"/>
      <c r="AZ1200" s="10"/>
      <c r="BA1200" s="10"/>
    </row>
    <row r="1201" spans="1:53" x14ac:dyDescent="0.25">
      <c r="A1201" s="10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N1201" s="10"/>
      <c r="O1201" s="10"/>
      <c r="P1201" s="10"/>
      <c r="Q1201" s="10"/>
      <c r="R1201" s="10"/>
      <c r="S1201" s="10"/>
      <c r="T1201" s="10"/>
      <c r="U1201" s="10"/>
      <c r="V1201" s="10"/>
      <c r="W1201" s="10"/>
      <c r="X1201" s="10"/>
      <c r="Y1201" s="10"/>
      <c r="Z1201" s="10"/>
      <c r="AA1201" s="10"/>
      <c r="AB1201" s="10"/>
      <c r="AC1201" s="10"/>
      <c r="AD1201" s="10"/>
      <c r="AE1201" s="10"/>
      <c r="AF1201" s="10"/>
      <c r="AG1201" s="10"/>
      <c r="AH1201" s="10"/>
      <c r="AI1201" s="10"/>
      <c r="AJ1201" s="10"/>
      <c r="AK1201" s="10"/>
      <c r="AL1201" s="10"/>
      <c r="AM1201" s="10"/>
      <c r="AN1201" s="10"/>
      <c r="AO1201" s="10"/>
      <c r="AP1201" s="10"/>
      <c r="AQ1201" s="10"/>
      <c r="AR1201" s="10"/>
      <c r="AS1201" s="10"/>
      <c r="AT1201" s="10"/>
      <c r="AU1201" s="10"/>
      <c r="AV1201" s="10"/>
      <c r="AW1201" s="10"/>
      <c r="AX1201" s="10"/>
      <c r="AY1201" s="10"/>
      <c r="AZ1201" s="10"/>
      <c r="BA1201" s="10"/>
    </row>
    <row r="1202" spans="1:53" x14ac:dyDescent="0.25">
      <c r="A1202" s="10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N1202" s="10"/>
      <c r="O1202" s="10"/>
      <c r="P1202" s="10"/>
      <c r="Q1202" s="10"/>
      <c r="R1202" s="10"/>
      <c r="S1202" s="10"/>
      <c r="T1202" s="10"/>
      <c r="U1202" s="10"/>
      <c r="V1202" s="10"/>
      <c r="W1202" s="10"/>
      <c r="X1202" s="10"/>
      <c r="Y1202" s="10"/>
      <c r="Z1202" s="10"/>
      <c r="AA1202" s="10"/>
      <c r="AB1202" s="10"/>
      <c r="AC1202" s="10"/>
      <c r="AD1202" s="10"/>
      <c r="AE1202" s="10"/>
      <c r="AF1202" s="10"/>
      <c r="AG1202" s="10"/>
      <c r="AH1202" s="10"/>
      <c r="AI1202" s="10"/>
      <c r="AJ1202" s="10"/>
      <c r="AK1202" s="10"/>
      <c r="AL1202" s="10"/>
      <c r="AM1202" s="10"/>
      <c r="AN1202" s="10"/>
      <c r="AO1202" s="10"/>
      <c r="AP1202" s="10"/>
      <c r="AQ1202" s="10"/>
      <c r="AR1202" s="10"/>
      <c r="AS1202" s="10"/>
      <c r="AT1202" s="10"/>
      <c r="AU1202" s="10"/>
      <c r="AV1202" s="10"/>
      <c r="AW1202" s="10"/>
      <c r="AX1202" s="10"/>
      <c r="AY1202" s="10"/>
      <c r="AZ1202" s="10"/>
      <c r="BA1202" s="10"/>
    </row>
    <row r="1203" spans="1:53" x14ac:dyDescent="0.25">
      <c r="A1203" s="10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N1203" s="10"/>
      <c r="O1203" s="10"/>
      <c r="P1203" s="10"/>
      <c r="Q1203" s="10"/>
      <c r="R1203" s="10"/>
      <c r="S1203" s="10"/>
      <c r="T1203" s="10"/>
      <c r="U1203" s="10"/>
      <c r="V1203" s="10"/>
      <c r="W1203" s="10"/>
      <c r="X1203" s="10"/>
      <c r="Y1203" s="10"/>
      <c r="Z1203" s="10"/>
      <c r="AA1203" s="10"/>
      <c r="AB1203" s="10"/>
      <c r="AC1203" s="10"/>
      <c r="AD1203" s="10"/>
      <c r="AE1203" s="10"/>
      <c r="AF1203" s="10"/>
      <c r="AG1203" s="10"/>
      <c r="AH1203" s="10"/>
      <c r="AI1203" s="10"/>
      <c r="AJ1203" s="10"/>
      <c r="AK1203" s="10"/>
      <c r="AL1203" s="10"/>
      <c r="AM1203" s="10"/>
      <c r="AN1203" s="10"/>
      <c r="AO1203" s="10"/>
      <c r="AP1203" s="10"/>
      <c r="AQ1203" s="10"/>
      <c r="AR1203" s="10"/>
      <c r="AS1203" s="10"/>
      <c r="AT1203" s="10"/>
      <c r="AU1203" s="10"/>
      <c r="AV1203" s="10"/>
      <c r="AW1203" s="10"/>
      <c r="AX1203" s="10"/>
      <c r="AY1203" s="10"/>
      <c r="AZ1203" s="10"/>
      <c r="BA1203" s="10"/>
    </row>
    <row r="1204" spans="1:53" x14ac:dyDescent="0.25">
      <c r="A1204" s="10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N1204" s="10"/>
      <c r="O1204" s="10"/>
      <c r="P1204" s="10"/>
      <c r="Q1204" s="10"/>
      <c r="R1204" s="10"/>
      <c r="S1204" s="10"/>
      <c r="T1204" s="10"/>
      <c r="U1204" s="10"/>
      <c r="V1204" s="10"/>
      <c r="W1204" s="10"/>
      <c r="X1204" s="10"/>
      <c r="Y1204" s="10"/>
      <c r="Z1204" s="10"/>
      <c r="AA1204" s="10"/>
      <c r="AB1204" s="10"/>
      <c r="AC1204" s="10"/>
      <c r="AD1204" s="10"/>
      <c r="AE1204" s="10"/>
      <c r="AF1204" s="10"/>
      <c r="AG1204" s="10"/>
      <c r="AH1204" s="10"/>
      <c r="AI1204" s="10"/>
      <c r="AJ1204" s="10"/>
      <c r="AK1204" s="10"/>
      <c r="AL1204" s="10"/>
      <c r="AM1204" s="10"/>
      <c r="AN1204" s="10"/>
      <c r="AO1204" s="10"/>
      <c r="AP1204" s="10"/>
      <c r="AQ1204" s="10"/>
      <c r="AR1204" s="10"/>
      <c r="AS1204" s="10"/>
      <c r="AT1204" s="10"/>
      <c r="AU1204" s="10"/>
      <c r="AV1204" s="10"/>
      <c r="AW1204" s="10"/>
      <c r="AX1204" s="10"/>
      <c r="AY1204" s="10"/>
      <c r="AZ1204" s="10"/>
      <c r="BA1204" s="10"/>
    </row>
    <row r="1205" spans="1:53" x14ac:dyDescent="0.25">
      <c r="A1205" s="10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N1205" s="10"/>
      <c r="O1205" s="10"/>
      <c r="P1205" s="10"/>
      <c r="Q1205" s="10"/>
      <c r="R1205" s="10"/>
      <c r="S1205" s="10"/>
      <c r="T1205" s="10"/>
      <c r="U1205" s="10"/>
      <c r="V1205" s="10"/>
      <c r="W1205" s="10"/>
      <c r="X1205" s="10"/>
      <c r="Y1205" s="10"/>
      <c r="Z1205" s="10"/>
      <c r="AA1205" s="10"/>
      <c r="AB1205" s="10"/>
      <c r="AC1205" s="10"/>
      <c r="AD1205" s="10"/>
      <c r="AE1205" s="10"/>
      <c r="AF1205" s="10"/>
      <c r="AG1205" s="10"/>
      <c r="AH1205" s="10"/>
      <c r="AI1205" s="10"/>
      <c r="AJ1205" s="10"/>
      <c r="AK1205" s="10"/>
      <c r="AL1205" s="10"/>
      <c r="AM1205" s="10"/>
      <c r="AN1205" s="10"/>
      <c r="AO1205" s="10"/>
      <c r="AP1205" s="10"/>
      <c r="AQ1205" s="10"/>
      <c r="AR1205" s="10"/>
      <c r="AS1205" s="10"/>
      <c r="AT1205" s="10"/>
      <c r="AU1205" s="10"/>
      <c r="AV1205" s="10"/>
      <c r="AW1205" s="10"/>
      <c r="AX1205" s="10"/>
      <c r="AY1205" s="10"/>
      <c r="AZ1205" s="10"/>
      <c r="BA1205" s="10"/>
    </row>
    <row r="1206" spans="1:53" x14ac:dyDescent="0.25">
      <c r="A1206" s="10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N1206" s="10"/>
      <c r="O1206" s="10"/>
      <c r="P1206" s="10"/>
      <c r="Q1206" s="10"/>
      <c r="R1206" s="10"/>
      <c r="S1206" s="10"/>
      <c r="T1206" s="10"/>
      <c r="U1206" s="10"/>
      <c r="V1206" s="10"/>
      <c r="W1206" s="10"/>
      <c r="X1206" s="10"/>
      <c r="Y1206" s="10"/>
      <c r="Z1206" s="10"/>
      <c r="AA1206" s="10"/>
      <c r="AB1206" s="10"/>
      <c r="AC1206" s="10"/>
      <c r="AD1206" s="10"/>
      <c r="AE1206" s="10"/>
      <c r="AF1206" s="10"/>
      <c r="AG1206" s="10"/>
      <c r="AH1206" s="10"/>
      <c r="AI1206" s="10"/>
      <c r="AJ1206" s="10"/>
      <c r="AK1206" s="10"/>
      <c r="AL1206" s="10"/>
      <c r="AM1206" s="10"/>
      <c r="AN1206" s="10"/>
      <c r="AO1206" s="10"/>
      <c r="AP1206" s="10"/>
      <c r="AQ1206" s="10"/>
      <c r="AR1206" s="10"/>
      <c r="AS1206" s="10"/>
      <c r="AT1206" s="10"/>
      <c r="AU1206" s="10"/>
      <c r="AV1206" s="10"/>
      <c r="AW1206" s="10"/>
      <c r="AX1206" s="10"/>
      <c r="AY1206" s="10"/>
      <c r="AZ1206" s="10"/>
      <c r="BA1206" s="10"/>
    </row>
    <row r="1207" spans="1:53" x14ac:dyDescent="0.25">
      <c r="A1207" s="10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N1207" s="10"/>
      <c r="O1207" s="10"/>
      <c r="P1207" s="10"/>
      <c r="Q1207" s="10"/>
      <c r="R1207" s="10"/>
      <c r="S1207" s="10"/>
      <c r="T1207" s="10"/>
      <c r="U1207" s="10"/>
      <c r="V1207" s="10"/>
      <c r="W1207" s="10"/>
      <c r="X1207" s="10"/>
      <c r="Y1207" s="10"/>
      <c r="Z1207" s="10"/>
      <c r="AA1207" s="10"/>
      <c r="AB1207" s="10"/>
      <c r="AC1207" s="10"/>
      <c r="AD1207" s="10"/>
      <c r="AE1207" s="10"/>
      <c r="AF1207" s="10"/>
      <c r="AG1207" s="10"/>
      <c r="AH1207" s="10"/>
      <c r="AI1207" s="10"/>
      <c r="AJ1207" s="10"/>
      <c r="AK1207" s="10"/>
      <c r="AL1207" s="10"/>
      <c r="AM1207" s="10"/>
      <c r="AN1207" s="10"/>
      <c r="AO1207" s="10"/>
      <c r="AP1207" s="10"/>
      <c r="AQ1207" s="10"/>
      <c r="AR1207" s="10"/>
      <c r="AS1207" s="10"/>
      <c r="AT1207" s="10"/>
      <c r="AU1207" s="10"/>
      <c r="AV1207" s="10"/>
      <c r="AW1207" s="10"/>
      <c r="AX1207" s="10"/>
      <c r="AY1207" s="10"/>
      <c r="AZ1207" s="10"/>
      <c r="BA1207" s="10"/>
    </row>
    <row r="1208" spans="1:53" x14ac:dyDescent="0.25">
      <c r="A1208" s="10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N1208" s="10"/>
      <c r="O1208" s="10"/>
      <c r="P1208" s="10"/>
      <c r="Q1208" s="10"/>
      <c r="R1208" s="10"/>
      <c r="S1208" s="10"/>
      <c r="T1208" s="10"/>
      <c r="U1208" s="10"/>
      <c r="V1208" s="10"/>
      <c r="W1208" s="10"/>
      <c r="X1208" s="10"/>
      <c r="Y1208" s="10"/>
      <c r="Z1208" s="10"/>
      <c r="AA1208" s="10"/>
      <c r="AB1208" s="10"/>
      <c r="AC1208" s="10"/>
      <c r="AD1208" s="10"/>
      <c r="AE1208" s="10"/>
      <c r="AF1208" s="10"/>
      <c r="AG1208" s="10"/>
      <c r="AH1208" s="10"/>
      <c r="AI1208" s="10"/>
      <c r="AJ1208" s="10"/>
      <c r="AK1208" s="10"/>
      <c r="AL1208" s="10"/>
      <c r="AM1208" s="10"/>
      <c r="AN1208" s="10"/>
      <c r="AO1208" s="10"/>
      <c r="AP1208" s="10"/>
      <c r="AQ1208" s="10"/>
      <c r="AR1208" s="10"/>
      <c r="AS1208" s="10"/>
      <c r="AT1208" s="10"/>
      <c r="AU1208" s="10"/>
      <c r="AV1208" s="10"/>
      <c r="AW1208" s="10"/>
      <c r="AX1208" s="10"/>
      <c r="AY1208" s="10"/>
      <c r="AZ1208" s="10"/>
      <c r="BA1208" s="10"/>
    </row>
    <row r="1209" spans="1:53" x14ac:dyDescent="0.25">
      <c r="A1209" s="10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N1209" s="10"/>
      <c r="O1209" s="10"/>
      <c r="P1209" s="10"/>
      <c r="Q1209" s="10"/>
      <c r="R1209" s="10"/>
      <c r="S1209" s="10"/>
      <c r="T1209" s="10"/>
      <c r="U1209" s="10"/>
      <c r="V1209" s="10"/>
      <c r="W1209" s="10"/>
      <c r="X1209" s="10"/>
      <c r="Y1209" s="10"/>
      <c r="Z1209" s="10"/>
      <c r="AA1209" s="10"/>
      <c r="AB1209" s="10"/>
      <c r="AC1209" s="10"/>
      <c r="AD1209" s="10"/>
      <c r="AE1209" s="10"/>
      <c r="AF1209" s="10"/>
      <c r="AG1209" s="10"/>
      <c r="AH1209" s="10"/>
      <c r="AI1209" s="10"/>
      <c r="AJ1209" s="10"/>
      <c r="AK1209" s="10"/>
      <c r="AL1209" s="10"/>
      <c r="AM1209" s="10"/>
      <c r="AN1209" s="10"/>
      <c r="AO1209" s="10"/>
      <c r="AP1209" s="10"/>
      <c r="AQ1209" s="10"/>
      <c r="AR1209" s="10"/>
      <c r="AS1209" s="10"/>
      <c r="AT1209" s="10"/>
      <c r="AU1209" s="10"/>
      <c r="AV1209" s="10"/>
      <c r="AW1209" s="10"/>
      <c r="AX1209" s="10"/>
      <c r="AY1209" s="10"/>
      <c r="AZ1209" s="10"/>
      <c r="BA1209" s="10"/>
    </row>
    <row r="1210" spans="1:53" x14ac:dyDescent="0.25">
      <c r="A1210" s="10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N1210" s="10"/>
      <c r="O1210" s="10"/>
      <c r="P1210" s="10"/>
      <c r="Q1210" s="10"/>
      <c r="R1210" s="10"/>
      <c r="S1210" s="10"/>
      <c r="T1210" s="10"/>
      <c r="U1210" s="10"/>
      <c r="V1210" s="10"/>
      <c r="W1210" s="10"/>
      <c r="X1210" s="10"/>
      <c r="Y1210" s="10"/>
      <c r="Z1210" s="10"/>
      <c r="AA1210" s="10"/>
      <c r="AB1210" s="10"/>
      <c r="AC1210" s="10"/>
      <c r="AD1210" s="10"/>
      <c r="AE1210" s="10"/>
      <c r="AF1210" s="10"/>
      <c r="AG1210" s="10"/>
      <c r="AH1210" s="10"/>
      <c r="AI1210" s="10"/>
      <c r="AJ1210" s="10"/>
      <c r="AK1210" s="10"/>
      <c r="AL1210" s="10"/>
      <c r="AM1210" s="10"/>
      <c r="AN1210" s="10"/>
      <c r="AO1210" s="10"/>
      <c r="AP1210" s="10"/>
      <c r="AQ1210" s="10"/>
      <c r="AR1210" s="10"/>
      <c r="AS1210" s="10"/>
      <c r="AT1210" s="10"/>
      <c r="AU1210" s="10"/>
      <c r="AV1210" s="10"/>
      <c r="AW1210" s="10"/>
      <c r="AX1210" s="10"/>
      <c r="AY1210" s="10"/>
      <c r="AZ1210" s="10"/>
      <c r="BA1210" s="10"/>
    </row>
    <row r="1211" spans="1:53" x14ac:dyDescent="0.25">
      <c r="A1211" s="10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N1211" s="10"/>
      <c r="O1211" s="10"/>
      <c r="P1211" s="10"/>
      <c r="Q1211" s="10"/>
      <c r="R1211" s="10"/>
      <c r="S1211" s="10"/>
      <c r="T1211" s="10"/>
      <c r="U1211" s="10"/>
      <c r="V1211" s="10"/>
      <c r="W1211" s="10"/>
      <c r="X1211" s="10"/>
      <c r="Y1211" s="10"/>
      <c r="Z1211" s="10"/>
      <c r="AA1211" s="10"/>
      <c r="AB1211" s="10"/>
      <c r="AC1211" s="10"/>
      <c r="AD1211" s="10"/>
      <c r="AE1211" s="10"/>
      <c r="AF1211" s="10"/>
      <c r="AG1211" s="10"/>
      <c r="AH1211" s="10"/>
      <c r="AI1211" s="10"/>
      <c r="AJ1211" s="10"/>
      <c r="AK1211" s="10"/>
      <c r="AL1211" s="10"/>
      <c r="AM1211" s="10"/>
      <c r="AN1211" s="10"/>
      <c r="AO1211" s="10"/>
      <c r="AP1211" s="10"/>
      <c r="AQ1211" s="10"/>
      <c r="AR1211" s="10"/>
      <c r="AS1211" s="10"/>
      <c r="AT1211" s="10"/>
      <c r="AU1211" s="10"/>
      <c r="AV1211" s="10"/>
      <c r="AW1211" s="10"/>
      <c r="AX1211" s="10"/>
      <c r="AY1211" s="10"/>
      <c r="AZ1211" s="10"/>
      <c r="BA1211" s="10"/>
    </row>
    <row r="1212" spans="1:53" x14ac:dyDescent="0.25">
      <c r="A1212" s="10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N1212" s="10"/>
      <c r="O1212" s="10"/>
      <c r="P1212" s="10"/>
      <c r="Q1212" s="10"/>
      <c r="R1212" s="10"/>
      <c r="S1212" s="10"/>
      <c r="T1212" s="10"/>
      <c r="U1212" s="10"/>
      <c r="V1212" s="10"/>
      <c r="W1212" s="10"/>
      <c r="X1212" s="10"/>
      <c r="Y1212" s="10"/>
      <c r="Z1212" s="10"/>
      <c r="AA1212" s="10"/>
      <c r="AB1212" s="10"/>
      <c r="AC1212" s="10"/>
      <c r="AD1212" s="10"/>
      <c r="AE1212" s="10"/>
      <c r="AF1212" s="10"/>
      <c r="AG1212" s="10"/>
      <c r="AH1212" s="10"/>
      <c r="AI1212" s="10"/>
      <c r="AJ1212" s="10"/>
      <c r="AK1212" s="10"/>
      <c r="AL1212" s="10"/>
      <c r="AM1212" s="10"/>
      <c r="AN1212" s="10"/>
      <c r="AO1212" s="10"/>
      <c r="AP1212" s="10"/>
      <c r="AQ1212" s="10"/>
      <c r="AR1212" s="10"/>
      <c r="AS1212" s="10"/>
      <c r="AT1212" s="10"/>
      <c r="AU1212" s="10"/>
      <c r="AV1212" s="10"/>
      <c r="AW1212" s="10"/>
      <c r="AX1212" s="10"/>
      <c r="AY1212" s="10"/>
      <c r="AZ1212" s="10"/>
      <c r="BA1212" s="10"/>
    </row>
    <row r="1213" spans="1:53" x14ac:dyDescent="0.25">
      <c r="A1213" s="10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N1213" s="10"/>
      <c r="O1213" s="10"/>
      <c r="P1213" s="10"/>
      <c r="Q1213" s="10"/>
      <c r="R1213" s="10"/>
      <c r="S1213" s="10"/>
      <c r="T1213" s="10"/>
      <c r="U1213" s="10"/>
      <c r="V1213" s="10"/>
      <c r="W1213" s="10"/>
      <c r="X1213" s="10"/>
      <c r="Y1213" s="10"/>
      <c r="Z1213" s="10"/>
      <c r="AA1213" s="10"/>
      <c r="AB1213" s="10"/>
      <c r="AC1213" s="10"/>
      <c r="AD1213" s="10"/>
      <c r="AE1213" s="10"/>
      <c r="AF1213" s="10"/>
      <c r="AG1213" s="10"/>
      <c r="AH1213" s="10"/>
      <c r="AI1213" s="10"/>
      <c r="AJ1213" s="10"/>
      <c r="AK1213" s="10"/>
      <c r="AL1213" s="10"/>
      <c r="AM1213" s="10"/>
      <c r="AN1213" s="10"/>
      <c r="AO1213" s="10"/>
      <c r="AP1213" s="10"/>
      <c r="AQ1213" s="10"/>
      <c r="AR1213" s="10"/>
      <c r="AS1213" s="10"/>
      <c r="AT1213" s="10"/>
      <c r="AU1213" s="10"/>
      <c r="AV1213" s="10"/>
      <c r="AW1213" s="10"/>
      <c r="AX1213" s="10"/>
      <c r="AY1213" s="10"/>
      <c r="AZ1213" s="10"/>
      <c r="BA1213" s="10"/>
    </row>
    <row r="1214" spans="1:53" x14ac:dyDescent="0.25">
      <c r="A1214" s="10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N1214" s="10"/>
      <c r="O1214" s="10"/>
      <c r="P1214" s="10"/>
      <c r="Q1214" s="10"/>
      <c r="R1214" s="10"/>
      <c r="S1214" s="10"/>
      <c r="T1214" s="10"/>
      <c r="U1214" s="10"/>
      <c r="V1214" s="10"/>
      <c r="W1214" s="10"/>
      <c r="X1214" s="10"/>
      <c r="Y1214" s="10"/>
      <c r="Z1214" s="10"/>
      <c r="AA1214" s="10"/>
      <c r="AB1214" s="10"/>
      <c r="AC1214" s="10"/>
      <c r="AD1214" s="10"/>
      <c r="AE1214" s="10"/>
      <c r="AF1214" s="10"/>
      <c r="AG1214" s="10"/>
      <c r="AH1214" s="10"/>
      <c r="AI1214" s="10"/>
      <c r="AJ1214" s="10"/>
      <c r="AK1214" s="10"/>
      <c r="AL1214" s="10"/>
      <c r="AM1214" s="10"/>
      <c r="AN1214" s="10"/>
      <c r="AO1214" s="10"/>
      <c r="AP1214" s="10"/>
      <c r="AQ1214" s="10"/>
      <c r="AR1214" s="10"/>
      <c r="AS1214" s="10"/>
      <c r="AT1214" s="10"/>
      <c r="AU1214" s="10"/>
      <c r="AV1214" s="10"/>
      <c r="AW1214" s="10"/>
      <c r="AX1214" s="10"/>
      <c r="AY1214" s="10"/>
      <c r="AZ1214" s="10"/>
      <c r="BA1214" s="10"/>
    </row>
    <row r="1215" spans="1:53" x14ac:dyDescent="0.25">
      <c r="A1215" s="10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N1215" s="10"/>
      <c r="O1215" s="10"/>
      <c r="P1215" s="10"/>
      <c r="Q1215" s="10"/>
      <c r="R1215" s="10"/>
      <c r="S1215" s="10"/>
      <c r="T1215" s="10"/>
      <c r="U1215" s="10"/>
      <c r="V1215" s="10"/>
      <c r="W1215" s="10"/>
      <c r="X1215" s="10"/>
      <c r="Y1215" s="10"/>
      <c r="Z1215" s="10"/>
      <c r="AA1215" s="10"/>
      <c r="AB1215" s="10"/>
      <c r="AC1215" s="10"/>
      <c r="AD1215" s="10"/>
      <c r="AE1215" s="10"/>
      <c r="AF1215" s="10"/>
      <c r="AG1215" s="10"/>
      <c r="AH1215" s="10"/>
      <c r="AI1215" s="10"/>
      <c r="AJ1215" s="10"/>
      <c r="AK1215" s="10"/>
      <c r="AL1215" s="10"/>
      <c r="AM1215" s="10"/>
      <c r="AN1215" s="10"/>
      <c r="AO1215" s="10"/>
      <c r="AP1215" s="10"/>
      <c r="AQ1215" s="10"/>
      <c r="AR1215" s="10"/>
      <c r="AS1215" s="10"/>
      <c r="AT1215" s="10"/>
      <c r="AU1215" s="10"/>
      <c r="AV1215" s="10"/>
      <c r="AW1215" s="10"/>
      <c r="AX1215" s="10"/>
      <c r="AY1215" s="10"/>
      <c r="AZ1215" s="10"/>
      <c r="BA1215" s="10"/>
    </row>
    <row r="1216" spans="1:53" x14ac:dyDescent="0.25">
      <c r="A1216" s="10"/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10"/>
      <c r="N1216" s="10"/>
      <c r="O1216" s="10"/>
      <c r="P1216" s="10"/>
      <c r="Q1216" s="10"/>
      <c r="R1216" s="10"/>
      <c r="S1216" s="10"/>
      <c r="T1216" s="10"/>
      <c r="U1216" s="10"/>
      <c r="V1216" s="10"/>
      <c r="W1216" s="10"/>
      <c r="X1216" s="10"/>
      <c r="Y1216" s="10"/>
      <c r="Z1216" s="10"/>
      <c r="AA1216" s="10"/>
      <c r="AB1216" s="10"/>
      <c r="AC1216" s="10"/>
      <c r="AD1216" s="10"/>
      <c r="AE1216" s="10"/>
      <c r="AF1216" s="10"/>
      <c r="AG1216" s="10"/>
      <c r="AH1216" s="10"/>
      <c r="AI1216" s="10"/>
      <c r="AJ1216" s="10"/>
      <c r="AK1216" s="10"/>
      <c r="AL1216" s="10"/>
      <c r="AM1216" s="10"/>
      <c r="AN1216" s="10"/>
      <c r="AO1216" s="10"/>
      <c r="AP1216" s="10"/>
      <c r="AQ1216" s="10"/>
      <c r="AR1216" s="10"/>
      <c r="AS1216" s="10"/>
      <c r="AT1216" s="10"/>
      <c r="AU1216" s="10"/>
      <c r="AV1216" s="10"/>
      <c r="AW1216" s="10"/>
      <c r="AX1216" s="10"/>
      <c r="AY1216" s="10"/>
      <c r="AZ1216" s="10"/>
      <c r="BA1216" s="10"/>
    </row>
    <row r="1217" spans="1:53" x14ac:dyDescent="0.25">
      <c r="A1217" s="10"/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10"/>
      <c r="N1217" s="10"/>
      <c r="O1217" s="10"/>
      <c r="P1217" s="10"/>
      <c r="Q1217" s="10"/>
      <c r="R1217" s="10"/>
      <c r="S1217" s="10"/>
      <c r="T1217" s="10"/>
      <c r="U1217" s="10"/>
      <c r="V1217" s="10"/>
      <c r="W1217" s="10"/>
      <c r="X1217" s="10"/>
      <c r="Y1217" s="10"/>
      <c r="Z1217" s="10"/>
      <c r="AA1217" s="10"/>
      <c r="AB1217" s="10"/>
      <c r="AC1217" s="10"/>
      <c r="AD1217" s="10"/>
      <c r="AE1217" s="10"/>
      <c r="AF1217" s="10"/>
      <c r="AG1217" s="10"/>
      <c r="AH1217" s="10"/>
      <c r="AI1217" s="10"/>
      <c r="AJ1217" s="10"/>
      <c r="AK1217" s="10"/>
      <c r="AL1217" s="10"/>
      <c r="AM1217" s="10"/>
      <c r="AN1217" s="10"/>
      <c r="AO1217" s="10"/>
      <c r="AP1217" s="10"/>
      <c r="AQ1217" s="10"/>
      <c r="AR1217" s="10"/>
      <c r="AS1217" s="10"/>
      <c r="AT1217" s="10"/>
      <c r="AU1217" s="10"/>
      <c r="AV1217" s="10"/>
      <c r="AW1217" s="10"/>
      <c r="AX1217" s="10"/>
      <c r="AY1217" s="10"/>
      <c r="AZ1217" s="10"/>
      <c r="BA1217" s="10"/>
    </row>
    <row r="1218" spans="1:53" x14ac:dyDescent="0.25">
      <c r="A1218" s="10"/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10"/>
      <c r="N1218" s="10"/>
      <c r="O1218" s="10"/>
      <c r="P1218" s="10"/>
      <c r="Q1218" s="10"/>
      <c r="R1218" s="10"/>
      <c r="S1218" s="10"/>
      <c r="T1218" s="10"/>
      <c r="U1218" s="10"/>
      <c r="V1218" s="10"/>
      <c r="W1218" s="10"/>
      <c r="X1218" s="10"/>
      <c r="Y1218" s="10"/>
      <c r="Z1218" s="10"/>
      <c r="AA1218" s="10"/>
      <c r="AB1218" s="10"/>
      <c r="AC1218" s="10"/>
      <c r="AD1218" s="10"/>
      <c r="AE1218" s="10"/>
      <c r="AF1218" s="10"/>
      <c r="AG1218" s="10"/>
      <c r="AH1218" s="10"/>
      <c r="AI1218" s="10"/>
      <c r="AJ1218" s="10"/>
      <c r="AK1218" s="10"/>
      <c r="AL1218" s="10"/>
      <c r="AM1218" s="10"/>
      <c r="AN1218" s="10"/>
      <c r="AO1218" s="10"/>
      <c r="AP1218" s="10"/>
      <c r="AQ1218" s="10"/>
      <c r="AR1218" s="10"/>
      <c r="AS1218" s="10"/>
      <c r="AT1218" s="10"/>
      <c r="AU1218" s="10"/>
      <c r="AV1218" s="10"/>
      <c r="AW1218" s="10"/>
      <c r="AX1218" s="10"/>
      <c r="AY1218" s="10"/>
      <c r="AZ1218" s="10"/>
      <c r="BA1218" s="10"/>
    </row>
    <row r="1219" spans="1:53" x14ac:dyDescent="0.25">
      <c r="A1219" s="10"/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10"/>
      <c r="N1219" s="10"/>
      <c r="O1219" s="10"/>
      <c r="P1219" s="10"/>
      <c r="Q1219" s="10"/>
      <c r="R1219" s="10"/>
      <c r="S1219" s="10"/>
      <c r="T1219" s="10"/>
      <c r="U1219" s="10"/>
      <c r="V1219" s="10"/>
      <c r="W1219" s="10"/>
      <c r="X1219" s="10"/>
      <c r="Y1219" s="10"/>
      <c r="Z1219" s="10"/>
      <c r="AA1219" s="10"/>
      <c r="AB1219" s="10"/>
      <c r="AC1219" s="10"/>
      <c r="AD1219" s="10"/>
      <c r="AE1219" s="10"/>
      <c r="AF1219" s="10"/>
      <c r="AG1219" s="10"/>
      <c r="AH1219" s="10"/>
      <c r="AI1219" s="10"/>
      <c r="AJ1219" s="10"/>
      <c r="AK1219" s="10"/>
      <c r="AL1219" s="10"/>
      <c r="AM1219" s="10"/>
      <c r="AN1219" s="10"/>
      <c r="AO1219" s="10"/>
      <c r="AP1219" s="10"/>
      <c r="AQ1219" s="10"/>
      <c r="AR1219" s="10"/>
      <c r="AS1219" s="10"/>
      <c r="AT1219" s="10"/>
      <c r="AU1219" s="10"/>
      <c r="AV1219" s="10"/>
      <c r="AW1219" s="10"/>
      <c r="AX1219" s="10"/>
      <c r="AY1219" s="10"/>
      <c r="AZ1219" s="10"/>
      <c r="BA1219" s="10"/>
    </row>
    <row r="1220" spans="1:53" x14ac:dyDescent="0.25">
      <c r="A1220" s="10"/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10"/>
      <c r="N1220" s="10"/>
      <c r="O1220" s="10"/>
      <c r="P1220" s="10"/>
      <c r="Q1220" s="10"/>
      <c r="R1220" s="10"/>
      <c r="S1220" s="10"/>
      <c r="T1220" s="10"/>
      <c r="U1220" s="10"/>
      <c r="V1220" s="10"/>
      <c r="W1220" s="10"/>
      <c r="X1220" s="10"/>
      <c r="Y1220" s="10"/>
      <c r="Z1220" s="10"/>
      <c r="AA1220" s="10"/>
      <c r="AB1220" s="10"/>
      <c r="AC1220" s="10"/>
      <c r="AD1220" s="10"/>
      <c r="AE1220" s="10"/>
      <c r="AF1220" s="10"/>
      <c r="AG1220" s="10"/>
      <c r="AH1220" s="10"/>
      <c r="AI1220" s="10"/>
      <c r="AJ1220" s="10"/>
      <c r="AK1220" s="10"/>
      <c r="AL1220" s="10"/>
      <c r="AM1220" s="10"/>
      <c r="AN1220" s="10"/>
      <c r="AO1220" s="10"/>
      <c r="AP1220" s="10"/>
      <c r="AQ1220" s="10"/>
      <c r="AR1220" s="10"/>
      <c r="AS1220" s="10"/>
      <c r="AT1220" s="10"/>
      <c r="AU1220" s="10"/>
      <c r="AV1220" s="10"/>
      <c r="AW1220" s="10"/>
      <c r="AX1220" s="10"/>
      <c r="AY1220" s="10"/>
      <c r="AZ1220" s="10"/>
      <c r="BA1220" s="10"/>
    </row>
    <row r="1221" spans="1:53" x14ac:dyDescent="0.25">
      <c r="A1221" s="10"/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10"/>
      <c r="N1221" s="10"/>
      <c r="O1221" s="10"/>
      <c r="P1221" s="10"/>
      <c r="Q1221" s="10"/>
      <c r="R1221" s="10"/>
      <c r="S1221" s="10"/>
      <c r="T1221" s="10"/>
      <c r="U1221" s="10"/>
      <c r="V1221" s="10"/>
      <c r="W1221" s="10"/>
      <c r="X1221" s="10"/>
      <c r="Y1221" s="10"/>
      <c r="Z1221" s="10"/>
      <c r="AA1221" s="10"/>
      <c r="AB1221" s="10"/>
      <c r="AC1221" s="10"/>
      <c r="AD1221" s="10"/>
      <c r="AE1221" s="10"/>
      <c r="AF1221" s="10"/>
      <c r="AG1221" s="10"/>
      <c r="AH1221" s="10"/>
      <c r="AI1221" s="10"/>
      <c r="AJ1221" s="10"/>
      <c r="AK1221" s="10"/>
      <c r="AL1221" s="10"/>
      <c r="AM1221" s="10"/>
      <c r="AN1221" s="10"/>
      <c r="AO1221" s="10"/>
      <c r="AP1221" s="10"/>
      <c r="AQ1221" s="10"/>
      <c r="AR1221" s="10"/>
      <c r="AS1221" s="10"/>
      <c r="AT1221" s="10"/>
      <c r="AU1221" s="10"/>
      <c r="AV1221" s="10"/>
      <c r="AW1221" s="10"/>
      <c r="AX1221" s="10"/>
      <c r="AY1221" s="10"/>
      <c r="AZ1221" s="10"/>
      <c r="BA1221" s="10"/>
    </row>
    <row r="1222" spans="1:53" x14ac:dyDescent="0.25"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N1222" s="10"/>
      <c r="O1222" s="10"/>
      <c r="P1222" s="10"/>
      <c r="Q1222" s="10"/>
      <c r="R1222" s="10"/>
      <c r="S1222" s="10"/>
      <c r="T1222" s="10"/>
      <c r="U1222" s="10"/>
      <c r="V1222" s="10"/>
      <c r="W1222" s="10"/>
      <c r="X1222" s="10"/>
      <c r="Y1222" s="10"/>
      <c r="Z1222" s="10"/>
      <c r="AA1222" s="10"/>
      <c r="AB1222" s="10"/>
      <c r="AC1222" s="10"/>
      <c r="AD1222" s="10"/>
      <c r="AE1222" s="10"/>
      <c r="AF1222" s="10"/>
      <c r="AG1222" s="10"/>
      <c r="AH1222" s="10"/>
      <c r="AI1222" s="10"/>
      <c r="AJ1222" s="10"/>
      <c r="AK1222" s="10"/>
      <c r="AL1222" s="10"/>
      <c r="AM1222" s="10"/>
      <c r="AN1222" s="10"/>
      <c r="AO1222" s="10"/>
      <c r="AP1222" s="10"/>
      <c r="AQ1222" s="10"/>
      <c r="AR1222" s="10"/>
      <c r="AS1222" s="10"/>
      <c r="AT1222" s="10"/>
      <c r="AU1222" s="10"/>
      <c r="AV1222" s="10"/>
      <c r="AW1222" s="10"/>
      <c r="AX1222" s="10"/>
      <c r="AY1222" s="10"/>
      <c r="AZ1222" s="10"/>
      <c r="BA1222" s="1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TextBox1">
          <controlPr defaultSize="0" autoLine="0" autoPict="0" r:id="rId4">
            <anchor moveWithCells="1">
              <from>
                <xdr:col>0</xdr:col>
                <xdr:colOff>9525</xdr:colOff>
                <xdr:row>5</xdr:row>
                <xdr:rowOff>190500</xdr:rowOff>
              </from>
              <to>
                <xdr:col>2</xdr:col>
                <xdr:colOff>800100</xdr:colOff>
                <xdr:row>6</xdr:row>
                <xdr:rowOff>219075</xdr:rowOff>
              </to>
            </anchor>
          </controlPr>
        </control>
      </mc:Choice>
      <mc:Fallback>
        <control shapeId="14340" r:id="rId3" name="TextBox1"/>
      </mc:Fallback>
    </mc:AlternateContent>
    <mc:AlternateContent xmlns:mc="http://schemas.openxmlformats.org/markup-compatibility/2006">
      <mc:Choice Requires="x14">
        <control shapeId="14337" r:id="rId5" name="Button 1">
          <controlPr defaultSize="0" print="0" autoFill="0" autoPict="0" macro="[0]!AÑO2019GUARDAR">
            <anchor moveWithCells="1" sizeWithCells="1">
              <from>
                <xdr:col>3</xdr:col>
                <xdr:colOff>352425</xdr:colOff>
                <xdr:row>7</xdr:row>
                <xdr:rowOff>28575</xdr:rowOff>
              </from>
              <to>
                <xdr:col>4</xdr:col>
                <xdr:colOff>2352675</xdr:colOff>
                <xdr:row>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38" r:id="rId6" name="Button 2">
          <controlPr defaultSize="0" print="0" autoFill="0" autoPict="0" macro="[0]!_xlnm.Database">
            <anchor moveWithCells="1" sizeWithCells="1">
              <from>
                <xdr:col>5</xdr:col>
                <xdr:colOff>0</xdr:colOff>
                <xdr:row>7</xdr:row>
                <xdr:rowOff>28575</xdr:rowOff>
              </from>
              <to>
                <xdr:col>6</xdr:col>
                <xdr:colOff>0</xdr:colOff>
                <xdr:row>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39" r:id="rId7" name="Button 3">
          <controlPr defaultSize="0" print="0" autoFill="0" autoPict="0" macro="[0]!MENU">
            <anchor moveWithCells="1" sizeWithCells="1">
              <from>
                <xdr:col>6</xdr:col>
                <xdr:colOff>9525</xdr:colOff>
                <xdr:row>7</xdr:row>
                <xdr:rowOff>9525</xdr:rowOff>
              </from>
              <to>
                <xdr:col>6</xdr:col>
                <xdr:colOff>752475</xdr:colOff>
                <xdr:row>9</xdr:row>
                <xdr:rowOff>47625</xdr:rowOff>
              </to>
            </anchor>
          </controlPr>
        </control>
      </mc:Choice>
    </mc:AlternateContent>
  </controls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39AF9-A1F8-4CEE-9713-98AF43CFFE61}">
  <sheetPr codeName="Hoja9">
    <tabColor rgb="FF66FFFF"/>
  </sheetPr>
  <dimension ref="A1:P1083"/>
  <sheetViews>
    <sheetView workbookViewId="0">
      <selection activeCell="C11" sqref="C11"/>
    </sheetView>
  </sheetViews>
  <sheetFormatPr baseColWidth="10" defaultRowHeight="15" x14ac:dyDescent="0.25"/>
  <cols>
    <col min="1" max="1" width="51.5703125" customWidth="1"/>
    <col min="2" max="2" width="20.140625" customWidth="1"/>
    <col min="3" max="3" width="12" customWidth="1"/>
    <col min="4" max="4" width="6.42578125" customWidth="1"/>
    <col min="5" max="5" width="36.140625" customWidth="1"/>
    <col min="6" max="6" width="24" customWidth="1"/>
  </cols>
  <sheetData>
    <row r="1" spans="1:16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16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ht="15.75" thickBot="1" x14ac:dyDescent="0.3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 ht="27" thickBot="1" x14ac:dyDescent="0.45">
      <c r="A6" s="11"/>
      <c r="B6" s="11"/>
      <c r="C6" s="11"/>
      <c r="D6" s="11"/>
      <c r="E6" s="52" t="s">
        <v>3</v>
      </c>
      <c r="F6" s="53" t="s">
        <v>1</v>
      </c>
      <c r="G6" s="51" t="s">
        <v>2</v>
      </c>
      <c r="H6" s="11"/>
      <c r="I6" s="11"/>
      <c r="J6" s="11"/>
      <c r="K6" s="11"/>
      <c r="L6" s="11"/>
      <c r="M6" s="11"/>
      <c r="N6" s="11"/>
      <c r="O6" s="11"/>
      <c r="P6" s="11"/>
    </row>
    <row r="7" spans="1:16" ht="19.5" thickBot="1" x14ac:dyDescent="0.35">
      <c r="A7" s="11"/>
      <c r="B7" s="11"/>
      <c r="C7" s="11"/>
      <c r="D7" s="11"/>
      <c r="E7" s="25"/>
      <c r="F7" s="25" t="s">
        <v>31</v>
      </c>
      <c r="G7" s="57" t="s">
        <v>144</v>
      </c>
      <c r="H7" s="11"/>
      <c r="I7" s="11"/>
      <c r="J7" s="11"/>
      <c r="K7" s="11"/>
      <c r="L7" s="11"/>
      <c r="M7" s="11"/>
      <c r="N7" s="11"/>
      <c r="O7" s="11"/>
      <c r="P7" s="11"/>
    </row>
    <row r="8" spans="1:16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</row>
    <row r="9" spans="1:16" x14ac:dyDescent="0.2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</row>
    <row r="10" spans="1:16" ht="15.75" thickBot="1" x14ac:dyDescent="0.3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</row>
    <row r="11" spans="1:16" ht="19.5" thickBot="1" x14ac:dyDescent="0.35">
      <c r="A11" s="89" t="s">
        <v>4</v>
      </c>
      <c r="B11" s="32" t="s">
        <v>1</v>
      </c>
      <c r="C11" s="32" t="s">
        <v>2</v>
      </c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</row>
    <row r="12" spans="1:16" ht="19.5" thickBot="1" x14ac:dyDescent="0.35">
      <c r="A12" s="25" t="s">
        <v>43</v>
      </c>
      <c r="B12" s="33" t="s">
        <v>31</v>
      </c>
      <c r="C12" s="24" t="s">
        <v>118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</row>
    <row r="13" spans="1:16" ht="19.5" thickBot="1" x14ac:dyDescent="0.35">
      <c r="A13" s="25" t="s">
        <v>45</v>
      </c>
      <c r="B13" s="33" t="s">
        <v>31</v>
      </c>
      <c r="C13" s="24" t="s">
        <v>119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</row>
    <row r="14" spans="1:16" ht="19.5" thickBot="1" x14ac:dyDescent="0.35">
      <c r="A14" s="25" t="s">
        <v>34</v>
      </c>
      <c r="B14" s="33" t="s">
        <v>31</v>
      </c>
      <c r="C14" s="24" t="s">
        <v>120</v>
      </c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</row>
    <row r="15" spans="1:16" ht="19.5" customHeight="1" thickBot="1" x14ac:dyDescent="0.45">
      <c r="A15" s="25" t="s">
        <v>51</v>
      </c>
      <c r="B15" s="33" t="s">
        <v>31</v>
      </c>
      <c r="C15" s="24" t="s">
        <v>121</v>
      </c>
      <c r="D15" s="11"/>
      <c r="E15" s="12"/>
      <c r="F15" s="12"/>
      <c r="G15" s="11"/>
      <c r="H15" s="11"/>
      <c r="I15" s="11"/>
      <c r="J15" s="11"/>
      <c r="K15" s="11"/>
      <c r="L15" s="11"/>
      <c r="M15" s="11"/>
      <c r="N15" s="11"/>
      <c r="O15" s="11"/>
      <c r="P15" s="11"/>
    </row>
    <row r="16" spans="1:16" ht="19.5" thickBot="1" x14ac:dyDescent="0.35">
      <c r="A16" s="25" t="s">
        <v>39</v>
      </c>
      <c r="B16" s="33" t="s">
        <v>31</v>
      </c>
      <c r="C16" s="24" t="s">
        <v>122</v>
      </c>
      <c r="D16" s="11"/>
      <c r="E16" s="13"/>
      <c r="F16" s="13"/>
      <c r="G16" s="11"/>
      <c r="H16" s="11"/>
      <c r="I16" s="11"/>
      <c r="J16" s="11"/>
      <c r="K16" s="11"/>
      <c r="L16" s="11"/>
      <c r="M16" s="11"/>
      <c r="N16" s="11"/>
      <c r="O16" s="11"/>
      <c r="P16" s="11"/>
    </row>
    <row r="17" spans="1:16" ht="19.5" thickBot="1" x14ac:dyDescent="0.35">
      <c r="A17" s="25" t="s">
        <v>56</v>
      </c>
      <c r="B17" s="33" t="s">
        <v>31</v>
      </c>
      <c r="C17" s="24" t="s">
        <v>123</v>
      </c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</row>
    <row r="18" spans="1:16" ht="19.5" thickBot="1" x14ac:dyDescent="0.35">
      <c r="A18" s="25" t="s">
        <v>30</v>
      </c>
      <c r="B18" s="33" t="s">
        <v>31</v>
      </c>
      <c r="C18" s="24" t="s">
        <v>124</v>
      </c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</row>
    <row r="19" spans="1:16" ht="19.5" thickBot="1" x14ac:dyDescent="0.35">
      <c r="A19" s="25" t="s">
        <v>36</v>
      </c>
      <c r="B19" s="33" t="s">
        <v>31</v>
      </c>
      <c r="C19" s="24" t="s">
        <v>125</v>
      </c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</row>
    <row r="20" spans="1:16" ht="19.5" thickBot="1" x14ac:dyDescent="0.35">
      <c r="A20" s="25" t="s">
        <v>48</v>
      </c>
      <c r="B20" s="33" t="s">
        <v>31</v>
      </c>
      <c r="C20" s="24" t="s">
        <v>126</v>
      </c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</row>
    <row r="21" spans="1:16" ht="19.5" thickBot="1" x14ac:dyDescent="0.35">
      <c r="A21" s="25" t="s">
        <v>55</v>
      </c>
      <c r="B21" s="33" t="s">
        <v>31</v>
      </c>
      <c r="C21" s="24" t="s">
        <v>127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</row>
    <row r="22" spans="1:16" ht="19.5" thickBot="1" x14ac:dyDescent="0.35">
      <c r="A22" s="25" t="s">
        <v>33</v>
      </c>
      <c r="B22" s="33" t="s">
        <v>31</v>
      </c>
      <c r="C22" s="24" t="s">
        <v>128</v>
      </c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</row>
    <row r="23" spans="1:16" ht="19.5" thickBot="1" x14ac:dyDescent="0.35">
      <c r="A23" s="25" t="s">
        <v>46</v>
      </c>
      <c r="B23" s="33" t="s">
        <v>31</v>
      </c>
      <c r="C23" s="24" t="s">
        <v>129</v>
      </c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</row>
    <row r="24" spans="1:16" ht="19.5" thickBot="1" x14ac:dyDescent="0.35">
      <c r="A24" s="25" t="s">
        <v>32</v>
      </c>
      <c r="B24" s="33" t="s">
        <v>31</v>
      </c>
      <c r="C24" s="24" t="s">
        <v>130</v>
      </c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</row>
    <row r="25" spans="1:16" ht="19.5" thickBot="1" x14ac:dyDescent="0.35">
      <c r="A25" s="25" t="s">
        <v>44</v>
      </c>
      <c r="B25" s="33" t="s">
        <v>31</v>
      </c>
      <c r="C25" s="24" t="s">
        <v>131</v>
      </c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</row>
    <row r="26" spans="1:16" ht="19.5" thickBot="1" x14ac:dyDescent="0.35">
      <c r="A26" s="25" t="s">
        <v>42</v>
      </c>
      <c r="B26" s="33" t="s">
        <v>31</v>
      </c>
      <c r="C26" s="24" t="s">
        <v>132</v>
      </c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</row>
    <row r="27" spans="1:16" ht="19.5" thickBot="1" x14ac:dyDescent="0.35">
      <c r="A27" s="25" t="s">
        <v>40</v>
      </c>
      <c r="B27" s="33" t="s">
        <v>31</v>
      </c>
      <c r="C27" s="24" t="s">
        <v>133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</row>
    <row r="28" spans="1:16" ht="19.5" thickBot="1" x14ac:dyDescent="0.35">
      <c r="A28" s="25" t="s">
        <v>41</v>
      </c>
      <c r="B28" s="33" t="s">
        <v>31</v>
      </c>
      <c r="C28" s="24" t="s">
        <v>134</v>
      </c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</row>
    <row r="29" spans="1:16" ht="19.5" thickBot="1" x14ac:dyDescent="0.35">
      <c r="A29" s="25" t="s">
        <v>50</v>
      </c>
      <c r="B29" s="33" t="s">
        <v>31</v>
      </c>
      <c r="C29" s="24" t="s">
        <v>135</v>
      </c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</row>
    <row r="30" spans="1:16" ht="19.5" thickBot="1" x14ac:dyDescent="0.35">
      <c r="A30" s="25" t="s">
        <v>54</v>
      </c>
      <c r="B30" s="33" t="s">
        <v>31</v>
      </c>
      <c r="C30" s="24" t="s">
        <v>136</v>
      </c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</row>
    <row r="31" spans="1:16" ht="19.5" thickBot="1" x14ac:dyDescent="0.35">
      <c r="A31" s="25" t="s">
        <v>38</v>
      </c>
      <c r="B31" s="33" t="s">
        <v>31</v>
      </c>
      <c r="C31" s="24" t="s">
        <v>137</v>
      </c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</row>
    <row r="32" spans="1:16" ht="19.5" thickBot="1" x14ac:dyDescent="0.35">
      <c r="A32" s="25" t="s">
        <v>52</v>
      </c>
      <c r="B32" s="33" t="s">
        <v>31</v>
      </c>
      <c r="C32" s="24" t="s">
        <v>138</v>
      </c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</row>
    <row r="33" spans="1:16" ht="19.5" thickBot="1" x14ac:dyDescent="0.35">
      <c r="A33" s="25" t="s">
        <v>35</v>
      </c>
      <c r="B33" s="33" t="s">
        <v>31</v>
      </c>
      <c r="C33" s="24" t="s">
        <v>139</v>
      </c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</row>
    <row r="34" spans="1:16" ht="19.5" thickBot="1" x14ac:dyDescent="0.35">
      <c r="A34" s="25" t="s">
        <v>47</v>
      </c>
      <c r="B34" s="33" t="s">
        <v>31</v>
      </c>
      <c r="C34" s="24" t="s">
        <v>140</v>
      </c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</row>
    <row r="35" spans="1:16" ht="19.5" thickBot="1" x14ac:dyDescent="0.35">
      <c r="A35" s="25" t="s">
        <v>53</v>
      </c>
      <c r="B35" s="33" t="s">
        <v>31</v>
      </c>
      <c r="C35" s="24" t="s">
        <v>141</v>
      </c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</row>
    <row r="36" spans="1:16" ht="19.5" thickBot="1" x14ac:dyDescent="0.35">
      <c r="A36" s="25" t="s">
        <v>49</v>
      </c>
      <c r="B36" s="33" t="s">
        <v>31</v>
      </c>
      <c r="C36" s="24" t="s">
        <v>142</v>
      </c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</row>
    <row r="37" spans="1:16" ht="19.5" thickBot="1" x14ac:dyDescent="0.35">
      <c r="A37" s="25" t="s">
        <v>37</v>
      </c>
      <c r="B37" s="33" t="s">
        <v>31</v>
      </c>
      <c r="C37" s="24" t="s">
        <v>143</v>
      </c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</row>
    <row r="38" spans="1:16" ht="19.5" thickBot="1" x14ac:dyDescent="0.35">
      <c r="A38" s="24" t="s">
        <v>9</v>
      </c>
      <c r="B38" s="24"/>
      <c r="C38" s="24">
        <f>SUBTOTAL(103,Tabla4[FICHA])</f>
        <v>26</v>
      </c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</row>
    <row r="39" spans="1:16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</row>
    <row r="40" spans="1:16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</row>
    <row r="41" spans="1:16" ht="26.25" x14ac:dyDescent="0.4">
      <c r="A41" s="11"/>
      <c r="B41" s="11"/>
      <c r="C41" s="11"/>
      <c r="D41" s="11"/>
      <c r="E41" s="12"/>
      <c r="F41" s="12"/>
      <c r="G41" s="11"/>
      <c r="H41" s="11"/>
      <c r="I41" s="11"/>
      <c r="J41" s="11"/>
      <c r="K41" s="11"/>
      <c r="L41" s="11"/>
      <c r="M41" s="11"/>
      <c r="N41" s="11"/>
      <c r="O41" s="11"/>
      <c r="P41" s="11"/>
    </row>
    <row r="42" spans="1:16" ht="18.75" x14ac:dyDescent="0.3">
      <c r="A42" s="11"/>
      <c r="B42" s="11"/>
      <c r="C42" s="11"/>
      <c r="D42" s="11"/>
      <c r="E42" s="13"/>
      <c r="F42" s="13"/>
      <c r="G42" s="11"/>
      <c r="H42" s="11"/>
      <c r="I42" s="11"/>
      <c r="J42" s="11"/>
      <c r="K42" s="11"/>
      <c r="L42" s="11"/>
      <c r="M42" s="11"/>
      <c r="N42" s="11"/>
      <c r="O42" s="11"/>
      <c r="P42" s="11"/>
    </row>
    <row r="43" spans="1:16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</row>
    <row r="44" spans="1:16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</row>
    <row r="45" spans="1:16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</row>
    <row r="46" spans="1:16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</row>
    <row r="47" spans="1:16" x14ac:dyDescent="0.2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</row>
    <row r="48" spans="1:16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</row>
    <row r="49" spans="1:16" x14ac:dyDescent="0.2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</row>
    <row r="50" spans="1:16" x14ac:dyDescent="0.2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</row>
    <row r="51" spans="1:16" x14ac:dyDescent="0.2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</row>
    <row r="52" spans="1:16" x14ac:dyDescent="0.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</row>
    <row r="53" spans="1:16" x14ac:dyDescent="0.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</row>
    <row r="54" spans="1:16" x14ac:dyDescent="0.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</row>
    <row r="55" spans="1:16" x14ac:dyDescent="0.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</row>
    <row r="56" spans="1:16" x14ac:dyDescent="0.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</row>
    <row r="57" spans="1:16" x14ac:dyDescent="0.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</row>
    <row r="58" spans="1:16" x14ac:dyDescent="0.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</row>
    <row r="59" spans="1:16" x14ac:dyDescent="0.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</row>
    <row r="60" spans="1:16" x14ac:dyDescent="0.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</row>
    <row r="61" spans="1:16" x14ac:dyDescent="0.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</row>
    <row r="62" spans="1:16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</row>
    <row r="63" spans="1:16" x14ac:dyDescent="0.2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</row>
    <row r="64" spans="1:16" x14ac:dyDescent="0.2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</row>
    <row r="65" spans="1:16" x14ac:dyDescent="0.2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</row>
    <row r="66" spans="1:16" x14ac:dyDescent="0.2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</row>
    <row r="67" spans="1:16" x14ac:dyDescent="0.2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</row>
    <row r="68" spans="1:16" x14ac:dyDescent="0.2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</row>
    <row r="69" spans="1:16" x14ac:dyDescent="0.2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</row>
    <row r="70" spans="1:16" x14ac:dyDescent="0.2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</row>
    <row r="71" spans="1:16" x14ac:dyDescent="0.2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</row>
    <row r="72" spans="1:16" x14ac:dyDescent="0.2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</row>
    <row r="73" spans="1:16" x14ac:dyDescent="0.2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</row>
    <row r="74" spans="1:16" x14ac:dyDescent="0.2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</row>
    <row r="75" spans="1:16" x14ac:dyDescent="0.2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</row>
    <row r="76" spans="1:16" x14ac:dyDescent="0.2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</row>
    <row r="77" spans="1:16" x14ac:dyDescent="0.2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</row>
    <row r="78" spans="1:16" x14ac:dyDescent="0.2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</row>
    <row r="79" spans="1:16" x14ac:dyDescent="0.2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</row>
    <row r="80" spans="1:16" x14ac:dyDescent="0.2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</row>
    <row r="81" spans="1:16" x14ac:dyDescent="0.2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</row>
    <row r="82" spans="1:16" x14ac:dyDescent="0.2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</row>
    <row r="83" spans="1:16" x14ac:dyDescent="0.2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</row>
    <row r="84" spans="1:16" x14ac:dyDescent="0.2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</row>
    <row r="85" spans="1:16" x14ac:dyDescent="0.2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</row>
    <row r="86" spans="1:16" x14ac:dyDescent="0.2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</row>
    <row r="87" spans="1:16" x14ac:dyDescent="0.2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</row>
    <row r="88" spans="1:16" x14ac:dyDescent="0.2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</row>
    <row r="89" spans="1:16" x14ac:dyDescent="0.2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</row>
    <row r="90" spans="1:16" x14ac:dyDescent="0.2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</row>
    <row r="91" spans="1:16" x14ac:dyDescent="0.2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</row>
    <row r="92" spans="1:16" x14ac:dyDescent="0.2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</row>
    <row r="93" spans="1:16" x14ac:dyDescent="0.2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</row>
    <row r="94" spans="1:16" x14ac:dyDescent="0.2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</row>
    <row r="95" spans="1:16" x14ac:dyDescent="0.2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</row>
    <row r="96" spans="1:16" x14ac:dyDescent="0.2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</row>
    <row r="97" spans="1:16" x14ac:dyDescent="0.2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</row>
    <row r="98" spans="1:16" x14ac:dyDescent="0.2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</row>
    <row r="99" spans="1:16" x14ac:dyDescent="0.2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</row>
    <row r="100" spans="1:16" x14ac:dyDescent="0.25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</row>
    <row r="101" spans="1:16" x14ac:dyDescent="0.25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</row>
    <row r="102" spans="1:16" x14ac:dyDescent="0.25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</row>
    <row r="103" spans="1:16" x14ac:dyDescent="0.25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</row>
    <row r="104" spans="1:16" x14ac:dyDescent="0.25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</row>
    <row r="105" spans="1:16" x14ac:dyDescent="0.25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</row>
    <row r="106" spans="1:16" x14ac:dyDescent="0.25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</row>
    <row r="107" spans="1:16" x14ac:dyDescent="0.25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</row>
    <row r="108" spans="1:16" x14ac:dyDescent="0.25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</row>
    <row r="109" spans="1:16" x14ac:dyDescent="0.25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</row>
    <row r="110" spans="1:16" x14ac:dyDescent="0.25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</row>
    <row r="111" spans="1:16" x14ac:dyDescent="0.25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</row>
    <row r="112" spans="1:16" x14ac:dyDescent="0.25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</row>
    <row r="113" spans="1:16" x14ac:dyDescent="0.25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</row>
    <row r="114" spans="1:16" x14ac:dyDescent="0.25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</row>
    <row r="115" spans="1:16" x14ac:dyDescent="0.25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</row>
    <row r="116" spans="1:16" x14ac:dyDescent="0.25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</row>
    <row r="117" spans="1:16" x14ac:dyDescent="0.2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</row>
    <row r="118" spans="1:16" x14ac:dyDescent="0.25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</row>
    <row r="119" spans="1:16" x14ac:dyDescent="0.25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</row>
    <row r="120" spans="1:16" x14ac:dyDescent="0.25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</row>
    <row r="121" spans="1:16" x14ac:dyDescent="0.25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</row>
    <row r="122" spans="1:16" x14ac:dyDescent="0.25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</row>
    <row r="123" spans="1:16" x14ac:dyDescent="0.25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</row>
    <row r="124" spans="1:16" x14ac:dyDescent="0.25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</row>
    <row r="125" spans="1:16" x14ac:dyDescent="0.25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</row>
    <row r="126" spans="1:16" x14ac:dyDescent="0.25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</row>
    <row r="127" spans="1:16" x14ac:dyDescent="0.25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</row>
    <row r="128" spans="1:16" x14ac:dyDescent="0.25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</row>
    <row r="129" spans="1:16" x14ac:dyDescent="0.25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</row>
    <row r="130" spans="1:16" x14ac:dyDescent="0.25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</row>
    <row r="131" spans="1:16" x14ac:dyDescent="0.25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</row>
    <row r="132" spans="1:16" x14ac:dyDescent="0.25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</row>
    <row r="133" spans="1:16" x14ac:dyDescent="0.25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</row>
    <row r="134" spans="1:16" x14ac:dyDescent="0.25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</row>
    <row r="135" spans="1:16" x14ac:dyDescent="0.25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</row>
    <row r="136" spans="1:16" x14ac:dyDescent="0.25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</row>
    <row r="137" spans="1:16" x14ac:dyDescent="0.25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</row>
    <row r="138" spans="1:16" x14ac:dyDescent="0.25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</row>
    <row r="139" spans="1:16" x14ac:dyDescent="0.25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</row>
    <row r="140" spans="1:16" x14ac:dyDescent="0.25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</row>
    <row r="141" spans="1:16" x14ac:dyDescent="0.25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</row>
    <row r="142" spans="1:16" x14ac:dyDescent="0.25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</row>
    <row r="143" spans="1:16" x14ac:dyDescent="0.25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</row>
    <row r="144" spans="1:16" x14ac:dyDescent="0.25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</row>
    <row r="145" spans="1:16" x14ac:dyDescent="0.25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</row>
    <row r="146" spans="1:16" x14ac:dyDescent="0.25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</row>
    <row r="147" spans="1:16" x14ac:dyDescent="0.25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</row>
    <row r="148" spans="1:16" x14ac:dyDescent="0.25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</row>
    <row r="149" spans="1:16" x14ac:dyDescent="0.25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</row>
    <row r="150" spans="1:16" x14ac:dyDescent="0.25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</row>
    <row r="151" spans="1:16" x14ac:dyDescent="0.25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</row>
    <row r="152" spans="1:16" x14ac:dyDescent="0.25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</row>
    <row r="153" spans="1:16" x14ac:dyDescent="0.25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</row>
    <row r="154" spans="1:16" x14ac:dyDescent="0.25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</row>
    <row r="155" spans="1:16" x14ac:dyDescent="0.25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</row>
    <row r="156" spans="1:16" x14ac:dyDescent="0.25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</row>
    <row r="157" spans="1:16" x14ac:dyDescent="0.25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</row>
    <row r="158" spans="1:16" x14ac:dyDescent="0.25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</row>
    <row r="159" spans="1:16" x14ac:dyDescent="0.25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</row>
    <row r="160" spans="1:16" x14ac:dyDescent="0.25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</row>
    <row r="161" spans="1:16" x14ac:dyDescent="0.25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</row>
    <row r="162" spans="1:16" x14ac:dyDescent="0.25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</row>
    <row r="163" spans="1:16" x14ac:dyDescent="0.25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</row>
    <row r="164" spans="1:16" x14ac:dyDescent="0.25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</row>
    <row r="165" spans="1:16" x14ac:dyDescent="0.25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</row>
    <row r="166" spans="1:16" x14ac:dyDescent="0.25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</row>
    <row r="167" spans="1:16" x14ac:dyDescent="0.25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</row>
    <row r="168" spans="1:16" x14ac:dyDescent="0.25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</row>
    <row r="169" spans="1:16" x14ac:dyDescent="0.25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</row>
    <row r="170" spans="1:16" x14ac:dyDescent="0.25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</row>
    <row r="171" spans="1:16" x14ac:dyDescent="0.25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</row>
    <row r="172" spans="1:16" x14ac:dyDescent="0.25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</row>
    <row r="173" spans="1:16" x14ac:dyDescent="0.25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</row>
    <row r="174" spans="1:16" x14ac:dyDescent="0.25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</row>
    <row r="175" spans="1:16" x14ac:dyDescent="0.25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</row>
    <row r="176" spans="1:16" x14ac:dyDescent="0.25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</row>
    <row r="177" spans="1:16" x14ac:dyDescent="0.25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</row>
    <row r="178" spans="1:16" x14ac:dyDescent="0.25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</row>
    <row r="179" spans="1:16" x14ac:dyDescent="0.25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</row>
    <row r="180" spans="1:16" x14ac:dyDescent="0.25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</row>
    <row r="181" spans="1:16" x14ac:dyDescent="0.25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</row>
    <row r="182" spans="1:16" x14ac:dyDescent="0.25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</row>
    <row r="183" spans="1:16" x14ac:dyDescent="0.25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</row>
    <row r="184" spans="1:16" x14ac:dyDescent="0.25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</row>
    <row r="185" spans="1:16" x14ac:dyDescent="0.25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</row>
    <row r="186" spans="1:16" x14ac:dyDescent="0.25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</row>
    <row r="187" spans="1:16" x14ac:dyDescent="0.25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</row>
    <row r="188" spans="1:16" x14ac:dyDescent="0.25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</row>
    <row r="189" spans="1:16" x14ac:dyDescent="0.25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</row>
    <row r="190" spans="1:16" x14ac:dyDescent="0.25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</row>
    <row r="191" spans="1:16" x14ac:dyDescent="0.25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</row>
    <row r="192" spans="1:16" x14ac:dyDescent="0.25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</row>
    <row r="193" spans="1:16" x14ac:dyDescent="0.25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</row>
    <row r="194" spans="1:16" x14ac:dyDescent="0.25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</row>
    <row r="195" spans="1:16" x14ac:dyDescent="0.25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</row>
    <row r="196" spans="1:16" x14ac:dyDescent="0.25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</row>
    <row r="197" spans="1:16" x14ac:dyDescent="0.25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</row>
    <row r="198" spans="1:16" x14ac:dyDescent="0.25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</row>
    <row r="199" spans="1:16" x14ac:dyDescent="0.25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</row>
    <row r="200" spans="1:16" x14ac:dyDescent="0.25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</row>
    <row r="201" spans="1:16" x14ac:dyDescent="0.25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</row>
    <row r="202" spans="1:16" x14ac:dyDescent="0.25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</row>
    <row r="203" spans="1:16" x14ac:dyDescent="0.25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</row>
    <row r="204" spans="1:16" x14ac:dyDescent="0.25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</row>
    <row r="205" spans="1:16" x14ac:dyDescent="0.25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</row>
    <row r="206" spans="1:16" x14ac:dyDescent="0.25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</row>
    <row r="207" spans="1:16" x14ac:dyDescent="0.25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</row>
    <row r="208" spans="1:16" x14ac:dyDescent="0.25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</row>
    <row r="209" spans="1:16" x14ac:dyDescent="0.25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</row>
    <row r="210" spans="1:16" x14ac:dyDescent="0.25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</row>
    <row r="211" spans="1:16" x14ac:dyDescent="0.25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</row>
    <row r="212" spans="1:16" x14ac:dyDescent="0.25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</row>
    <row r="213" spans="1:16" x14ac:dyDescent="0.25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</row>
    <row r="214" spans="1:16" x14ac:dyDescent="0.25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</row>
    <row r="215" spans="1:16" x14ac:dyDescent="0.25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</row>
    <row r="216" spans="1:16" x14ac:dyDescent="0.25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</row>
    <row r="217" spans="1:16" x14ac:dyDescent="0.25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</row>
    <row r="218" spans="1:16" x14ac:dyDescent="0.25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</row>
    <row r="219" spans="1:16" x14ac:dyDescent="0.25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</row>
    <row r="220" spans="1:16" x14ac:dyDescent="0.25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</row>
    <row r="221" spans="1:16" x14ac:dyDescent="0.25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</row>
    <row r="222" spans="1:16" x14ac:dyDescent="0.25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</row>
    <row r="223" spans="1:16" x14ac:dyDescent="0.25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</row>
    <row r="224" spans="1:16" x14ac:dyDescent="0.25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</row>
    <row r="225" spans="1:16" x14ac:dyDescent="0.25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</row>
    <row r="226" spans="1:16" x14ac:dyDescent="0.25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</row>
    <row r="227" spans="1:16" x14ac:dyDescent="0.25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</row>
    <row r="228" spans="1:16" x14ac:dyDescent="0.25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</row>
    <row r="229" spans="1:16" x14ac:dyDescent="0.25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</row>
    <row r="230" spans="1:16" x14ac:dyDescent="0.25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</row>
    <row r="231" spans="1:16" x14ac:dyDescent="0.25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</row>
    <row r="232" spans="1:16" x14ac:dyDescent="0.25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</row>
    <row r="233" spans="1:16" x14ac:dyDescent="0.25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</row>
    <row r="234" spans="1:16" x14ac:dyDescent="0.25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</row>
    <row r="235" spans="1:16" x14ac:dyDescent="0.25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</row>
    <row r="236" spans="1:16" x14ac:dyDescent="0.25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</row>
    <row r="237" spans="1:16" x14ac:dyDescent="0.25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</row>
    <row r="238" spans="1:16" x14ac:dyDescent="0.25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</row>
    <row r="239" spans="1:16" x14ac:dyDescent="0.25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</row>
    <row r="240" spans="1:16" x14ac:dyDescent="0.25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</row>
    <row r="241" spans="1:16" x14ac:dyDescent="0.25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</row>
    <row r="242" spans="1:16" x14ac:dyDescent="0.25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</row>
    <row r="243" spans="1:16" x14ac:dyDescent="0.25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</row>
    <row r="244" spans="1:16" x14ac:dyDescent="0.25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</row>
    <row r="245" spans="1:16" x14ac:dyDescent="0.25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</row>
    <row r="246" spans="1:16" x14ac:dyDescent="0.25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</row>
    <row r="247" spans="1:16" x14ac:dyDescent="0.25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</row>
    <row r="248" spans="1:16" x14ac:dyDescent="0.25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</row>
    <row r="249" spans="1:16" x14ac:dyDescent="0.25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</row>
    <row r="250" spans="1:16" x14ac:dyDescent="0.25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</row>
    <row r="251" spans="1:16" x14ac:dyDescent="0.25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</row>
    <row r="252" spans="1:16" x14ac:dyDescent="0.25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</row>
    <row r="253" spans="1:16" x14ac:dyDescent="0.25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</row>
    <row r="254" spans="1:16" x14ac:dyDescent="0.25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</row>
    <row r="255" spans="1:16" x14ac:dyDescent="0.25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</row>
    <row r="256" spans="1:16" x14ac:dyDescent="0.25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</row>
    <row r="257" spans="1:16" x14ac:dyDescent="0.25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</row>
    <row r="258" spans="1:16" x14ac:dyDescent="0.25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</row>
    <row r="259" spans="1:16" x14ac:dyDescent="0.25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</row>
    <row r="260" spans="1:16" x14ac:dyDescent="0.25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</row>
    <row r="261" spans="1:16" x14ac:dyDescent="0.25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</row>
    <row r="262" spans="1:16" x14ac:dyDescent="0.25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</row>
    <row r="263" spans="1:16" x14ac:dyDescent="0.25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</row>
    <row r="264" spans="1:16" x14ac:dyDescent="0.25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</row>
    <row r="265" spans="1:16" x14ac:dyDescent="0.25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</row>
    <row r="266" spans="1:16" x14ac:dyDescent="0.25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</row>
    <row r="267" spans="1:16" x14ac:dyDescent="0.25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</row>
    <row r="268" spans="1:16" x14ac:dyDescent="0.25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</row>
    <row r="269" spans="1:16" x14ac:dyDescent="0.25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</row>
    <row r="270" spans="1:16" x14ac:dyDescent="0.25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</row>
    <row r="271" spans="1:16" x14ac:dyDescent="0.25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</row>
    <row r="272" spans="1:16" x14ac:dyDescent="0.25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</row>
    <row r="273" spans="1:16" x14ac:dyDescent="0.25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</row>
    <row r="274" spans="1:16" x14ac:dyDescent="0.25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</row>
    <row r="275" spans="1:16" x14ac:dyDescent="0.25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</row>
    <row r="276" spans="1:16" x14ac:dyDescent="0.25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</row>
    <row r="277" spans="1:16" x14ac:dyDescent="0.25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</row>
    <row r="278" spans="1:16" x14ac:dyDescent="0.25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</row>
    <row r="279" spans="1:16" x14ac:dyDescent="0.25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</row>
    <row r="280" spans="1:16" x14ac:dyDescent="0.25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</row>
    <row r="281" spans="1:16" x14ac:dyDescent="0.25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</row>
    <row r="282" spans="1:16" x14ac:dyDescent="0.25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</row>
    <row r="283" spans="1:16" x14ac:dyDescent="0.25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</row>
    <row r="284" spans="1:16" x14ac:dyDescent="0.25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</row>
    <row r="285" spans="1:16" x14ac:dyDescent="0.25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</row>
    <row r="286" spans="1:16" x14ac:dyDescent="0.25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</row>
    <row r="287" spans="1:16" x14ac:dyDescent="0.25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</row>
    <row r="288" spans="1:16" x14ac:dyDescent="0.25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</row>
    <row r="289" spans="1:16" x14ac:dyDescent="0.25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</row>
    <row r="290" spans="1:16" x14ac:dyDescent="0.25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</row>
    <row r="291" spans="1:16" x14ac:dyDescent="0.25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</row>
    <row r="292" spans="1:16" x14ac:dyDescent="0.25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</row>
    <row r="293" spans="1:16" x14ac:dyDescent="0.25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</row>
    <row r="294" spans="1:16" x14ac:dyDescent="0.25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</row>
    <row r="295" spans="1:16" x14ac:dyDescent="0.25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</row>
    <row r="296" spans="1:16" x14ac:dyDescent="0.25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</row>
    <row r="297" spans="1:16" x14ac:dyDescent="0.25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</row>
    <row r="298" spans="1:16" x14ac:dyDescent="0.25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</row>
    <row r="299" spans="1:16" x14ac:dyDescent="0.25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</row>
    <row r="300" spans="1:16" x14ac:dyDescent="0.25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</row>
    <row r="301" spans="1:16" x14ac:dyDescent="0.25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</row>
    <row r="302" spans="1:16" x14ac:dyDescent="0.25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</row>
    <row r="303" spans="1:16" x14ac:dyDescent="0.25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</row>
    <row r="304" spans="1:16" x14ac:dyDescent="0.25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</row>
    <row r="305" spans="1:16" x14ac:dyDescent="0.25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</row>
    <row r="306" spans="1:16" x14ac:dyDescent="0.25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</row>
    <row r="307" spans="1:16" x14ac:dyDescent="0.25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</row>
    <row r="308" spans="1:16" x14ac:dyDescent="0.25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</row>
    <row r="309" spans="1:16" x14ac:dyDescent="0.25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</row>
    <row r="310" spans="1:16" x14ac:dyDescent="0.25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</row>
    <row r="311" spans="1:16" x14ac:dyDescent="0.25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</row>
    <row r="312" spans="1:16" x14ac:dyDescent="0.25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</row>
    <row r="313" spans="1:16" x14ac:dyDescent="0.25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</row>
    <row r="314" spans="1:16" x14ac:dyDescent="0.25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</row>
    <row r="315" spans="1:16" x14ac:dyDescent="0.25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</row>
    <row r="316" spans="1:16" x14ac:dyDescent="0.25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</row>
    <row r="317" spans="1:16" x14ac:dyDescent="0.25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</row>
    <row r="318" spans="1:16" x14ac:dyDescent="0.25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</row>
    <row r="319" spans="1:16" x14ac:dyDescent="0.25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</row>
    <row r="320" spans="1:16" x14ac:dyDescent="0.25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</row>
    <row r="321" spans="1:16" x14ac:dyDescent="0.25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</row>
    <row r="322" spans="1:16" x14ac:dyDescent="0.25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</row>
    <row r="323" spans="1:16" x14ac:dyDescent="0.25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</row>
    <row r="324" spans="1:16" x14ac:dyDescent="0.25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</row>
    <row r="325" spans="1:16" x14ac:dyDescent="0.25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</row>
    <row r="326" spans="1:16" x14ac:dyDescent="0.25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</row>
    <row r="327" spans="1:16" x14ac:dyDescent="0.25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</row>
    <row r="328" spans="1:16" x14ac:dyDescent="0.25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</row>
    <row r="329" spans="1:16" x14ac:dyDescent="0.25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</row>
    <row r="330" spans="1:16" x14ac:dyDescent="0.25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</row>
    <row r="331" spans="1:16" x14ac:dyDescent="0.25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</row>
    <row r="332" spans="1:16" x14ac:dyDescent="0.25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</row>
    <row r="333" spans="1:16" x14ac:dyDescent="0.25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</row>
    <row r="334" spans="1:16" x14ac:dyDescent="0.25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</row>
    <row r="335" spans="1:16" x14ac:dyDescent="0.25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</row>
    <row r="336" spans="1:16" x14ac:dyDescent="0.25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</row>
    <row r="337" spans="1:16" x14ac:dyDescent="0.25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</row>
    <row r="338" spans="1:16" x14ac:dyDescent="0.25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</row>
    <row r="339" spans="1:16" x14ac:dyDescent="0.25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</row>
    <row r="340" spans="1:16" x14ac:dyDescent="0.25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</row>
    <row r="341" spans="1:16" x14ac:dyDescent="0.25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</row>
    <row r="342" spans="1:16" x14ac:dyDescent="0.25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</row>
    <row r="343" spans="1:16" x14ac:dyDescent="0.25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</row>
    <row r="344" spans="1:16" x14ac:dyDescent="0.25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</row>
    <row r="345" spans="1:16" x14ac:dyDescent="0.25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</row>
    <row r="346" spans="1:16" x14ac:dyDescent="0.25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</row>
    <row r="347" spans="1:16" x14ac:dyDescent="0.25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</row>
    <row r="348" spans="1:16" x14ac:dyDescent="0.25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</row>
    <row r="349" spans="1:16" x14ac:dyDescent="0.25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</row>
    <row r="350" spans="1:16" x14ac:dyDescent="0.25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</row>
    <row r="351" spans="1:16" x14ac:dyDescent="0.25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</row>
    <row r="352" spans="1:16" x14ac:dyDescent="0.25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</row>
    <row r="353" spans="1:16" x14ac:dyDescent="0.25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</row>
    <row r="354" spans="1:16" x14ac:dyDescent="0.25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</row>
    <row r="355" spans="1:16" x14ac:dyDescent="0.25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</row>
    <row r="356" spans="1:16" x14ac:dyDescent="0.25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</row>
    <row r="357" spans="1:16" x14ac:dyDescent="0.25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</row>
    <row r="358" spans="1:16" x14ac:dyDescent="0.25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</row>
    <row r="359" spans="1:16" x14ac:dyDescent="0.25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</row>
    <row r="360" spans="1:16" x14ac:dyDescent="0.25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</row>
    <row r="361" spans="1:16" x14ac:dyDescent="0.25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</row>
    <row r="362" spans="1:16" x14ac:dyDescent="0.25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</row>
    <row r="363" spans="1:16" x14ac:dyDescent="0.25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</row>
    <row r="364" spans="1:16" x14ac:dyDescent="0.25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</row>
    <row r="365" spans="1:16" x14ac:dyDescent="0.25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</row>
    <row r="366" spans="1:16" x14ac:dyDescent="0.25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</row>
    <row r="367" spans="1:16" x14ac:dyDescent="0.25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</row>
    <row r="368" spans="1:16" x14ac:dyDescent="0.25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</row>
    <row r="369" spans="1:16" x14ac:dyDescent="0.25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</row>
    <row r="370" spans="1:16" x14ac:dyDescent="0.25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</row>
    <row r="371" spans="1:16" x14ac:dyDescent="0.25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</row>
    <row r="372" spans="1:16" x14ac:dyDescent="0.25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</row>
    <row r="373" spans="1:16" x14ac:dyDescent="0.25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</row>
    <row r="374" spans="1:16" x14ac:dyDescent="0.25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</row>
    <row r="375" spans="1:16" x14ac:dyDescent="0.25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</row>
    <row r="376" spans="1:16" x14ac:dyDescent="0.25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</row>
    <row r="377" spans="1:16" x14ac:dyDescent="0.25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</row>
    <row r="378" spans="1:16" x14ac:dyDescent="0.25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</row>
    <row r="379" spans="1:16" x14ac:dyDescent="0.25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</row>
    <row r="380" spans="1:16" x14ac:dyDescent="0.25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</row>
    <row r="381" spans="1:16" x14ac:dyDescent="0.25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</row>
    <row r="382" spans="1:16" x14ac:dyDescent="0.25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</row>
    <row r="383" spans="1:16" x14ac:dyDescent="0.25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</row>
    <row r="384" spans="1:16" x14ac:dyDescent="0.25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</row>
    <row r="385" spans="1:16" x14ac:dyDescent="0.25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</row>
    <row r="386" spans="1:16" x14ac:dyDescent="0.25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</row>
    <row r="387" spans="1:16" x14ac:dyDescent="0.25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</row>
    <row r="388" spans="1:16" x14ac:dyDescent="0.25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</row>
    <row r="389" spans="1:16" x14ac:dyDescent="0.25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</row>
    <row r="390" spans="1:16" x14ac:dyDescent="0.25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</row>
    <row r="391" spans="1:16" x14ac:dyDescent="0.25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</row>
    <row r="392" spans="1:16" x14ac:dyDescent="0.25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</row>
    <row r="393" spans="1:16" x14ac:dyDescent="0.25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</row>
    <row r="394" spans="1:16" x14ac:dyDescent="0.25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</row>
    <row r="395" spans="1:16" x14ac:dyDescent="0.25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</row>
    <row r="396" spans="1:16" x14ac:dyDescent="0.25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</row>
    <row r="397" spans="1:16" x14ac:dyDescent="0.25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</row>
    <row r="398" spans="1:16" x14ac:dyDescent="0.25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</row>
    <row r="399" spans="1:16" x14ac:dyDescent="0.25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</row>
    <row r="400" spans="1:16" x14ac:dyDescent="0.25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</row>
    <row r="401" spans="1:16" x14ac:dyDescent="0.25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</row>
    <row r="402" spans="1:16" x14ac:dyDescent="0.25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</row>
    <row r="403" spans="1:16" x14ac:dyDescent="0.25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</row>
    <row r="404" spans="1:16" x14ac:dyDescent="0.25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</row>
    <row r="405" spans="1:16" x14ac:dyDescent="0.25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</row>
    <row r="406" spans="1:16" x14ac:dyDescent="0.25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</row>
    <row r="407" spans="1:16" x14ac:dyDescent="0.25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</row>
    <row r="408" spans="1:16" x14ac:dyDescent="0.25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</row>
    <row r="409" spans="1:16" x14ac:dyDescent="0.25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</row>
    <row r="410" spans="1:16" x14ac:dyDescent="0.25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</row>
    <row r="411" spans="1:16" x14ac:dyDescent="0.25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</row>
    <row r="412" spans="1:16" x14ac:dyDescent="0.25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</row>
    <row r="413" spans="1:16" x14ac:dyDescent="0.25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</row>
    <row r="414" spans="1:16" x14ac:dyDescent="0.25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</row>
    <row r="415" spans="1:16" x14ac:dyDescent="0.25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</row>
    <row r="416" spans="1:16" x14ac:dyDescent="0.25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</row>
    <row r="417" spans="1:16" x14ac:dyDescent="0.25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</row>
    <row r="418" spans="1:16" x14ac:dyDescent="0.25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</row>
    <row r="419" spans="1:16" x14ac:dyDescent="0.25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</row>
    <row r="420" spans="1:16" x14ac:dyDescent="0.25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</row>
    <row r="421" spans="1:16" x14ac:dyDescent="0.25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</row>
    <row r="422" spans="1:16" x14ac:dyDescent="0.25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</row>
    <row r="423" spans="1:16" x14ac:dyDescent="0.25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</row>
    <row r="424" spans="1:16" x14ac:dyDescent="0.25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</row>
    <row r="425" spans="1:16" x14ac:dyDescent="0.25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</row>
    <row r="426" spans="1:16" x14ac:dyDescent="0.25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</row>
    <row r="427" spans="1:16" x14ac:dyDescent="0.25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</row>
    <row r="428" spans="1:16" x14ac:dyDescent="0.25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</row>
    <row r="429" spans="1:16" x14ac:dyDescent="0.25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</row>
    <row r="430" spans="1:16" x14ac:dyDescent="0.25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</row>
    <row r="431" spans="1:16" x14ac:dyDescent="0.25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</row>
    <row r="432" spans="1:16" x14ac:dyDescent="0.25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</row>
    <row r="433" spans="1:16" x14ac:dyDescent="0.25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</row>
    <row r="434" spans="1:16" x14ac:dyDescent="0.25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</row>
    <row r="435" spans="1:16" x14ac:dyDescent="0.25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</row>
    <row r="436" spans="1:16" x14ac:dyDescent="0.25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</row>
    <row r="437" spans="1:16" x14ac:dyDescent="0.25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</row>
    <row r="438" spans="1:16" x14ac:dyDescent="0.25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</row>
    <row r="439" spans="1:16" x14ac:dyDescent="0.25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</row>
    <row r="440" spans="1:16" x14ac:dyDescent="0.25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</row>
    <row r="441" spans="1:16" x14ac:dyDescent="0.25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</row>
    <row r="442" spans="1:16" x14ac:dyDescent="0.25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</row>
    <row r="443" spans="1:16" x14ac:dyDescent="0.25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</row>
    <row r="444" spans="1:16" x14ac:dyDescent="0.25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</row>
    <row r="445" spans="1:16" x14ac:dyDescent="0.25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</row>
    <row r="446" spans="1:16" x14ac:dyDescent="0.25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</row>
    <row r="447" spans="1:16" x14ac:dyDescent="0.25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</row>
    <row r="448" spans="1:16" x14ac:dyDescent="0.25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</row>
    <row r="449" spans="1:16" x14ac:dyDescent="0.25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</row>
    <row r="450" spans="1:16" x14ac:dyDescent="0.25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</row>
    <row r="451" spans="1:16" x14ac:dyDescent="0.25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</row>
    <row r="452" spans="1:16" x14ac:dyDescent="0.25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</row>
    <row r="453" spans="1:16" x14ac:dyDescent="0.25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</row>
    <row r="454" spans="1:16" x14ac:dyDescent="0.25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</row>
    <row r="455" spans="1:16" x14ac:dyDescent="0.25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</row>
    <row r="456" spans="1:16" x14ac:dyDescent="0.25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</row>
    <row r="457" spans="1:16" x14ac:dyDescent="0.25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</row>
    <row r="458" spans="1:16" x14ac:dyDescent="0.25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</row>
    <row r="459" spans="1:16" x14ac:dyDescent="0.25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</row>
    <row r="460" spans="1:16" x14ac:dyDescent="0.25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</row>
    <row r="461" spans="1:16" x14ac:dyDescent="0.25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</row>
    <row r="462" spans="1:16" x14ac:dyDescent="0.25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</row>
    <row r="463" spans="1:16" x14ac:dyDescent="0.25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</row>
    <row r="464" spans="1:16" x14ac:dyDescent="0.25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</row>
    <row r="465" spans="1:16" x14ac:dyDescent="0.25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</row>
    <row r="466" spans="1:16" x14ac:dyDescent="0.25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</row>
    <row r="467" spans="1:16" x14ac:dyDescent="0.25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</row>
    <row r="468" spans="1:16" x14ac:dyDescent="0.25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</row>
    <row r="469" spans="1:16" x14ac:dyDescent="0.25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</row>
    <row r="470" spans="1:16" x14ac:dyDescent="0.25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</row>
    <row r="471" spans="1:16" x14ac:dyDescent="0.25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</row>
    <row r="472" spans="1:16" x14ac:dyDescent="0.25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</row>
    <row r="473" spans="1:16" x14ac:dyDescent="0.25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</row>
    <row r="474" spans="1:16" x14ac:dyDescent="0.25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</row>
    <row r="475" spans="1:16" x14ac:dyDescent="0.25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</row>
    <row r="476" spans="1:16" x14ac:dyDescent="0.25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</row>
    <row r="477" spans="1:16" x14ac:dyDescent="0.25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</row>
    <row r="478" spans="1:16" x14ac:dyDescent="0.25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</row>
    <row r="479" spans="1:16" x14ac:dyDescent="0.25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</row>
    <row r="480" spans="1:16" x14ac:dyDescent="0.25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</row>
    <row r="481" spans="1:16" x14ac:dyDescent="0.25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</row>
    <row r="482" spans="1:16" x14ac:dyDescent="0.25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</row>
    <row r="483" spans="1:16" x14ac:dyDescent="0.25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</row>
    <row r="484" spans="1:16" x14ac:dyDescent="0.25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</row>
    <row r="485" spans="1:16" x14ac:dyDescent="0.25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</row>
    <row r="486" spans="1:16" x14ac:dyDescent="0.25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</row>
    <row r="487" spans="1:16" x14ac:dyDescent="0.25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</row>
    <row r="488" spans="1:16" x14ac:dyDescent="0.25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</row>
    <row r="489" spans="1:16" x14ac:dyDescent="0.25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</row>
    <row r="490" spans="1:16" x14ac:dyDescent="0.25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</row>
    <row r="491" spans="1:16" x14ac:dyDescent="0.25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</row>
    <row r="492" spans="1:16" x14ac:dyDescent="0.25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</row>
    <row r="493" spans="1:16" x14ac:dyDescent="0.25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</row>
    <row r="494" spans="1:16" x14ac:dyDescent="0.25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</row>
    <row r="495" spans="1:16" x14ac:dyDescent="0.25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</row>
    <row r="496" spans="1:16" x14ac:dyDescent="0.25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</row>
    <row r="497" spans="1:16" x14ac:dyDescent="0.25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</row>
    <row r="498" spans="1:16" x14ac:dyDescent="0.25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</row>
    <row r="499" spans="1:16" x14ac:dyDescent="0.25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</row>
    <row r="500" spans="1:16" x14ac:dyDescent="0.25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</row>
    <row r="501" spans="1:16" x14ac:dyDescent="0.25">
      <c r="A501" s="11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</row>
    <row r="502" spans="1:16" x14ac:dyDescent="0.25">
      <c r="A502" s="11"/>
      <c r="B502" s="11"/>
      <c r="C502" s="11"/>
      <c r="D502" s="11"/>
      <c r="E502" s="11"/>
      <c r="F502" s="11"/>
      <c r="G502" s="11"/>
      <c r="H502" s="11"/>
      <c r="I502" s="11"/>
      <c r="J502" s="11"/>
      <c r="K502" s="11"/>
      <c r="L502" s="11"/>
      <c r="M502" s="11"/>
      <c r="N502" s="11"/>
      <c r="O502" s="11"/>
      <c r="P502" s="11"/>
    </row>
    <row r="503" spans="1:16" x14ac:dyDescent="0.25">
      <c r="A503" s="11"/>
      <c r="B503" s="11"/>
      <c r="C503" s="11"/>
      <c r="D503" s="11"/>
      <c r="E503" s="11"/>
      <c r="F503" s="11"/>
      <c r="G503" s="11"/>
      <c r="H503" s="11"/>
      <c r="I503" s="11"/>
      <c r="J503" s="11"/>
      <c r="K503" s="11"/>
      <c r="L503" s="11"/>
      <c r="M503" s="11"/>
      <c r="N503" s="11"/>
      <c r="O503" s="11"/>
      <c r="P503" s="11"/>
    </row>
    <row r="504" spans="1:16" x14ac:dyDescent="0.25">
      <c r="A504" s="11"/>
      <c r="B504" s="11"/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  <c r="O504" s="11"/>
      <c r="P504" s="11"/>
    </row>
    <row r="505" spans="1:16" x14ac:dyDescent="0.25">
      <c r="A505" s="11"/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11"/>
      <c r="M505" s="11"/>
      <c r="N505" s="11"/>
      <c r="O505" s="11"/>
      <c r="P505" s="11"/>
    </row>
    <row r="506" spans="1:16" x14ac:dyDescent="0.25">
      <c r="A506" s="11"/>
      <c r="B506" s="11"/>
      <c r="C506" s="11"/>
      <c r="D506" s="11"/>
      <c r="E506" s="11"/>
      <c r="F506" s="11"/>
      <c r="G506" s="11"/>
      <c r="H506" s="11"/>
      <c r="I506" s="11"/>
      <c r="J506" s="11"/>
      <c r="K506" s="11"/>
      <c r="L506" s="11"/>
      <c r="M506" s="11"/>
      <c r="N506" s="11"/>
      <c r="O506" s="11"/>
      <c r="P506" s="11"/>
    </row>
    <row r="507" spans="1:16" x14ac:dyDescent="0.25">
      <c r="A507" s="11"/>
      <c r="B507" s="11"/>
      <c r="C507" s="11"/>
      <c r="D507" s="11"/>
      <c r="E507" s="11"/>
      <c r="F507" s="11"/>
      <c r="G507" s="11"/>
      <c r="H507" s="11"/>
      <c r="I507" s="11"/>
      <c r="J507" s="11"/>
      <c r="K507" s="11"/>
      <c r="L507" s="11"/>
      <c r="M507" s="11"/>
      <c r="N507" s="11"/>
      <c r="O507" s="11"/>
      <c r="P507" s="11"/>
    </row>
    <row r="508" spans="1:16" x14ac:dyDescent="0.25">
      <c r="A508" s="11"/>
      <c r="B508" s="11"/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1"/>
      <c r="O508" s="11"/>
      <c r="P508" s="11"/>
    </row>
    <row r="509" spans="1:16" x14ac:dyDescent="0.25">
      <c r="A509" s="11"/>
      <c r="B509" s="11"/>
      <c r="C509" s="11"/>
      <c r="D509" s="11"/>
      <c r="E509" s="11"/>
      <c r="F509" s="11"/>
      <c r="G509" s="11"/>
      <c r="H509" s="11"/>
      <c r="I509" s="11"/>
      <c r="J509" s="11"/>
      <c r="K509" s="11"/>
      <c r="L509" s="11"/>
      <c r="M509" s="11"/>
      <c r="N509" s="11"/>
      <c r="O509" s="11"/>
      <c r="P509" s="11"/>
    </row>
    <row r="510" spans="1:16" x14ac:dyDescent="0.25">
      <c r="A510" s="11"/>
      <c r="B510" s="11"/>
      <c r="C510" s="11"/>
      <c r="D510" s="11"/>
      <c r="E510" s="11"/>
      <c r="F510" s="11"/>
      <c r="G510" s="11"/>
      <c r="H510" s="11"/>
      <c r="I510" s="11"/>
      <c r="J510" s="11"/>
      <c r="K510" s="11"/>
      <c r="L510" s="11"/>
      <c r="M510" s="11"/>
      <c r="N510" s="11"/>
      <c r="O510" s="11"/>
      <c r="P510" s="11"/>
    </row>
    <row r="511" spans="1:16" x14ac:dyDescent="0.25">
      <c r="A511" s="11"/>
      <c r="B511" s="11"/>
      <c r="C511" s="11"/>
      <c r="D511" s="11"/>
      <c r="E511" s="11"/>
      <c r="F511" s="11"/>
      <c r="G511" s="11"/>
      <c r="H511" s="11"/>
      <c r="I511" s="11"/>
      <c r="J511" s="11"/>
      <c r="K511" s="11"/>
      <c r="L511" s="11"/>
      <c r="M511" s="11"/>
      <c r="N511" s="11"/>
      <c r="O511" s="11"/>
      <c r="P511" s="11"/>
    </row>
    <row r="512" spans="1:16" x14ac:dyDescent="0.25">
      <c r="A512" s="11"/>
      <c r="B512" s="11"/>
      <c r="C512" s="11"/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1"/>
      <c r="O512" s="11"/>
      <c r="P512" s="11"/>
    </row>
    <row r="513" spans="1:16" x14ac:dyDescent="0.25">
      <c r="A513" s="11"/>
      <c r="B513" s="11"/>
      <c r="C513" s="11"/>
      <c r="D513" s="11"/>
      <c r="E513" s="11"/>
      <c r="F513" s="11"/>
      <c r="G513" s="11"/>
      <c r="H513" s="11"/>
      <c r="I513" s="11"/>
      <c r="J513" s="11"/>
      <c r="K513" s="11"/>
      <c r="L513" s="11"/>
      <c r="M513" s="11"/>
      <c r="N513" s="11"/>
      <c r="O513" s="11"/>
      <c r="P513" s="11"/>
    </row>
    <row r="514" spans="1:16" x14ac:dyDescent="0.25">
      <c r="A514" s="11"/>
      <c r="B514" s="11"/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1"/>
      <c r="O514" s="11"/>
      <c r="P514" s="11"/>
    </row>
    <row r="515" spans="1:16" x14ac:dyDescent="0.25">
      <c r="A515" s="11"/>
      <c r="B515" s="11"/>
      <c r="C515" s="11"/>
      <c r="D515" s="11"/>
      <c r="E515" s="11"/>
      <c r="F515" s="11"/>
      <c r="G515" s="11"/>
      <c r="H515" s="11"/>
      <c r="I515" s="11"/>
      <c r="J515" s="11"/>
      <c r="K515" s="11"/>
      <c r="L515" s="11"/>
      <c r="M515" s="11"/>
      <c r="N515" s="11"/>
      <c r="O515" s="11"/>
      <c r="P515" s="11"/>
    </row>
    <row r="516" spans="1:16" x14ac:dyDescent="0.25">
      <c r="A516" s="11"/>
      <c r="B516" s="11"/>
      <c r="C516" s="11"/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1"/>
      <c r="O516" s="11"/>
      <c r="P516" s="11"/>
    </row>
    <row r="517" spans="1:16" x14ac:dyDescent="0.25">
      <c r="A517" s="11"/>
      <c r="B517" s="11"/>
      <c r="C517" s="11"/>
      <c r="D517" s="11"/>
      <c r="E517" s="11"/>
      <c r="F517" s="11"/>
      <c r="G517" s="11"/>
      <c r="H517" s="11"/>
      <c r="I517" s="11"/>
      <c r="J517" s="11"/>
      <c r="K517" s="11"/>
      <c r="L517" s="11"/>
      <c r="M517" s="11"/>
      <c r="N517" s="11"/>
      <c r="O517" s="11"/>
      <c r="P517" s="11"/>
    </row>
    <row r="518" spans="1:16" x14ac:dyDescent="0.25">
      <c r="A518" s="11"/>
      <c r="B518" s="11"/>
      <c r="C518" s="11"/>
      <c r="D518" s="11"/>
      <c r="E518" s="11"/>
      <c r="F518" s="11"/>
      <c r="G518" s="11"/>
      <c r="H518" s="11"/>
      <c r="I518" s="11"/>
      <c r="J518" s="11"/>
      <c r="K518" s="11"/>
      <c r="L518" s="11"/>
      <c r="M518" s="11"/>
      <c r="N518" s="11"/>
      <c r="O518" s="11"/>
      <c r="P518" s="11"/>
    </row>
    <row r="519" spans="1:16" x14ac:dyDescent="0.25">
      <c r="A519" s="11"/>
      <c r="B519" s="11"/>
      <c r="C519" s="11"/>
      <c r="D519" s="11"/>
      <c r="E519" s="11"/>
      <c r="F519" s="11"/>
      <c r="G519" s="11"/>
      <c r="H519" s="11"/>
      <c r="I519" s="11"/>
      <c r="J519" s="11"/>
      <c r="K519" s="11"/>
      <c r="L519" s="11"/>
      <c r="M519" s="11"/>
      <c r="N519" s="11"/>
      <c r="O519" s="11"/>
      <c r="P519" s="11"/>
    </row>
    <row r="520" spans="1:16" x14ac:dyDescent="0.25">
      <c r="A520" s="11"/>
      <c r="B520" s="11"/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  <c r="O520" s="11"/>
      <c r="P520" s="11"/>
    </row>
    <row r="521" spans="1:16" x14ac:dyDescent="0.25">
      <c r="A521" s="11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</row>
    <row r="522" spans="1:16" x14ac:dyDescent="0.25">
      <c r="A522" s="11"/>
      <c r="B522" s="11"/>
      <c r="C522" s="11"/>
      <c r="D522" s="11"/>
      <c r="E522" s="11"/>
      <c r="F522" s="11"/>
      <c r="G522" s="11"/>
      <c r="H522" s="11"/>
      <c r="I522" s="11"/>
      <c r="J522" s="11"/>
      <c r="K522" s="11"/>
      <c r="L522" s="11"/>
      <c r="M522" s="11"/>
      <c r="N522" s="11"/>
      <c r="O522" s="11"/>
      <c r="P522" s="11"/>
    </row>
    <row r="523" spans="1:16" x14ac:dyDescent="0.25">
      <c r="A523" s="11"/>
      <c r="B523" s="11"/>
      <c r="C523" s="11"/>
      <c r="D523" s="11"/>
      <c r="E523" s="11"/>
      <c r="F523" s="11"/>
      <c r="G523" s="11"/>
      <c r="H523" s="11"/>
      <c r="I523" s="11"/>
      <c r="J523" s="11"/>
      <c r="K523" s="11"/>
      <c r="L523" s="11"/>
      <c r="M523" s="11"/>
      <c r="N523" s="11"/>
      <c r="O523" s="11"/>
      <c r="P523" s="11"/>
    </row>
    <row r="524" spans="1:16" x14ac:dyDescent="0.25">
      <c r="A524" s="11"/>
      <c r="B524" s="11"/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  <c r="O524" s="11"/>
      <c r="P524" s="11"/>
    </row>
    <row r="525" spans="1:16" x14ac:dyDescent="0.25">
      <c r="A525" s="11"/>
      <c r="B525" s="11"/>
      <c r="C525" s="11"/>
      <c r="D525" s="11"/>
      <c r="E525" s="11"/>
      <c r="F525" s="11"/>
      <c r="G525" s="11"/>
      <c r="H525" s="11"/>
      <c r="I525" s="11"/>
      <c r="J525" s="11"/>
      <c r="K525" s="11"/>
      <c r="L525" s="11"/>
      <c r="M525" s="11"/>
      <c r="N525" s="11"/>
      <c r="O525" s="11"/>
      <c r="P525" s="11"/>
    </row>
    <row r="526" spans="1:16" x14ac:dyDescent="0.25">
      <c r="A526" s="11"/>
      <c r="B526" s="11"/>
      <c r="C526" s="11"/>
      <c r="D526" s="11"/>
      <c r="E526" s="11"/>
      <c r="F526" s="11"/>
      <c r="G526" s="11"/>
      <c r="H526" s="11"/>
      <c r="I526" s="11"/>
      <c r="J526" s="11"/>
      <c r="K526" s="11"/>
      <c r="L526" s="11"/>
      <c r="M526" s="11"/>
      <c r="N526" s="11"/>
      <c r="O526" s="11"/>
      <c r="P526" s="11"/>
    </row>
    <row r="527" spans="1:16" x14ac:dyDescent="0.25">
      <c r="A527" s="11"/>
      <c r="B527" s="11"/>
      <c r="C527" s="11"/>
      <c r="D527" s="11"/>
      <c r="E527" s="11"/>
      <c r="F527" s="11"/>
      <c r="G527" s="11"/>
      <c r="H527" s="11"/>
      <c r="I527" s="11"/>
      <c r="J527" s="11"/>
      <c r="K527" s="11"/>
      <c r="L527" s="11"/>
      <c r="M527" s="11"/>
      <c r="N527" s="11"/>
      <c r="O527" s="11"/>
      <c r="P527" s="11"/>
    </row>
    <row r="528" spans="1:16" x14ac:dyDescent="0.25">
      <c r="A528" s="11"/>
      <c r="B528" s="11"/>
      <c r="C528" s="11"/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1"/>
      <c r="O528" s="11"/>
      <c r="P528" s="11"/>
    </row>
    <row r="529" spans="1:16" x14ac:dyDescent="0.25">
      <c r="A529" s="11"/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11"/>
      <c r="M529" s="11"/>
      <c r="N529" s="11"/>
      <c r="O529" s="11"/>
      <c r="P529" s="11"/>
    </row>
    <row r="530" spans="1:16" x14ac:dyDescent="0.25">
      <c r="A530" s="11"/>
      <c r="B530" s="11"/>
      <c r="C530" s="11"/>
      <c r="D530" s="11"/>
      <c r="E530" s="11"/>
      <c r="F530" s="11"/>
      <c r="G530" s="11"/>
      <c r="H530" s="11"/>
      <c r="I530" s="11"/>
      <c r="J530" s="11"/>
      <c r="K530" s="11"/>
      <c r="L530" s="11"/>
      <c r="M530" s="11"/>
      <c r="N530" s="11"/>
      <c r="O530" s="11"/>
      <c r="P530" s="11"/>
    </row>
    <row r="531" spans="1:16" x14ac:dyDescent="0.25">
      <c r="A531" s="11"/>
      <c r="B531" s="11"/>
      <c r="C531" s="11"/>
      <c r="D531" s="11"/>
      <c r="E531" s="11"/>
      <c r="F531" s="11"/>
      <c r="G531" s="11"/>
      <c r="H531" s="11"/>
      <c r="I531" s="11"/>
      <c r="J531" s="11"/>
      <c r="K531" s="11"/>
      <c r="L531" s="11"/>
      <c r="M531" s="11"/>
      <c r="N531" s="11"/>
      <c r="O531" s="11"/>
      <c r="P531" s="11"/>
    </row>
    <row r="532" spans="1:16" x14ac:dyDescent="0.25">
      <c r="A532" s="11"/>
      <c r="B532" s="11"/>
      <c r="C532" s="11"/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1"/>
      <c r="O532" s="11"/>
      <c r="P532" s="11"/>
    </row>
    <row r="533" spans="1:16" x14ac:dyDescent="0.25">
      <c r="A533" s="11"/>
      <c r="B533" s="11"/>
      <c r="C533" s="11"/>
      <c r="D533" s="11"/>
      <c r="E533" s="11"/>
      <c r="F533" s="11"/>
      <c r="G533" s="11"/>
      <c r="H533" s="11"/>
      <c r="I533" s="11"/>
      <c r="J533" s="11"/>
      <c r="K533" s="11"/>
      <c r="L533" s="11"/>
      <c r="M533" s="11"/>
      <c r="N533" s="11"/>
      <c r="O533" s="11"/>
      <c r="P533" s="11"/>
    </row>
    <row r="534" spans="1:16" x14ac:dyDescent="0.25">
      <c r="A534" s="11"/>
      <c r="B534" s="11"/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1"/>
      <c r="O534" s="11"/>
      <c r="P534" s="11"/>
    </row>
    <row r="535" spans="1:16" x14ac:dyDescent="0.25">
      <c r="A535" s="11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11"/>
      <c r="N535" s="11"/>
      <c r="O535" s="11"/>
      <c r="P535" s="11"/>
    </row>
    <row r="536" spans="1:16" x14ac:dyDescent="0.25">
      <c r="A536" s="11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1"/>
      <c r="O536" s="11"/>
      <c r="P536" s="11"/>
    </row>
    <row r="537" spans="1:16" x14ac:dyDescent="0.25">
      <c r="A537" s="11"/>
      <c r="B537" s="11"/>
      <c r="C537" s="11"/>
      <c r="D537" s="11"/>
      <c r="E537" s="11"/>
      <c r="F537" s="11"/>
      <c r="G537" s="11"/>
      <c r="H537" s="11"/>
      <c r="I537" s="11"/>
      <c r="J537" s="11"/>
      <c r="K537" s="11"/>
      <c r="L537" s="11"/>
      <c r="M537" s="11"/>
      <c r="N537" s="11"/>
      <c r="O537" s="11"/>
      <c r="P537" s="11"/>
    </row>
    <row r="538" spans="1:16" x14ac:dyDescent="0.25">
      <c r="A538" s="11"/>
      <c r="B538" s="11"/>
      <c r="C538" s="11"/>
      <c r="D538" s="11"/>
      <c r="E538" s="11"/>
      <c r="F538" s="11"/>
      <c r="G538" s="11"/>
      <c r="H538" s="11"/>
      <c r="I538" s="11"/>
      <c r="J538" s="11"/>
      <c r="K538" s="11"/>
      <c r="L538" s="11"/>
      <c r="M538" s="11"/>
      <c r="N538" s="11"/>
      <c r="O538" s="11"/>
      <c r="P538" s="11"/>
    </row>
    <row r="539" spans="1:16" x14ac:dyDescent="0.25">
      <c r="A539" s="11"/>
      <c r="B539" s="11"/>
      <c r="C539" s="11"/>
      <c r="D539" s="11"/>
      <c r="E539" s="11"/>
      <c r="F539" s="11"/>
      <c r="G539" s="11"/>
      <c r="H539" s="11"/>
      <c r="I539" s="11"/>
      <c r="J539" s="11"/>
      <c r="K539" s="11"/>
      <c r="L539" s="11"/>
      <c r="M539" s="11"/>
      <c r="N539" s="11"/>
      <c r="O539" s="11"/>
      <c r="P539" s="11"/>
    </row>
    <row r="540" spans="1:16" x14ac:dyDescent="0.25">
      <c r="A540" s="11"/>
      <c r="B540" s="11"/>
      <c r="C540" s="11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1"/>
      <c r="O540" s="11"/>
      <c r="P540" s="11"/>
    </row>
    <row r="541" spans="1:16" x14ac:dyDescent="0.25">
      <c r="A541" s="11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</row>
    <row r="542" spans="1:16" x14ac:dyDescent="0.25">
      <c r="A542" s="11"/>
      <c r="B542" s="11"/>
      <c r="C542" s="11"/>
      <c r="D542" s="11"/>
      <c r="E542" s="11"/>
      <c r="F542" s="11"/>
      <c r="G542" s="11"/>
      <c r="H542" s="11"/>
      <c r="I542" s="11"/>
      <c r="J542" s="11"/>
      <c r="K542" s="11"/>
      <c r="L542" s="11"/>
      <c r="M542" s="11"/>
      <c r="N542" s="11"/>
      <c r="O542" s="11"/>
      <c r="P542" s="11"/>
    </row>
    <row r="543" spans="1:16" x14ac:dyDescent="0.25">
      <c r="A543" s="11"/>
      <c r="B543" s="11"/>
      <c r="C543" s="11"/>
      <c r="D543" s="11"/>
      <c r="E543" s="11"/>
      <c r="F543" s="11"/>
      <c r="G543" s="11"/>
      <c r="H543" s="11"/>
      <c r="I543" s="11"/>
      <c r="J543" s="11"/>
      <c r="K543" s="11"/>
      <c r="L543" s="11"/>
      <c r="M543" s="11"/>
      <c r="N543" s="11"/>
      <c r="O543" s="11"/>
      <c r="P543" s="11"/>
    </row>
    <row r="544" spans="1:16" x14ac:dyDescent="0.25">
      <c r="A544" s="11"/>
      <c r="B544" s="11"/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  <c r="O544" s="11"/>
      <c r="P544" s="11"/>
    </row>
    <row r="545" spans="1:16" x14ac:dyDescent="0.25">
      <c r="A545" s="11"/>
      <c r="B545" s="11"/>
      <c r="C545" s="11"/>
      <c r="D545" s="11"/>
      <c r="E545" s="11"/>
      <c r="F545" s="11"/>
      <c r="G545" s="11"/>
      <c r="H545" s="11"/>
      <c r="I545" s="11"/>
      <c r="J545" s="11"/>
      <c r="K545" s="11"/>
      <c r="L545" s="11"/>
      <c r="M545" s="11"/>
      <c r="N545" s="11"/>
      <c r="O545" s="11"/>
      <c r="P545" s="11"/>
    </row>
    <row r="546" spans="1:16" x14ac:dyDescent="0.25">
      <c r="A546" s="11"/>
      <c r="B546" s="11"/>
      <c r="C546" s="11"/>
      <c r="D546" s="11"/>
      <c r="E546" s="11"/>
      <c r="F546" s="11"/>
      <c r="G546" s="11"/>
      <c r="H546" s="11"/>
      <c r="I546" s="11"/>
      <c r="J546" s="11"/>
      <c r="K546" s="11"/>
      <c r="L546" s="11"/>
      <c r="M546" s="11"/>
      <c r="N546" s="11"/>
      <c r="O546" s="11"/>
      <c r="P546" s="11"/>
    </row>
    <row r="547" spans="1:16" x14ac:dyDescent="0.25">
      <c r="A547" s="11"/>
      <c r="B547" s="11"/>
      <c r="C547" s="11"/>
      <c r="D547" s="11"/>
      <c r="E547" s="11"/>
      <c r="F547" s="11"/>
      <c r="G547" s="11"/>
      <c r="H547" s="11"/>
      <c r="I547" s="11"/>
      <c r="J547" s="11"/>
      <c r="K547" s="11"/>
      <c r="L547" s="11"/>
      <c r="M547" s="11"/>
      <c r="N547" s="11"/>
      <c r="O547" s="11"/>
      <c r="P547" s="11"/>
    </row>
    <row r="548" spans="1:16" x14ac:dyDescent="0.25">
      <c r="A548" s="11"/>
      <c r="B548" s="11"/>
      <c r="C548" s="11"/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1"/>
      <c r="O548" s="11"/>
      <c r="P548" s="11"/>
    </row>
    <row r="549" spans="1:16" x14ac:dyDescent="0.25">
      <c r="A549" s="11"/>
      <c r="B549" s="11"/>
      <c r="C549" s="11"/>
      <c r="D549" s="11"/>
      <c r="E549" s="11"/>
      <c r="F549" s="11"/>
      <c r="G549" s="11"/>
      <c r="H549" s="11"/>
      <c r="I549" s="11"/>
      <c r="J549" s="11"/>
      <c r="K549" s="11"/>
      <c r="L549" s="11"/>
      <c r="M549" s="11"/>
      <c r="N549" s="11"/>
      <c r="O549" s="11"/>
      <c r="P549" s="11"/>
    </row>
    <row r="550" spans="1:16" x14ac:dyDescent="0.25">
      <c r="A550" s="11"/>
      <c r="B550" s="11"/>
      <c r="C550" s="11"/>
      <c r="D550" s="11"/>
      <c r="E550" s="11"/>
      <c r="F550" s="11"/>
      <c r="G550" s="11"/>
      <c r="H550" s="11"/>
      <c r="I550" s="11"/>
      <c r="J550" s="11"/>
      <c r="K550" s="11"/>
      <c r="L550" s="11"/>
      <c r="M550" s="11"/>
      <c r="N550" s="11"/>
      <c r="O550" s="11"/>
      <c r="P550" s="11"/>
    </row>
    <row r="551" spans="1:16" x14ac:dyDescent="0.25">
      <c r="A551" s="11"/>
      <c r="B551" s="11"/>
      <c r="C551" s="11"/>
      <c r="D551" s="11"/>
      <c r="E551" s="11"/>
      <c r="F551" s="11"/>
      <c r="G551" s="11"/>
      <c r="H551" s="11"/>
      <c r="I551" s="11"/>
      <c r="J551" s="11"/>
      <c r="K551" s="11"/>
      <c r="L551" s="11"/>
      <c r="M551" s="11"/>
      <c r="N551" s="11"/>
      <c r="O551" s="11"/>
      <c r="P551" s="11"/>
    </row>
    <row r="552" spans="1:16" x14ac:dyDescent="0.25">
      <c r="A552" s="11"/>
      <c r="B552" s="11"/>
      <c r="C552" s="11"/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1"/>
      <c r="O552" s="11"/>
      <c r="P552" s="11"/>
    </row>
    <row r="553" spans="1:16" x14ac:dyDescent="0.25">
      <c r="A553" s="11"/>
      <c r="B553" s="11"/>
      <c r="C553" s="11"/>
      <c r="D553" s="11"/>
      <c r="E553" s="11"/>
      <c r="F553" s="11"/>
      <c r="G553" s="11"/>
      <c r="H553" s="11"/>
      <c r="I553" s="11"/>
      <c r="J553" s="11"/>
      <c r="K553" s="11"/>
      <c r="L553" s="11"/>
      <c r="M553" s="11"/>
      <c r="N553" s="11"/>
      <c r="O553" s="11"/>
      <c r="P553" s="11"/>
    </row>
    <row r="554" spans="1:16" x14ac:dyDescent="0.25">
      <c r="A554" s="11"/>
      <c r="B554" s="11"/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1"/>
      <c r="O554" s="11"/>
      <c r="P554" s="11"/>
    </row>
    <row r="555" spans="1:16" x14ac:dyDescent="0.25">
      <c r="A555" s="11"/>
      <c r="B555" s="11"/>
      <c r="C555" s="11"/>
      <c r="D555" s="11"/>
      <c r="E555" s="11"/>
      <c r="F555" s="11"/>
      <c r="G555" s="11"/>
      <c r="H555" s="11"/>
      <c r="I555" s="11"/>
      <c r="J555" s="11"/>
      <c r="K555" s="11"/>
      <c r="L555" s="11"/>
      <c r="M555" s="11"/>
      <c r="N555" s="11"/>
      <c r="O555" s="11"/>
      <c r="P555" s="11"/>
    </row>
    <row r="556" spans="1:16" x14ac:dyDescent="0.25">
      <c r="A556" s="11"/>
      <c r="B556" s="11"/>
      <c r="C556" s="11"/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1"/>
      <c r="O556" s="11"/>
      <c r="P556" s="11"/>
    </row>
    <row r="557" spans="1:16" x14ac:dyDescent="0.25">
      <c r="A557" s="11"/>
      <c r="B557" s="11"/>
      <c r="C557" s="11"/>
      <c r="D557" s="11"/>
      <c r="E557" s="11"/>
      <c r="F557" s="11"/>
      <c r="G557" s="11"/>
      <c r="H557" s="11"/>
      <c r="I557" s="11"/>
      <c r="J557" s="11"/>
      <c r="K557" s="11"/>
      <c r="L557" s="11"/>
      <c r="M557" s="11"/>
      <c r="N557" s="11"/>
      <c r="O557" s="11"/>
      <c r="P557" s="11"/>
    </row>
    <row r="558" spans="1:16" x14ac:dyDescent="0.25">
      <c r="A558" s="11"/>
      <c r="B558" s="11"/>
      <c r="C558" s="11"/>
      <c r="D558" s="11"/>
      <c r="E558" s="11"/>
      <c r="F558" s="11"/>
      <c r="G558" s="11"/>
      <c r="H558" s="11"/>
      <c r="I558" s="11"/>
      <c r="J558" s="11"/>
      <c r="K558" s="11"/>
      <c r="L558" s="11"/>
      <c r="M558" s="11"/>
      <c r="N558" s="11"/>
      <c r="O558" s="11"/>
      <c r="P558" s="11"/>
    </row>
    <row r="559" spans="1:16" x14ac:dyDescent="0.25">
      <c r="A559" s="11"/>
      <c r="B559" s="11"/>
      <c r="C559" s="11"/>
      <c r="D559" s="11"/>
      <c r="E559" s="11"/>
      <c r="F559" s="11"/>
      <c r="G559" s="11"/>
      <c r="H559" s="11"/>
      <c r="I559" s="11"/>
      <c r="J559" s="11"/>
      <c r="K559" s="11"/>
      <c r="L559" s="11"/>
      <c r="M559" s="11"/>
      <c r="N559" s="11"/>
      <c r="O559" s="11"/>
      <c r="P559" s="11"/>
    </row>
    <row r="560" spans="1:16" x14ac:dyDescent="0.25">
      <c r="A560" s="11"/>
      <c r="B560" s="11"/>
      <c r="C560" s="11"/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1"/>
      <c r="O560" s="11"/>
      <c r="P560" s="11"/>
    </row>
    <row r="561" spans="1:16" x14ac:dyDescent="0.25">
      <c r="A561" s="11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</row>
    <row r="562" spans="1:16" x14ac:dyDescent="0.25">
      <c r="A562" s="11"/>
      <c r="B562" s="11"/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1"/>
      <c r="O562" s="11"/>
      <c r="P562" s="11"/>
    </row>
    <row r="563" spans="1:16" x14ac:dyDescent="0.25">
      <c r="A563" s="11"/>
      <c r="B563" s="11"/>
      <c r="C563" s="11"/>
      <c r="D563" s="11"/>
      <c r="E563" s="11"/>
      <c r="F563" s="11"/>
      <c r="G563" s="11"/>
      <c r="H563" s="11"/>
      <c r="I563" s="11"/>
      <c r="J563" s="11"/>
      <c r="K563" s="11"/>
      <c r="L563" s="11"/>
      <c r="M563" s="11"/>
      <c r="N563" s="11"/>
      <c r="O563" s="11"/>
      <c r="P563" s="11"/>
    </row>
    <row r="564" spans="1:16" x14ac:dyDescent="0.25">
      <c r="A564" s="11"/>
      <c r="B564" s="11"/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  <c r="O564" s="11"/>
      <c r="P564" s="11"/>
    </row>
    <row r="565" spans="1:16" x14ac:dyDescent="0.25">
      <c r="A565" s="11"/>
      <c r="B565" s="11"/>
      <c r="C565" s="11"/>
      <c r="D565" s="11"/>
      <c r="E565" s="11"/>
      <c r="F565" s="11"/>
      <c r="G565" s="11"/>
      <c r="H565" s="11"/>
      <c r="I565" s="11"/>
      <c r="J565" s="11"/>
      <c r="K565" s="11"/>
      <c r="L565" s="11"/>
      <c r="M565" s="11"/>
      <c r="N565" s="11"/>
      <c r="O565" s="11"/>
      <c r="P565" s="11"/>
    </row>
    <row r="566" spans="1:16" x14ac:dyDescent="0.25">
      <c r="A566" s="11"/>
      <c r="B566" s="11"/>
      <c r="C566" s="11"/>
      <c r="D566" s="11"/>
      <c r="E566" s="11"/>
      <c r="F566" s="11"/>
      <c r="G566" s="11"/>
      <c r="H566" s="11"/>
      <c r="I566" s="11"/>
      <c r="J566" s="11"/>
      <c r="K566" s="11"/>
      <c r="L566" s="11"/>
      <c r="M566" s="11"/>
      <c r="N566" s="11"/>
      <c r="O566" s="11"/>
      <c r="P566" s="11"/>
    </row>
    <row r="567" spans="1:16" x14ac:dyDescent="0.25">
      <c r="A567" s="11"/>
      <c r="B567" s="11"/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1"/>
      <c r="O567" s="11"/>
      <c r="P567" s="11"/>
    </row>
    <row r="568" spans="1:16" x14ac:dyDescent="0.25">
      <c r="A568" s="11"/>
      <c r="B568" s="11"/>
      <c r="C568" s="11"/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1"/>
      <c r="O568" s="11"/>
      <c r="P568" s="11"/>
    </row>
    <row r="569" spans="1:16" x14ac:dyDescent="0.25">
      <c r="A569" s="11"/>
      <c r="B569" s="11"/>
      <c r="C569" s="11"/>
      <c r="D569" s="11"/>
      <c r="E569" s="11"/>
      <c r="F569" s="11"/>
      <c r="G569" s="11"/>
      <c r="H569" s="11"/>
      <c r="I569" s="11"/>
      <c r="J569" s="11"/>
      <c r="K569" s="11"/>
      <c r="L569" s="11"/>
      <c r="M569" s="11"/>
      <c r="N569" s="11"/>
      <c r="O569" s="11"/>
      <c r="P569" s="11"/>
    </row>
    <row r="570" spans="1:16" x14ac:dyDescent="0.25">
      <c r="A570" s="11"/>
      <c r="B570" s="11"/>
      <c r="C570" s="11"/>
      <c r="D570" s="11"/>
      <c r="E570" s="11"/>
      <c r="F570" s="11"/>
      <c r="G570" s="11"/>
      <c r="H570" s="11"/>
      <c r="I570" s="11"/>
      <c r="J570" s="11"/>
      <c r="K570" s="11"/>
      <c r="L570" s="11"/>
      <c r="M570" s="11"/>
      <c r="N570" s="11"/>
      <c r="O570" s="11"/>
      <c r="P570" s="11"/>
    </row>
    <row r="571" spans="1:16" x14ac:dyDescent="0.25">
      <c r="A571" s="11"/>
      <c r="B571" s="11"/>
      <c r="C571" s="11"/>
      <c r="D571" s="11"/>
      <c r="E571" s="11"/>
      <c r="F571" s="11"/>
      <c r="G571" s="11"/>
      <c r="H571" s="11"/>
      <c r="I571" s="11"/>
      <c r="J571" s="11"/>
      <c r="K571" s="11"/>
      <c r="L571" s="11"/>
      <c r="M571" s="11"/>
      <c r="N571" s="11"/>
      <c r="O571" s="11"/>
      <c r="P571" s="11"/>
    </row>
    <row r="572" spans="1:16" x14ac:dyDescent="0.25">
      <c r="A572" s="11"/>
      <c r="B572" s="11"/>
      <c r="C572" s="11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1"/>
      <c r="O572" s="11"/>
      <c r="P572" s="11"/>
    </row>
    <row r="573" spans="1:16" x14ac:dyDescent="0.25">
      <c r="A573" s="11"/>
      <c r="B573" s="11"/>
      <c r="C573" s="11"/>
      <c r="D573" s="11"/>
      <c r="E573" s="11"/>
      <c r="F573" s="11"/>
      <c r="G573" s="11"/>
      <c r="H573" s="11"/>
      <c r="I573" s="11"/>
      <c r="J573" s="11"/>
      <c r="K573" s="11"/>
      <c r="L573" s="11"/>
      <c r="M573" s="11"/>
      <c r="N573" s="11"/>
      <c r="O573" s="11"/>
      <c r="P573" s="11"/>
    </row>
    <row r="574" spans="1:16" x14ac:dyDescent="0.25">
      <c r="A574" s="11"/>
      <c r="B574" s="11"/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1"/>
      <c r="O574" s="11"/>
      <c r="P574" s="11"/>
    </row>
    <row r="575" spans="1:16" x14ac:dyDescent="0.25">
      <c r="A575" s="11"/>
      <c r="B575" s="11"/>
      <c r="C575" s="11"/>
      <c r="D575" s="11"/>
      <c r="E575" s="11"/>
      <c r="F575" s="11"/>
      <c r="G575" s="11"/>
      <c r="H575" s="11"/>
      <c r="I575" s="11"/>
      <c r="J575" s="11"/>
      <c r="K575" s="11"/>
      <c r="L575" s="11"/>
      <c r="M575" s="11"/>
      <c r="N575" s="11"/>
      <c r="O575" s="11"/>
      <c r="P575" s="11"/>
    </row>
    <row r="576" spans="1:16" x14ac:dyDescent="0.25">
      <c r="A576" s="11"/>
      <c r="B576" s="11"/>
      <c r="C576" s="11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1"/>
      <c r="O576" s="11"/>
      <c r="P576" s="11"/>
    </row>
    <row r="577" spans="1:16" x14ac:dyDescent="0.25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11"/>
      <c r="N577" s="11"/>
      <c r="O577" s="11"/>
      <c r="P577" s="11"/>
    </row>
    <row r="578" spans="1:16" x14ac:dyDescent="0.25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11"/>
      <c r="N578" s="11"/>
      <c r="O578" s="11"/>
      <c r="P578" s="11"/>
    </row>
    <row r="579" spans="1:16" x14ac:dyDescent="0.25">
      <c r="A579" s="11"/>
      <c r="B579" s="11"/>
      <c r="C579" s="11"/>
      <c r="D579" s="11"/>
      <c r="E579" s="11"/>
      <c r="F579" s="11"/>
      <c r="G579" s="11"/>
      <c r="H579" s="11"/>
      <c r="I579" s="11"/>
      <c r="J579" s="11"/>
      <c r="K579" s="11"/>
      <c r="L579" s="11"/>
      <c r="M579" s="11"/>
      <c r="N579" s="11"/>
      <c r="O579" s="11"/>
      <c r="P579" s="11"/>
    </row>
    <row r="580" spans="1:16" x14ac:dyDescent="0.25">
      <c r="A580" s="11"/>
      <c r="B580" s="11"/>
      <c r="C580" s="11"/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1"/>
      <c r="O580" s="11"/>
      <c r="P580" s="11"/>
    </row>
    <row r="581" spans="1:16" x14ac:dyDescent="0.25">
      <c r="A581" s="11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</row>
    <row r="582" spans="1:16" x14ac:dyDescent="0.25">
      <c r="A582" s="11"/>
      <c r="B582" s="11"/>
      <c r="C582" s="11"/>
      <c r="D582" s="11"/>
      <c r="E582" s="11"/>
      <c r="F582" s="11"/>
      <c r="G582" s="11"/>
      <c r="H582" s="11"/>
      <c r="I582" s="11"/>
      <c r="J582" s="11"/>
      <c r="K582" s="11"/>
      <c r="L582" s="11"/>
      <c r="M582" s="11"/>
      <c r="N582" s="11"/>
      <c r="O582" s="11"/>
      <c r="P582" s="11"/>
    </row>
    <row r="583" spans="1:16" x14ac:dyDescent="0.25">
      <c r="A583" s="11"/>
      <c r="B583" s="11"/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1"/>
      <c r="O583" s="11"/>
      <c r="P583" s="11"/>
    </row>
    <row r="584" spans="1:16" x14ac:dyDescent="0.25">
      <c r="A584" s="11"/>
      <c r="B584" s="11"/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  <c r="O584" s="11"/>
      <c r="P584" s="11"/>
    </row>
    <row r="585" spans="1:16" x14ac:dyDescent="0.25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11"/>
      <c r="N585" s="11"/>
      <c r="O585" s="11"/>
      <c r="P585" s="11"/>
    </row>
    <row r="586" spans="1:16" x14ac:dyDescent="0.25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11"/>
      <c r="N586" s="11"/>
      <c r="O586" s="11"/>
      <c r="P586" s="11"/>
    </row>
    <row r="587" spans="1:16" x14ac:dyDescent="0.25">
      <c r="A587" s="11"/>
      <c r="B587" s="11"/>
      <c r="C587" s="11"/>
      <c r="D587" s="11"/>
      <c r="E587" s="11"/>
      <c r="F587" s="11"/>
      <c r="G587" s="11"/>
      <c r="H587" s="11"/>
      <c r="I587" s="11"/>
      <c r="J587" s="11"/>
      <c r="K587" s="11"/>
      <c r="L587" s="11"/>
      <c r="M587" s="11"/>
      <c r="N587" s="11"/>
      <c r="O587" s="11"/>
      <c r="P587" s="11"/>
    </row>
    <row r="588" spans="1:16" x14ac:dyDescent="0.25">
      <c r="A588" s="11"/>
      <c r="B588" s="11"/>
      <c r="C588" s="11"/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1"/>
      <c r="O588" s="11"/>
      <c r="P588" s="11"/>
    </row>
    <row r="589" spans="1:16" x14ac:dyDescent="0.25">
      <c r="A589" s="11"/>
      <c r="B589" s="11"/>
      <c r="C589" s="11"/>
      <c r="D589" s="11"/>
      <c r="E589" s="11"/>
      <c r="F589" s="11"/>
      <c r="G589" s="11"/>
      <c r="H589" s="11"/>
      <c r="I589" s="11"/>
      <c r="J589" s="11"/>
      <c r="K589" s="11"/>
      <c r="L589" s="11"/>
      <c r="M589" s="11"/>
      <c r="N589" s="11"/>
      <c r="O589" s="11"/>
      <c r="P589" s="11"/>
    </row>
    <row r="590" spans="1:16" x14ac:dyDescent="0.25">
      <c r="A590" s="11"/>
      <c r="B590" s="11"/>
      <c r="C590" s="11"/>
      <c r="D590" s="11"/>
      <c r="E590" s="11"/>
      <c r="F590" s="11"/>
      <c r="G590" s="11"/>
      <c r="H590" s="11"/>
      <c r="I590" s="11"/>
      <c r="J590" s="11"/>
      <c r="K590" s="11"/>
      <c r="L590" s="11"/>
      <c r="M590" s="11"/>
      <c r="N590" s="11"/>
      <c r="O590" s="11"/>
      <c r="P590" s="11"/>
    </row>
    <row r="591" spans="1:16" x14ac:dyDescent="0.25">
      <c r="A591" s="11"/>
      <c r="B591" s="11"/>
      <c r="C591" s="11"/>
      <c r="D591" s="11"/>
      <c r="E591" s="11"/>
      <c r="F591" s="11"/>
      <c r="G591" s="11"/>
      <c r="H591" s="11"/>
      <c r="I591" s="11"/>
      <c r="J591" s="11"/>
      <c r="K591" s="11"/>
      <c r="L591" s="11"/>
      <c r="M591" s="11"/>
      <c r="N591" s="11"/>
      <c r="O591" s="11"/>
      <c r="P591" s="11"/>
    </row>
    <row r="592" spans="1:16" x14ac:dyDescent="0.25">
      <c r="A592" s="11"/>
      <c r="B592" s="11"/>
      <c r="C592" s="11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1"/>
      <c r="O592" s="11"/>
      <c r="P592" s="11"/>
    </row>
    <row r="593" spans="1:16" x14ac:dyDescent="0.25">
      <c r="A593" s="11"/>
      <c r="B593" s="11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1"/>
      <c r="O593" s="11"/>
      <c r="P593" s="11"/>
    </row>
    <row r="594" spans="1:16" x14ac:dyDescent="0.25">
      <c r="A594" s="11"/>
      <c r="B594" s="11"/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1"/>
      <c r="O594" s="11"/>
      <c r="P594" s="11"/>
    </row>
    <row r="595" spans="1:16" x14ac:dyDescent="0.25">
      <c r="A595" s="11"/>
      <c r="B595" s="11"/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1"/>
      <c r="O595" s="11"/>
      <c r="P595" s="11"/>
    </row>
    <row r="596" spans="1:16" x14ac:dyDescent="0.25">
      <c r="A596" s="11"/>
      <c r="B596" s="11"/>
      <c r="C596" s="11"/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1"/>
      <c r="O596" s="11"/>
      <c r="P596" s="11"/>
    </row>
    <row r="597" spans="1:16" x14ac:dyDescent="0.25">
      <c r="A597" s="11"/>
      <c r="B597" s="11"/>
      <c r="C597" s="11"/>
      <c r="D597" s="11"/>
      <c r="E597" s="11"/>
      <c r="F597" s="11"/>
      <c r="G597" s="11"/>
      <c r="H597" s="11"/>
      <c r="I597" s="11"/>
      <c r="J597" s="11"/>
      <c r="K597" s="11"/>
      <c r="L597" s="11"/>
      <c r="M597" s="11"/>
      <c r="N597" s="11"/>
      <c r="O597" s="11"/>
      <c r="P597" s="11"/>
    </row>
    <row r="598" spans="1:16" x14ac:dyDescent="0.25">
      <c r="A598" s="11"/>
      <c r="B598" s="11"/>
      <c r="C598" s="11"/>
      <c r="D598" s="11"/>
      <c r="E598" s="11"/>
      <c r="F598" s="11"/>
      <c r="G598" s="11"/>
      <c r="H598" s="11"/>
      <c r="I598" s="11"/>
      <c r="J598" s="11"/>
      <c r="K598" s="11"/>
      <c r="L598" s="11"/>
      <c r="M598" s="11"/>
      <c r="N598" s="11"/>
      <c r="O598" s="11"/>
      <c r="P598" s="11"/>
    </row>
    <row r="599" spans="1:16" x14ac:dyDescent="0.25">
      <c r="A599" s="11"/>
      <c r="B599" s="11"/>
      <c r="C599" s="11"/>
      <c r="D599" s="11"/>
      <c r="E599" s="11"/>
      <c r="F599" s="11"/>
      <c r="G599" s="11"/>
      <c r="H599" s="11"/>
      <c r="I599" s="11"/>
      <c r="J599" s="11"/>
      <c r="K599" s="11"/>
      <c r="L599" s="11"/>
      <c r="M599" s="11"/>
      <c r="N599" s="11"/>
      <c r="O599" s="11"/>
      <c r="P599" s="11"/>
    </row>
    <row r="600" spans="1:16" x14ac:dyDescent="0.25">
      <c r="A600" s="11"/>
      <c r="B600" s="11"/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  <c r="O600" s="11"/>
      <c r="P600" s="11"/>
    </row>
    <row r="601" spans="1:16" x14ac:dyDescent="0.25">
      <c r="A601" s="11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</row>
    <row r="602" spans="1:16" x14ac:dyDescent="0.25">
      <c r="A602" s="11"/>
      <c r="B602" s="11"/>
      <c r="C602" s="11"/>
      <c r="D602" s="11"/>
      <c r="E602" s="11"/>
      <c r="F602" s="11"/>
      <c r="G602" s="11"/>
      <c r="H602" s="11"/>
      <c r="I602" s="11"/>
      <c r="J602" s="11"/>
      <c r="K602" s="11"/>
      <c r="L602" s="11"/>
      <c r="M602" s="11"/>
      <c r="N602" s="11"/>
      <c r="O602" s="11"/>
      <c r="P602" s="11"/>
    </row>
    <row r="603" spans="1:16" x14ac:dyDescent="0.25">
      <c r="A603" s="11"/>
      <c r="B603" s="11"/>
      <c r="C603" s="11"/>
      <c r="D603" s="11"/>
      <c r="E603" s="11"/>
      <c r="F603" s="11"/>
      <c r="G603" s="11"/>
      <c r="H603" s="11"/>
      <c r="I603" s="11"/>
      <c r="J603" s="11"/>
      <c r="K603" s="11"/>
      <c r="L603" s="11"/>
      <c r="M603" s="11"/>
      <c r="N603" s="11"/>
      <c r="O603" s="11"/>
      <c r="P603" s="11"/>
    </row>
    <row r="604" spans="1:16" x14ac:dyDescent="0.25">
      <c r="A604" s="11"/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  <c r="O604" s="11"/>
      <c r="P604" s="11"/>
    </row>
    <row r="605" spans="1:16" x14ac:dyDescent="0.25">
      <c r="A605" s="11"/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1"/>
      <c r="O605" s="11"/>
      <c r="P605" s="11"/>
    </row>
    <row r="606" spans="1:16" x14ac:dyDescent="0.25">
      <c r="A606" s="11"/>
      <c r="B606" s="11"/>
      <c r="C606" s="11"/>
      <c r="D606" s="11"/>
      <c r="E606" s="11"/>
      <c r="F606" s="11"/>
      <c r="G606" s="11"/>
      <c r="H606" s="11"/>
      <c r="I606" s="11"/>
      <c r="J606" s="11"/>
      <c r="K606" s="11"/>
      <c r="L606" s="11"/>
      <c r="M606" s="11"/>
      <c r="N606" s="11"/>
      <c r="O606" s="11"/>
      <c r="P606" s="11"/>
    </row>
    <row r="607" spans="1:16" x14ac:dyDescent="0.25">
      <c r="A607" s="11"/>
      <c r="B607" s="11"/>
      <c r="C607" s="11"/>
      <c r="D607" s="11"/>
      <c r="E607" s="11"/>
      <c r="F607" s="11"/>
      <c r="G607" s="11"/>
      <c r="H607" s="11"/>
      <c r="I607" s="11"/>
      <c r="J607" s="11"/>
      <c r="K607" s="11"/>
      <c r="L607" s="11"/>
      <c r="M607" s="11"/>
      <c r="N607" s="11"/>
      <c r="O607" s="11"/>
      <c r="P607" s="11"/>
    </row>
    <row r="608" spans="1:16" x14ac:dyDescent="0.25">
      <c r="A608" s="11"/>
      <c r="B608" s="11"/>
      <c r="C608" s="11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1"/>
      <c r="O608" s="11"/>
      <c r="P608" s="11"/>
    </row>
    <row r="609" spans="1:16" x14ac:dyDescent="0.25">
      <c r="A609" s="11"/>
      <c r="B609" s="11"/>
      <c r="C609" s="11"/>
      <c r="D609" s="11"/>
      <c r="E609" s="11"/>
      <c r="F609" s="11"/>
      <c r="G609" s="11"/>
      <c r="H609" s="11"/>
      <c r="I609" s="11"/>
      <c r="J609" s="11"/>
      <c r="K609" s="11"/>
      <c r="L609" s="11"/>
      <c r="M609" s="11"/>
      <c r="N609" s="11"/>
      <c r="O609" s="11"/>
      <c r="P609" s="11"/>
    </row>
    <row r="610" spans="1:16" x14ac:dyDescent="0.25">
      <c r="A610" s="11"/>
      <c r="B610" s="11"/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1"/>
      <c r="O610" s="11"/>
      <c r="P610" s="11"/>
    </row>
    <row r="611" spans="1:16" x14ac:dyDescent="0.25">
      <c r="A611" s="11"/>
      <c r="B611" s="11"/>
      <c r="C611" s="11"/>
      <c r="D611" s="11"/>
      <c r="E611" s="11"/>
      <c r="F611" s="11"/>
      <c r="G611" s="11"/>
      <c r="H611" s="11"/>
      <c r="I611" s="11"/>
      <c r="J611" s="11"/>
      <c r="K611" s="11"/>
      <c r="L611" s="11"/>
      <c r="M611" s="11"/>
      <c r="N611" s="11"/>
      <c r="O611" s="11"/>
      <c r="P611" s="11"/>
    </row>
    <row r="612" spans="1:16" x14ac:dyDescent="0.25">
      <c r="A612" s="11"/>
      <c r="B612" s="11"/>
      <c r="C612" s="11"/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1"/>
      <c r="O612" s="11"/>
      <c r="P612" s="11"/>
    </row>
    <row r="613" spans="1:16" x14ac:dyDescent="0.25">
      <c r="A613" s="11"/>
      <c r="B613" s="11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1"/>
      <c r="O613" s="11"/>
      <c r="P613" s="11"/>
    </row>
    <row r="614" spans="1:16" x14ac:dyDescent="0.25">
      <c r="A614" s="11"/>
      <c r="B614" s="11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  <c r="O614" s="11"/>
      <c r="P614" s="11"/>
    </row>
    <row r="615" spans="1:16" x14ac:dyDescent="0.25">
      <c r="A615" s="11"/>
      <c r="B615" s="11"/>
      <c r="C615" s="11"/>
      <c r="D615" s="11"/>
      <c r="E615" s="11"/>
      <c r="F615" s="11"/>
      <c r="G615" s="11"/>
      <c r="H615" s="11"/>
      <c r="I615" s="11"/>
      <c r="J615" s="11"/>
      <c r="K615" s="11"/>
      <c r="L615" s="11"/>
      <c r="M615" s="11"/>
      <c r="N615" s="11"/>
      <c r="O615" s="11"/>
      <c r="P615" s="11"/>
    </row>
    <row r="616" spans="1:16" x14ac:dyDescent="0.25">
      <c r="A616" s="11"/>
      <c r="B616" s="11"/>
      <c r="C616" s="11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1"/>
      <c r="O616" s="11"/>
      <c r="P616" s="11"/>
    </row>
    <row r="617" spans="1:16" x14ac:dyDescent="0.25">
      <c r="A617" s="11"/>
      <c r="B617" s="11"/>
      <c r="C617" s="11"/>
      <c r="D617" s="11"/>
      <c r="E617" s="11"/>
      <c r="F617" s="11"/>
      <c r="G617" s="11"/>
      <c r="H617" s="11"/>
      <c r="I617" s="11"/>
      <c r="J617" s="11"/>
      <c r="K617" s="11"/>
      <c r="L617" s="11"/>
      <c r="M617" s="11"/>
      <c r="N617" s="11"/>
      <c r="O617" s="11"/>
      <c r="P617" s="11"/>
    </row>
    <row r="618" spans="1:16" x14ac:dyDescent="0.25">
      <c r="A618" s="11"/>
      <c r="B618" s="11"/>
      <c r="C618" s="11"/>
      <c r="D618" s="11"/>
      <c r="E618" s="11"/>
      <c r="F618" s="11"/>
      <c r="G618" s="11"/>
      <c r="H618" s="11"/>
      <c r="I618" s="11"/>
      <c r="J618" s="11"/>
      <c r="K618" s="11"/>
      <c r="L618" s="11"/>
      <c r="M618" s="11"/>
      <c r="N618" s="11"/>
      <c r="O618" s="11"/>
      <c r="P618" s="11"/>
    </row>
    <row r="619" spans="1:16" x14ac:dyDescent="0.25">
      <c r="A619" s="11"/>
      <c r="B619" s="11"/>
      <c r="C619" s="11"/>
      <c r="D619" s="11"/>
      <c r="E619" s="11"/>
      <c r="F619" s="11"/>
      <c r="G619" s="11"/>
      <c r="H619" s="11"/>
      <c r="I619" s="11"/>
      <c r="J619" s="11"/>
      <c r="K619" s="11"/>
      <c r="L619" s="11"/>
      <c r="M619" s="11"/>
      <c r="N619" s="11"/>
      <c r="O619" s="11"/>
      <c r="P619" s="11"/>
    </row>
    <row r="620" spans="1:16" x14ac:dyDescent="0.25">
      <c r="A620" s="11"/>
      <c r="B620" s="11"/>
      <c r="C620" s="11"/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1"/>
      <c r="O620" s="11"/>
      <c r="P620" s="11"/>
    </row>
    <row r="621" spans="1:16" x14ac:dyDescent="0.25">
      <c r="A621" s="11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</row>
    <row r="622" spans="1:16" x14ac:dyDescent="0.25">
      <c r="A622" s="11"/>
      <c r="B622" s="11"/>
      <c r="C622" s="11"/>
      <c r="D622" s="11"/>
      <c r="E622" s="11"/>
      <c r="F622" s="11"/>
      <c r="G622" s="11"/>
      <c r="H622" s="11"/>
      <c r="I622" s="11"/>
      <c r="J622" s="11"/>
      <c r="K622" s="11"/>
      <c r="L622" s="11"/>
      <c r="M622" s="11"/>
      <c r="N622" s="11"/>
      <c r="O622" s="11"/>
      <c r="P622" s="11"/>
    </row>
    <row r="623" spans="1:16" x14ac:dyDescent="0.25">
      <c r="A623" s="11"/>
      <c r="B623" s="11"/>
      <c r="C623" s="11"/>
      <c r="D623" s="11"/>
      <c r="E623" s="11"/>
      <c r="F623" s="11"/>
      <c r="G623" s="11"/>
      <c r="H623" s="11"/>
      <c r="I623" s="11"/>
      <c r="J623" s="11"/>
      <c r="K623" s="11"/>
      <c r="L623" s="11"/>
      <c r="M623" s="11"/>
      <c r="N623" s="11"/>
      <c r="O623" s="11"/>
      <c r="P623" s="11"/>
    </row>
    <row r="624" spans="1:16" x14ac:dyDescent="0.25">
      <c r="A624" s="11"/>
      <c r="B624" s="11"/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  <c r="O624" s="11"/>
      <c r="P624" s="11"/>
    </row>
    <row r="625" spans="1:16" x14ac:dyDescent="0.25">
      <c r="A625" s="11"/>
      <c r="B625" s="11"/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1"/>
      <c r="O625" s="11"/>
      <c r="P625" s="11"/>
    </row>
    <row r="626" spans="1:16" x14ac:dyDescent="0.25">
      <c r="A626" s="11"/>
      <c r="B626" s="11"/>
      <c r="C626" s="11"/>
      <c r="D626" s="11"/>
      <c r="E626" s="11"/>
      <c r="F626" s="11"/>
      <c r="G626" s="11"/>
      <c r="H626" s="11"/>
      <c r="I626" s="11"/>
      <c r="J626" s="11"/>
      <c r="K626" s="11"/>
      <c r="L626" s="11"/>
      <c r="M626" s="11"/>
      <c r="N626" s="11"/>
      <c r="O626" s="11"/>
      <c r="P626" s="11"/>
    </row>
    <row r="627" spans="1:16" x14ac:dyDescent="0.25">
      <c r="A627" s="11"/>
      <c r="B627" s="11"/>
      <c r="C627" s="11"/>
      <c r="D627" s="11"/>
      <c r="E627" s="11"/>
      <c r="F627" s="11"/>
      <c r="G627" s="11"/>
      <c r="H627" s="11"/>
      <c r="I627" s="11"/>
      <c r="J627" s="11"/>
      <c r="K627" s="11"/>
      <c r="L627" s="11"/>
      <c r="M627" s="11"/>
      <c r="N627" s="11"/>
      <c r="O627" s="11"/>
      <c r="P627" s="11"/>
    </row>
    <row r="628" spans="1:16" x14ac:dyDescent="0.25">
      <c r="A628" s="11"/>
      <c r="B628" s="11"/>
      <c r="C628" s="11"/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1"/>
      <c r="O628" s="11"/>
      <c r="P628" s="11"/>
    </row>
    <row r="629" spans="1:16" x14ac:dyDescent="0.25">
      <c r="A629" s="11"/>
      <c r="B629" s="11"/>
      <c r="C629" s="11"/>
      <c r="D629" s="11"/>
      <c r="E629" s="11"/>
      <c r="F629" s="11"/>
      <c r="G629" s="11"/>
      <c r="H629" s="11"/>
      <c r="I629" s="11"/>
      <c r="J629" s="11"/>
      <c r="K629" s="11"/>
      <c r="L629" s="11"/>
      <c r="M629" s="11"/>
      <c r="N629" s="11"/>
      <c r="O629" s="11"/>
      <c r="P629" s="11"/>
    </row>
    <row r="630" spans="1:16" x14ac:dyDescent="0.25">
      <c r="A630" s="11"/>
      <c r="B630" s="11"/>
      <c r="C630" s="11"/>
      <c r="D630" s="11"/>
      <c r="E630" s="11"/>
      <c r="F630" s="11"/>
      <c r="G630" s="11"/>
      <c r="H630" s="11"/>
      <c r="I630" s="11"/>
      <c r="J630" s="11"/>
      <c r="K630" s="11"/>
      <c r="L630" s="11"/>
      <c r="M630" s="11"/>
      <c r="N630" s="11"/>
      <c r="O630" s="11"/>
      <c r="P630" s="11"/>
    </row>
    <row r="631" spans="1:16" x14ac:dyDescent="0.25">
      <c r="A631" s="11"/>
      <c r="B631" s="11"/>
      <c r="C631" s="11"/>
      <c r="D631" s="11"/>
      <c r="E631" s="11"/>
      <c r="F631" s="11"/>
      <c r="G631" s="11"/>
      <c r="H631" s="11"/>
      <c r="I631" s="11"/>
      <c r="J631" s="11"/>
      <c r="K631" s="11"/>
      <c r="L631" s="11"/>
      <c r="M631" s="11"/>
      <c r="N631" s="11"/>
      <c r="O631" s="11"/>
      <c r="P631" s="11"/>
    </row>
    <row r="632" spans="1:16" x14ac:dyDescent="0.25">
      <c r="A632" s="11"/>
      <c r="B632" s="11"/>
      <c r="C632" s="11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1"/>
      <c r="O632" s="11"/>
      <c r="P632" s="11"/>
    </row>
    <row r="633" spans="1:16" x14ac:dyDescent="0.25">
      <c r="A633" s="11"/>
      <c r="B633" s="11"/>
      <c r="C633" s="11"/>
      <c r="D633" s="11"/>
      <c r="E633" s="11"/>
      <c r="F633" s="11"/>
      <c r="G633" s="11"/>
      <c r="H633" s="11"/>
      <c r="I633" s="11"/>
      <c r="J633" s="11"/>
      <c r="K633" s="11"/>
      <c r="L633" s="11"/>
      <c r="M633" s="11"/>
      <c r="N633" s="11"/>
      <c r="O633" s="11"/>
      <c r="P633" s="11"/>
    </row>
    <row r="634" spans="1:16" x14ac:dyDescent="0.25">
      <c r="A634" s="11"/>
      <c r="B634" s="11"/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1"/>
      <c r="O634" s="11"/>
      <c r="P634" s="11"/>
    </row>
    <row r="635" spans="1:16" x14ac:dyDescent="0.25">
      <c r="A635" s="11"/>
      <c r="B635" s="11"/>
      <c r="C635" s="11"/>
      <c r="D635" s="11"/>
      <c r="E635" s="11"/>
      <c r="F635" s="11"/>
      <c r="G635" s="11"/>
      <c r="H635" s="11"/>
      <c r="I635" s="11"/>
      <c r="J635" s="11"/>
      <c r="K635" s="11"/>
      <c r="L635" s="11"/>
      <c r="M635" s="11"/>
      <c r="N635" s="11"/>
      <c r="O635" s="11"/>
      <c r="P635" s="11"/>
    </row>
    <row r="636" spans="1:16" x14ac:dyDescent="0.25">
      <c r="A636" s="11"/>
      <c r="B636" s="11"/>
      <c r="C636" s="11"/>
      <c r="D636" s="11"/>
      <c r="E636" s="11"/>
      <c r="F636" s="11"/>
      <c r="G636" s="11"/>
      <c r="H636" s="11"/>
      <c r="I636" s="11"/>
      <c r="J636" s="11"/>
      <c r="K636" s="11"/>
      <c r="L636" s="11"/>
      <c r="M636" s="11"/>
      <c r="N636" s="11"/>
      <c r="O636" s="11"/>
      <c r="P636" s="11"/>
    </row>
    <row r="637" spans="1:16" x14ac:dyDescent="0.25">
      <c r="A637" s="11"/>
      <c r="B637" s="11"/>
      <c r="C637" s="11"/>
      <c r="D637" s="11"/>
      <c r="E637" s="11"/>
      <c r="F637" s="11"/>
      <c r="G637" s="11"/>
      <c r="H637" s="11"/>
      <c r="I637" s="11"/>
      <c r="J637" s="11"/>
      <c r="K637" s="11"/>
      <c r="L637" s="11"/>
      <c r="M637" s="11"/>
      <c r="N637" s="11"/>
      <c r="O637" s="11"/>
      <c r="P637" s="11"/>
    </row>
    <row r="638" spans="1:16" x14ac:dyDescent="0.25">
      <c r="A638" s="11"/>
      <c r="B638" s="11"/>
      <c r="C638" s="11"/>
      <c r="D638" s="11"/>
      <c r="E638" s="11"/>
      <c r="F638" s="11"/>
      <c r="G638" s="11"/>
      <c r="H638" s="11"/>
      <c r="I638" s="11"/>
      <c r="J638" s="11"/>
      <c r="K638" s="11"/>
      <c r="L638" s="11"/>
      <c r="M638" s="11"/>
      <c r="N638" s="11"/>
      <c r="O638" s="11"/>
      <c r="P638" s="11"/>
    </row>
    <row r="639" spans="1:16" x14ac:dyDescent="0.25">
      <c r="A639" s="11"/>
      <c r="B639" s="11"/>
      <c r="C639" s="11"/>
      <c r="D639" s="11"/>
      <c r="E639" s="11"/>
      <c r="F639" s="11"/>
      <c r="G639" s="11"/>
      <c r="H639" s="11"/>
      <c r="I639" s="11"/>
      <c r="J639" s="11"/>
      <c r="K639" s="11"/>
      <c r="L639" s="11"/>
      <c r="M639" s="11"/>
      <c r="N639" s="11"/>
      <c r="O639" s="11"/>
      <c r="P639" s="11"/>
    </row>
    <row r="640" spans="1:16" x14ac:dyDescent="0.25">
      <c r="A640" s="11"/>
      <c r="B640" s="11"/>
      <c r="C640" s="11"/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1"/>
      <c r="O640" s="11"/>
      <c r="P640" s="11"/>
    </row>
    <row r="641" spans="1:16" x14ac:dyDescent="0.25">
      <c r="A641" s="11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</row>
    <row r="642" spans="1:16" x14ac:dyDescent="0.25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  <c r="O642" s="11"/>
      <c r="P642" s="11"/>
    </row>
    <row r="643" spans="1:16" x14ac:dyDescent="0.25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  <c r="O643" s="11"/>
      <c r="P643" s="11"/>
    </row>
    <row r="644" spans="1:16" x14ac:dyDescent="0.25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</row>
    <row r="645" spans="1:16" x14ac:dyDescent="0.25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  <c r="O645" s="11"/>
      <c r="P645" s="11"/>
    </row>
    <row r="646" spans="1:16" x14ac:dyDescent="0.25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11"/>
      <c r="P646" s="11"/>
    </row>
    <row r="647" spans="1:16" x14ac:dyDescent="0.25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  <c r="O647" s="11"/>
      <c r="P647" s="11"/>
    </row>
    <row r="648" spans="1:16" x14ac:dyDescent="0.25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  <c r="O648" s="11"/>
      <c r="P648" s="11"/>
    </row>
    <row r="649" spans="1:16" x14ac:dyDescent="0.25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  <c r="O649" s="11"/>
      <c r="P649" s="11"/>
    </row>
    <row r="650" spans="1:16" x14ac:dyDescent="0.25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  <c r="O650" s="11"/>
      <c r="P650" s="11"/>
    </row>
    <row r="651" spans="1:16" x14ac:dyDescent="0.25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  <c r="O651" s="11"/>
      <c r="P651" s="11"/>
    </row>
    <row r="652" spans="1:16" x14ac:dyDescent="0.25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11"/>
    </row>
    <row r="653" spans="1:16" x14ac:dyDescent="0.25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  <c r="O653" s="11"/>
      <c r="P653" s="11"/>
    </row>
    <row r="654" spans="1:16" x14ac:dyDescent="0.25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  <c r="O654" s="11"/>
      <c r="P654" s="11"/>
    </row>
    <row r="655" spans="1:16" x14ac:dyDescent="0.25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  <c r="O655" s="11"/>
      <c r="P655" s="11"/>
    </row>
    <row r="656" spans="1:16" x14ac:dyDescent="0.25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  <c r="O656" s="11"/>
      <c r="P656" s="11"/>
    </row>
    <row r="657" spans="1:16" x14ac:dyDescent="0.25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  <c r="O657" s="11"/>
      <c r="P657" s="11"/>
    </row>
    <row r="658" spans="1:16" x14ac:dyDescent="0.25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  <c r="O658" s="11"/>
      <c r="P658" s="11"/>
    </row>
    <row r="659" spans="1:16" x14ac:dyDescent="0.25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  <c r="O659" s="11"/>
      <c r="P659" s="11"/>
    </row>
    <row r="660" spans="1:16" x14ac:dyDescent="0.25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  <c r="O660" s="11"/>
      <c r="P660" s="11"/>
    </row>
    <row r="661" spans="1:16" x14ac:dyDescent="0.25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</row>
    <row r="662" spans="1:16" x14ac:dyDescent="0.25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  <c r="O662" s="11"/>
      <c r="P662" s="11"/>
    </row>
    <row r="663" spans="1:16" x14ac:dyDescent="0.25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  <c r="O663" s="11"/>
      <c r="P663" s="11"/>
    </row>
    <row r="664" spans="1:16" x14ac:dyDescent="0.25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</row>
    <row r="665" spans="1:16" x14ac:dyDescent="0.25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  <c r="O665" s="11"/>
      <c r="P665" s="11"/>
    </row>
    <row r="666" spans="1:16" x14ac:dyDescent="0.25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  <c r="O666" s="11"/>
      <c r="P666" s="11"/>
    </row>
    <row r="667" spans="1:16" x14ac:dyDescent="0.25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  <c r="O667" s="11"/>
      <c r="P667" s="11"/>
    </row>
    <row r="668" spans="1:16" x14ac:dyDescent="0.25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  <c r="O668" s="11"/>
      <c r="P668" s="11"/>
    </row>
    <row r="669" spans="1:16" x14ac:dyDescent="0.25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  <c r="O669" s="11"/>
      <c r="P669" s="11"/>
    </row>
    <row r="670" spans="1:16" x14ac:dyDescent="0.25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  <c r="O670" s="11"/>
      <c r="P670" s="11"/>
    </row>
    <row r="671" spans="1:16" x14ac:dyDescent="0.25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  <c r="O671" s="11"/>
      <c r="P671" s="11"/>
    </row>
    <row r="672" spans="1:16" x14ac:dyDescent="0.25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  <c r="O672" s="11"/>
      <c r="P672" s="11"/>
    </row>
    <row r="673" spans="1:16" x14ac:dyDescent="0.25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  <c r="O673" s="11"/>
      <c r="P673" s="11"/>
    </row>
    <row r="674" spans="1:16" x14ac:dyDescent="0.25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  <c r="O674" s="11"/>
      <c r="P674" s="11"/>
    </row>
    <row r="675" spans="1:16" x14ac:dyDescent="0.25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  <c r="O675" s="11"/>
      <c r="P675" s="11"/>
    </row>
    <row r="676" spans="1:16" x14ac:dyDescent="0.25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11"/>
    </row>
    <row r="677" spans="1:16" x14ac:dyDescent="0.25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  <c r="O677" s="11"/>
      <c r="P677" s="11"/>
    </row>
    <row r="678" spans="1:16" x14ac:dyDescent="0.25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  <c r="O678" s="11"/>
      <c r="P678" s="11"/>
    </row>
    <row r="679" spans="1:16" x14ac:dyDescent="0.25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  <c r="O679" s="11"/>
      <c r="P679" s="11"/>
    </row>
    <row r="680" spans="1:16" x14ac:dyDescent="0.25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11"/>
    </row>
    <row r="681" spans="1:16" x14ac:dyDescent="0.25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</row>
    <row r="682" spans="1:16" x14ac:dyDescent="0.25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  <c r="O682" s="11"/>
      <c r="P682" s="11"/>
    </row>
    <row r="683" spans="1:16" x14ac:dyDescent="0.25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  <c r="O683" s="11"/>
      <c r="P683" s="11"/>
    </row>
    <row r="684" spans="1:16" x14ac:dyDescent="0.25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</row>
    <row r="685" spans="1:16" x14ac:dyDescent="0.25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  <c r="O685" s="11"/>
      <c r="P685" s="11"/>
    </row>
    <row r="686" spans="1:16" x14ac:dyDescent="0.25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  <c r="O686" s="11"/>
      <c r="P686" s="11"/>
    </row>
    <row r="687" spans="1:16" x14ac:dyDescent="0.25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  <c r="O687" s="11"/>
      <c r="P687" s="11"/>
    </row>
    <row r="688" spans="1:16" x14ac:dyDescent="0.25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11"/>
    </row>
    <row r="689" spans="1:16" x14ac:dyDescent="0.25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  <c r="O689" s="11"/>
      <c r="P689" s="11"/>
    </row>
    <row r="690" spans="1:16" x14ac:dyDescent="0.25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  <c r="O690" s="11"/>
      <c r="P690" s="11"/>
    </row>
    <row r="691" spans="1:16" x14ac:dyDescent="0.25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  <c r="O691" s="11"/>
      <c r="P691" s="11"/>
    </row>
    <row r="692" spans="1:16" x14ac:dyDescent="0.25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  <c r="O692" s="11"/>
      <c r="P692" s="11"/>
    </row>
    <row r="693" spans="1:16" x14ac:dyDescent="0.25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  <c r="O693" s="11"/>
      <c r="P693" s="11"/>
    </row>
    <row r="694" spans="1:16" x14ac:dyDescent="0.25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11"/>
    </row>
    <row r="695" spans="1:16" x14ac:dyDescent="0.25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  <c r="O695" s="11"/>
      <c r="P695" s="11"/>
    </row>
    <row r="696" spans="1:16" x14ac:dyDescent="0.25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11"/>
      <c r="P696" s="11"/>
    </row>
    <row r="697" spans="1:16" x14ac:dyDescent="0.25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  <c r="O697" s="11"/>
      <c r="P697" s="11"/>
    </row>
    <row r="698" spans="1:16" x14ac:dyDescent="0.25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  <c r="O698" s="11"/>
      <c r="P698" s="11"/>
    </row>
    <row r="699" spans="1:16" x14ac:dyDescent="0.25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  <c r="O699" s="11"/>
      <c r="P699" s="11"/>
    </row>
    <row r="700" spans="1:16" x14ac:dyDescent="0.25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  <c r="O700" s="11"/>
      <c r="P700" s="11"/>
    </row>
    <row r="701" spans="1:16" x14ac:dyDescent="0.25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</row>
    <row r="702" spans="1:16" x14ac:dyDescent="0.25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  <c r="O702" s="11"/>
      <c r="P702" s="11"/>
    </row>
    <row r="703" spans="1:16" x14ac:dyDescent="0.25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  <c r="O703" s="11"/>
      <c r="P703" s="11"/>
    </row>
    <row r="704" spans="1:16" x14ac:dyDescent="0.25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</row>
    <row r="705" spans="1:16" x14ac:dyDescent="0.25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  <c r="O705" s="11"/>
      <c r="P705" s="11"/>
    </row>
    <row r="706" spans="1:16" x14ac:dyDescent="0.25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  <c r="O706" s="11"/>
      <c r="P706" s="11"/>
    </row>
    <row r="707" spans="1:16" x14ac:dyDescent="0.25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  <c r="O707" s="11"/>
      <c r="P707" s="11"/>
    </row>
    <row r="708" spans="1:16" x14ac:dyDescent="0.25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11"/>
      <c r="P708" s="11"/>
    </row>
    <row r="709" spans="1:16" x14ac:dyDescent="0.25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  <c r="O709" s="11"/>
      <c r="P709" s="11"/>
    </row>
    <row r="710" spans="1:16" x14ac:dyDescent="0.25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  <c r="O710" s="11"/>
      <c r="P710" s="11"/>
    </row>
    <row r="711" spans="1:16" x14ac:dyDescent="0.25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  <c r="O711" s="11"/>
      <c r="P711" s="11"/>
    </row>
    <row r="712" spans="1:16" x14ac:dyDescent="0.25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11"/>
    </row>
    <row r="713" spans="1:16" x14ac:dyDescent="0.25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  <c r="O713" s="11"/>
      <c r="P713" s="11"/>
    </row>
    <row r="714" spans="1:16" x14ac:dyDescent="0.25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  <c r="O714" s="11"/>
      <c r="P714" s="11"/>
    </row>
    <row r="715" spans="1:16" x14ac:dyDescent="0.25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  <c r="O715" s="11"/>
      <c r="P715" s="11"/>
    </row>
    <row r="716" spans="1:16" x14ac:dyDescent="0.25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11"/>
    </row>
    <row r="717" spans="1:16" x14ac:dyDescent="0.25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  <c r="O717" s="11"/>
      <c r="P717" s="11"/>
    </row>
    <row r="718" spans="1:16" x14ac:dyDescent="0.25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  <c r="O718" s="11"/>
      <c r="P718" s="11"/>
    </row>
    <row r="719" spans="1:16" x14ac:dyDescent="0.25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  <c r="O719" s="11"/>
      <c r="P719" s="11"/>
    </row>
    <row r="720" spans="1:16" x14ac:dyDescent="0.25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11"/>
    </row>
    <row r="721" spans="1:16" x14ac:dyDescent="0.25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</row>
    <row r="722" spans="1:16" x14ac:dyDescent="0.25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  <c r="O722" s="11"/>
      <c r="P722" s="11"/>
    </row>
    <row r="723" spans="1:16" x14ac:dyDescent="0.25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  <c r="O723" s="11"/>
      <c r="P723" s="11"/>
    </row>
    <row r="724" spans="1:16" x14ac:dyDescent="0.25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</row>
    <row r="725" spans="1:16" x14ac:dyDescent="0.25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  <c r="O725" s="11"/>
      <c r="P725" s="11"/>
    </row>
    <row r="726" spans="1:16" x14ac:dyDescent="0.25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  <c r="O726" s="11"/>
      <c r="P726" s="11"/>
    </row>
    <row r="727" spans="1:16" x14ac:dyDescent="0.25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  <c r="O727" s="11"/>
      <c r="P727" s="11"/>
    </row>
    <row r="728" spans="1:16" x14ac:dyDescent="0.25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  <c r="O728" s="11"/>
      <c r="P728" s="11"/>
    </row>
    <row r="729" spans="1:16" x14ac:dyDescent="0.25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  <c r="O729" s="11"/>
      <c r="P729" s="11"/>
    </row>
    <row r="730" spans="1:16" x14ac:dyDescent="0.25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  <c r="O730" s="11"/>
      <c r="P730" s="11"/>
    </row>
    <row r="731" spans="1:16" x14ac:dyDescent="0.25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  <c r="O731" s="11"/>
      <c r="P731" s="11"/>
    </row>
    <row r="732" spans="1:16" x14ac:dyDescent="0.25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11"/>
    </row>
    <row r="733" spans="1:16" x14ac:dyDescent="0.25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  <c r="O733" s="11"/>
      <c r="P733" s="11"/>
    </row>
    <row r="734" spans="1:16" x14ac:dyDescent="0.25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  <c r="O734" s="11"/>
      <c r="P734" s="11"/>
    </row>
    <row r="735" spans="1:16" x14ac:dyDescent="0.25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  <c r="O735" s="11"/>
      <c r="P735" s="11"/>
    </row>
    <row r="736" spans="1:16" x14ac:dyDescent="0.25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11"/>
      <c r="P736" s="11"/>
    </row>
    <row r="737" spans="1:16" x14ac:dyDescent="0.25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  <c r="O737" s="11"/>
      <c r="P737" s="11"/>
    </row>
    <row r="738" spans="1:16" x14ac:dyDescent="0.25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  <c r="O738" s="11"/>
      <c r="P738" s="11"/>
    </row>
    <row r="739" spans="1:16" x14ac:dyDescent="0.25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  <c r="O739" s="11"/>
      <c r="P739" s="11"/>
    </row>
    <row r="740" spans="1:16" x14ac:dyDescent="0.25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11"/>
    </row>
    <row r="741" spans="1:16" x14ac:dyDescent="0.25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</row>
    <row r="742" spans="1:16" x14ac:dyDescent="0.25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  <c r="O742" s="11"/>
      <c r="P742" s="11"/>
    </row>
    <row r="743" spans="1:16" x14ac:dyDescent="0.25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  <c r="O743" s="11"/>
      <c r="P743" s="11"/>
    </row>
    <row r="744" spans="1:16" x14ac:dyDescent="0.25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</row>
    <row r="745" spans="1:16" x14ac:dyDescent="0.25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  <c r="O745" s="11"/>
      <c r="P745" s="11"/>
    </row>
    <row r="746" spans="1:16" x14ac:dyDescent="0.25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  <c r="O746" s="11"/>
      <c r="P746" s="11"/>
    </row>
    <row r="747" spans="1:16" x14ac:dyDescent="0.25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  <c r="O747" s="11"/>
      <c r="P747" s="11"/>
    </row>
    <row r="748" spans="1:16" x14ac:dyDescent="0.25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  <c r="O748" s="11"/>
      <c r="P748" s="11"/>
    </row>
    <row r="749" spans="1:16" x14ac:dyDescent="0.25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  <c r="O749" s="11"/>
      <c r="P749" s="11"/>
    </row>
    <row r="750" spans="1:16" x14ac:dyDescent="0.25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  <c r="O750" s="11"/>
      <c r="P750" s="11"/>
    </row>
    <row r="751" spans="1:16" x14ac:dyDescent="0.25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  <c r="O751" s="11"/>
      <c r="P751" s="11"/>
    </row>
    <row r="752" spans="1:16" x14ac:dyDescent="0.25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  <c r="O752" s="11"/>
      <c r="P752" s="11"/>
    </row>
    <row r="753" spans="1:16" x14ac:dyDescent="0.25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  <c r="O753" s="11"/>
      <c r="P753" s="11"/>
    </row>
    <row r="754" spans="1:16" x14ac:dyDescent="0.25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  <c r="O754" s="11"/>
      <c r="P754" s="11"/>
    </row>
    <row r="755" spans="1:16" x14ac:dyDescent="0.25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  <c r="O755" s="11"/>
      <c r="P755" s="11"/>
    </row>
    <row r="756" spans="1:16" x14ac:dyDescent="0.25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11"/>
      <c r="P756" s="11"/>
    </row>
    <row r="757" spans="1:16" x14ac:dyDescent="0.25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  <c r="O757" s="11"/>
      <c r="P757" s="11"/>
    </row>
    <row r="758" spans="1:16" x14ac:dyDescent="0.25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  <c r="O758" s="11"/>
      <c r="P758" s="11"/>
    </row>
    <row r="759" spans="1:16" x14ac:dyDescent="0.25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  <c r="O759" s="11"/>
      <c r="P759" s="11"/>
    </row>
    <row r="760" spans="1:16" x14ac:dyDescent="0.25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11"/>
      <c r="P760" s="11"/>
    </row>
    <row r="761" spans="1:16" x14ac:dyDescent="0.25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</row>
    <row r="762" spans="1:16" x14ac:dyDescent="0.25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  <c r="O762" s="11"/>
      <c r="P762" s="11"/>
    </row>
    <row r="763" spans="1:16" x14ac:dyDescent="0.25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  <c r="O763" s="11"/>
      <c r="P763" s="11"/>
    </row>
    <row r="764" spans="1:16" x14ac:dyDescent="0.25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</row>
    <row r="765" spans="1:16" x14ac:dyDescent="0.25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  <c r="O765" s="11"/>
      <c r="P765" s="11"/>
    </row>
    <row r="766" spans="1:16" x14ac:dyDescent="0.25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  <c r="O766" s="11"/>
      <c r="P766" s="11"/>
    </row>
    <row r="767" spans="1:16" x14ac:dyDescent="0.25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  <c r="O767" s="11"/>
      <c r="P767" s="11"/>
    </row>
    <row r="768" spans="1:16" x14ac:dyDescent="0.25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  <c r="O768" s="11"/>
      <c r="P768" s="11"/>
    </row>
    <row r="769" spans="1:16" x14ac:dyDescent="0.25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  <c r="O769" s="11"/>
      <c r="P769" s="11"/>
    </row>
    <row r="770" spans="1:16" x14ac:dyDescent="0.25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  <c r="O770" s="11"/>
      <c r="P770" s="11"/>
    </row>
    <row r="771" spans="1:16" x14ac:dyDescent="0.25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  <c r="O771" s="11"/>
      <c r="P771" s="11"/>
    </row>
    <row r="772" spans="1:16" x14ac:dyDescent="0.25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11"/>
    </row>
    <row r="773" spans="1:16" x14ac:dyDescent="0.25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  <c r="O773" s="11"/>
      <c r="P773" s="11"/>
    </row>
    <row r="774" spans="1:16" x14ac:dyDescent="0.25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  <c r="O774" s="11"/>
      <c r="P774" s="11"/>
    </row>
    <row r="775" spans="1:16" x14ac:dyDescent="0.25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  <c r="O775" s="11"/>
      <c r="P775" s="11"/>
    </row>
    <row r="776" spans="1:16" x14ac:dyDescent="0.25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  <c r="O776" s="11"/>
      <c r="P776" s="11"/>
    </row>
    <row r="777" spans="1:16" x14ac:dyDescent="0.25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  <c r="O777" s="11"/>
      <c r="P777" s="11"/>
    </row>
    <row r="778" spans="1:16" x14ac:dyDescent="0.25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  <c r="O778" s="11"/>
      <c r="P778" s="11"/>
    </row>
    <row r="779" spans="1:16" x14ac:dyDescent="0.25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  <c r="O779" s="11"/>
      <c r="P779" s="11"/>
    </row>
    <row r="780" spans="1:16" x14ac:dyDescent="0.25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11"/>
    </row>
    <row r="781" spans="1:16" x14ac:dyDescent="0.25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</row>
    <row r="782" spans="1:16" x14ac:dyDescent="0.25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  <c r="O782" s="11"/>
      <c r="P782" s="11"/>
    </row>
    <row r="783" spans="1:16" x14ac:dyDescent="0.25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  <c r="O783" s="11"/>
      <c r="P783" s="11"/>
    </row>
    <row r="784" spans="1:16" x14ac:dyDescent="0.25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</row>
    <row r="785" spans="1:16" x14ac:dyDescent="0.25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  <c r="O785" s="11"/>
      <c r="P785" s="11"/>
    </row>
    <row r="786" spans="1:16" x14ac:dyDescent="0.25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  <c r="O786" s="11"/>
      <c r="P786" s="11"/>
    </row>
    <row r="787" spans="1:16" x14ac:dyDescent="0.25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  <c r="O787" s="11"/>
      <c r="P787" s="11"/>
    </row>
    <row r="788" spans="1:16" x14ac:dyDescent="0.25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  <c r="O788" s="11"/>
      <c r="P788" s="11"/>
    </row>
    <row r="789" spans="1:16" x14ac:dyDescent="0.25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  <c r="O789" s="11"/>
      <c r="P789" s="11"/>
    </row>
    <row r="790" spans="1:16" x14ac:dyDescent="0.25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  <c r="O790" s="11"/>
      <c r="P790" s="11"/>
    </row>
    <row r="791" spans="1:16" x14ac:dyDescent="0.25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  <c r="O791" s="11"/>
      <c r="P791" s="11"/>
    </row>
    <row r="792" spans="1:16" x14ac:dyDescent="0.25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11"/>
    </row>
    <row r="793" spans="1:16" x14ac:dyDescent="0.25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  <c r="O793" s="11"/>
      <c r="P793" s="11"/>
    </row>
    <row r="794" spans="1:16" x14ac:dyDescent="0.25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  <c r="O794" s="11"/>
      <c r="P794" s="11"/>
    </row>
    <row r="795" spans="1:16" x14ac:dyDescent="0.25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  <c r="O795" s="11"/>
      <c r="P795" s="11"/>
    </row>
    <row r="796" spans="1:16" x14ac:dyDescent="0.25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  <c r="O796" s="11"/>
      <c r="P796" s="11"/>
    </row>
    <row r="797" spans="1:16" x14ac:dyDescent="0.25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  <c r="O797" s="11"/>
      <c r="P797" s="11"/>
    </row>
    <row r="798" spans="1:16" x14ac:dyDescent="0.25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  <c r="O798" s="11"/>
      <c r="P798" s="11"/>
    </row>
    <row r="799" spans="1:16" x14ac:dyDescent="0.25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  <c r="O799" s="11"/>
      <c r="P799" s="11"/>
    </row>
    <row r="800" spans="1:16" x14ac:dyDescent="0.25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  <c r="O800" s="11"/>
      <c r="P800" s="11"/>
    </row>
    <row r="801" spans="1:16" x14ac:dyDescent="0.25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</row>
    <row r="802" spans="1:16" x14ac:dyDescent="0.25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  <c r="O802" s="11"/>
      <c r="P802" s="11"/>
    </row>
    <row r="803" spans="1:16" x14ac:dyDescent="0.25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  <c r="O803" s="11"/>
      <c r="P803" s="11"/>
    </row>
    <row r="804" spans="1:16" x14ac:dyDescent="0.25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</row>
    <row r="805" spans="1:16" x14ac:dyDescent="0.25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  <c r="O805" s="11"/>
      <c r="P805" s="11"/>
    </row>
    <row r="806" spans="1:16" x14ac:dyDescent="0.25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  <c r="O806" s="11"/>
      <c r="P806" s="11"/>
    </row>
    <row r="807" spans="1:16" x14ac:dyDescent="0.25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  <c r="O807" s="11"/>
      <c r="P807" s="11"/>
    </row>
    <row r="808" spans="1:16" x14ac:dyDescent="0.25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  <c r="O808" s="11"/>
      <c r="P808" s="11"/>
    </row>
    <row r="809" spans="1:16" x14ac:dyDescent="0.25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  <c r="O809" s="11"/>
      <c r="P809" s="11"/>
    </row>
    <row r="810" spans="1:16" x14ac:dyDescent="0.25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  <c r="O810" s="11"/>
      <c r="P810" s="11"/>
    </row>
    <row r="811" spans="1:16" x14ac:dyDescent="0.25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  <c r="O811" s="11"/>
      <c r="P811" s="11"/>
    </row>
    <row r="812" spans="1:16" x14ac:dyDescent="0.25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  <c r="O812" s="11"/>
      <c r="P812" s="11"/>
    </row>
    <row r="813" spans="1:16" x14ac:dyDescent="0.25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  <c r="O813" s="11"/>
      <c r="P813" s="11"/>
    </row>
    <row r="814" spans="1:16" x14ac:dyDescent="0.25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</row>
    <row r="815" spans="1:16" x14ac:dyDescent="0.25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</row>
    <row r="816" spans="1:16" x14ac:dyDescent="0.25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</row>
    <row r="817" spans="1:16" x14ac:dyDescent="0.25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</row>
    <row r="818" spans="1:16" x14ac:dyDescent="0.25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</row>
    <row r="819" spans="1:16" x14ac:dyDescent="0.25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</row>
    <row r="820" spans="1:16" x14ac:dyDescent="0.25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</row>
    <row r="821" spans="1:16" x14ac:dyDescent="0.25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</row>
    <row r="822" spans="1:16" x14ac:dyDescent="0.25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</row>
    <row r="823" spans="1:16" x14ac:dyDescent="0.25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</row>
    <row r="824" spans="1:16" x14ac:dyDescent="0.25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</row>
    <row r="825" spans="1:16" x14ac:dyDescent="0.25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</row>
    <row r="826" spans="1:16" x14ac:dyDescent="0.25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</row>
    <row r="827" spans="1:16" x14ac:dyDescent="0.25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</row>
    <row r="828" spans="1:16" x14ac:dyDescent="0.25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</row>
    <row r="829" spans="1:16" x14ac:dyDescent="0.25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</row>
    <row r="830" spans="1:16" x14ac:dyDescent="0.25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</row>
    <row r="831" spans="1:16" x14ac:dyDescent="0.25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</row>
    <row r="832" spans="1:16" x14ac:dyDescent="0.25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</row>
    <row r="833" spans="1:16" x14ac:dyDescent="0.25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</row>
    <row r="834" spans="1:16" x14ac:dyDescent="0.25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</row>
    <row r="835" spans="1:16" x14ac:dyDescent="0.25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</row>
    <row r="836" spans="1:16" x14ac:dyDescent="0.25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</row>
    <row r="837" spans="1:16" x14ac:dyDescent="0.25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</row>
    <row r="838" spans="1:16" x14ac:dyDescent="0.25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</row>
    <row r="839" spans="1:16" x14ac:dyDescent="0.25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</row>
    <row r="840" spans="1:16" x14ac:dyDescent="0.25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</row>
    <row r="841" spans="1:16" x14ac:dyDescent="0.25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</row>
    <row r="842" spans="1:16" x14ac:dyDescent="0.25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</row>
    <row r="843" spans="1:16" x14ac:dyDescent="0.25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</row>
    <row r="844" spans="1:16" x14ac:dyDescent="0.25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</row>
    <row r="845" spans="1:16" x14ac:dyDescent="0.25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</row>
    <row r="846" spans="1:16" x14ac:dyDescent="0.25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</row>
    <row r="847" spans="1:16" x14ac:dyDescent="0.25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</row>
    <row r="848" spans="1:16" x14ac:dyDescent="0.25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</row>
    <row r="849" spans="1:16" x14ac:dyDescent="0.25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</row>
    <row r="850" spans="1:16" x14ac:dyDescent="0.25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</row>
    <row r="851" spans="1:16" x14ac:dyDescent="0.25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</row>
    <row r="852" spans="1:16" x14ac:dyDescent="0.25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</row>
    <row r="853" spans="1:16" x14ac:dyDescent="0.25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</row>
    <row r="854" spans="1:16" x14ac:dyDescent="0.25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</row>
    <row r="855" spans="1:16" x14ac:dyDescent="0.25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</row>
    <row r="856" spans="1:16" x14ac:dyDescent="0.25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</row>
    <row r="857" spans="1:16" x14ac:dyDescent="0.25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</row>
    <row r="858" spans="1:16" x14ac:dyDescent="0.25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</row>
    <row r="859" spans="1:16" x14ac:dyDescent="0.25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</row>
    <row r="860" spans="1:16" x14ac:dyDescent="0.25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</row>
    <row r="861" spans="1:16" x14ac:dyDescent="0.25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</row>
    <row r="862" spans="1:16" x14ac:dyDescent="0.25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</row>
    <row r="863" spans="1:16" x14ac:dyDescent="0.25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</row>
    <row r="864" spans="1:16" x14ac:dyDescent="0.25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</row>
    <row r="865" spans="1:16" x14ac:dyDescent="0.25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</row>
    <row r="866" spans="1:16" x14ac:dyDescent="0.25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</row>
    <row r="867" spans="1:16" x14ac:dyDescent="0.25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</row>
    <row r="868" spans="1:16" x14ac:dyDescent="0.25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</row>
    <row r="869" spans="1:16" x14ac:dyDescent="0.25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</row>
    <row r="870" spans="1:16" x14ac:dyDescent="0.25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</row>
    <row r="871" spans="1:16" x14ac:dyDescent="0.25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</row>
    <row r="872" spans="1:16" x14ac:dyDescent="0.25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</row>
    <row r="873" spans="1:16" x14ac:dyDescent="0.25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</row>
    <row r="874" spans="1:16" x14ac:dyDescent="0.25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</row>
    <row r="875" spans="1:16" x14ac:dyDescent="0.25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</row>
    <row r="876" spans="1:16" x14ac:dyDescent="0.25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</row>
    <row r="877" spans="1:16" x14ac:dyDescent="0.25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</row>
    <row r="878" spans="1:16" x14ac:dyDescent="0.25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</row>
    <row r="879" spans="1:16" x14ac:dyDescent="0.25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</row>
    <row r="880" spans="1:16" x14ac:dyDescent="0.25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</row>
    <row r="881" spans="1:16" x14ac:dyDescent="0.25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</row>
    <row r="882" spans="1:16" x14ac:dyDescent="0.25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</row>
    <row r="883" spans="1:16" x14ac:dyDescent="0.25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</row>
    <row r="884" spans="1:16" x14ac:dyDescent="0.25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</row>
    <row r="885" spans="1:16" x14ac:dyDescent="0.25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</row>
    <row r="886" spans="1:16" x14ac:dyDescent="0.25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</row>
    <row r="887" spans="1:16" x14ac:dyDescent="0.25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</row>
    <row r="888" spans="1:16" x14ac:dyDescent="0.25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</row>
    <row r="889" spans="1:16" x14ac:dyDescent="0.25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</row>
    <row r="890" spans="1:16" x14ac:dyDescent="0.25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</row>
    <row r="891" spans="1:16" x14ac:dyDescent="0.25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</row>
    <row r="892" spans="1:16" x14ac:dyDescent="0.25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</row>
    <row r="893" spans="1:16" x14ac:dyDescent="0.25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</row>
    <row r="894" spans="1:16" x14ac:dyDescent="0.25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</row>
    <row r="895" spans="1:16" x14ac:dyDescent="0.25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</row>
    <row r="896" spans="1:16" x14ac:dyDescent="0.25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</row>
    <row r="897" spans="1:16" x14ac:dyDescent="0.25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</row>
    <row r="898" spans="1:16" x14ac:dyDescent="0.25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</row>
    <row r="899" spans="1:16" x14ac:dyDescent="0.25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</row>
    <row r="900" spans="1:16" x14ac:dyDescent="0.25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</row>
    <row r="901" spans="1:16" x14ac:dyDescent="0.25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</row>
    <row r="902" spans="1:16" x14ac:dyDescent="0.25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</row>
    <row r="903" spans="1:16" x14ac:dyDescent="0.25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</row>
    <row r="904" spans="1:16" x14ac:dyDescent="0.25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</row>
    <row r="905" spans="1:16" x14ac:dyDescent="0.25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</row>
    <row r="906" spans="1:16" x14ac:dyDescent="0.25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</row>
    <row r="907" spans="1:16" x14ac:dyDescent="0.25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</row>
    <row r="908" spans="1:16" x14ac:dyDescent="0.25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</row>
    <row r="909" spans="1:16" x14ac:dyDescent="0.25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</row>
    <row r="910" spans="1:16" x14ac:dyDescent="0.25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</row>
    <row r="911" spans="1:16" x14ac:dyDescent="0.25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</row>
    <row r="912" spans="1:16" x14ac:dyDescent="0.25">
      <c r="A912" s="11"/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</row>
    <row r="913" spans="1:16" x14ac:dyDescent="0.25">
      <c r="A913" s="11"/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11"/>
    </row>
    <row r="914" spans="1:16" x14ac:dyDescent="0.25">
      <c r="A914" s="11"/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</row>
    <row r="915" spans="1:16" x14ac:dyDescent="0.25">
      <c r="A915" s="11"/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11"/>
    </row>
    <row r="916" spans="1:16" x14ac:dyDescent="0.25">
      <c r="A916" s="11"/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</row>
    <row r="917" spans="1:16" x14ac:dyDescent="0.25">
      <c r="A917" s="11"/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11"/>
    </row>
    <row r="918" spans="1:16" x14ac:dyDescent="0.25">
      <c r="A918" s="11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11"/>
    </row>
    <row r="919" spans="1:16" x14ac:dyDescent="0.25">
      <c r="A919" s="11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</row>
    <row r="920" spans="1:16" x14ac:dyDescent="0.25">
      <c r="A920" s="11"/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</row>
    <row r="921" spans="1:16" x14ac:dyDescent="0.25">
      <c r="A921" s="11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</row>
    <row r="922" spans="1:16" x14ac:dyDescent="0.25">
      <c r="A922" s="11"/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11"/>
    </row>
    <row r="923" spans="1:16" x14ac:dyDescent="0.25">
      <c r="A923" s="11"/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11"/>
    </row>
    <row r="924" spans="1:16" x14ac:dyDescent="0.25">
      <c r="A924" s="11"/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</row>
    <row r="925" spans="1:16" x14ac:dyDescent="0.25">
      <c r="A925" s="11"/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11"/>
    </row>
    <row r="926" spans="1:16" x14ac:dyDescent="0.25">
      <c r="A926" s="11"/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11"/>
    </row>
    <row r="927" spans="1:16" x14ac:dyDescent="0.25">
      <c r="A927" s="11"/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11"/>
    </row>
    <row r="928" spans="1:16" x14ac:dyDescent="0.25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</row>
    <row r="929" spans="1:16" x14ac:dyDescent="0.25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11"/>
    </row>
    <row r="930" spans="1:16" x14ac:dyDescent="0.25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11"/>
    </row>
    <row r="931" spans="1:16" x14ac:dyDescent="0.25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11"/>
    </row>
    <row r="932" spans="1:16" x14ac:dyDescent="0.25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</row>
    <row r="933" spans="1:16" x14ac:dyDescent="0.25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11"/>
    </row>
    <row r="934" spans="1:16" x14ac:dyDescent="0.25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</row>
    <row r="935" spans="1:16" x14ac:dyDescent="0.25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11"/>
    </row>
    <row r="936" spans="1:16" x14ac:dyDescent="0.25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</row>
    <row r="937" spans="1:16" x14ac:dyDescent="0.25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11"/>
    </row>
    <row r="938" spans="1:16" x14ac:dyDescent="0.25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11"/>
    </row>
    <row r="939" spans="1:16" x14ac:dyDescent="0.25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11"/>
    </row>
    <row r="940" spans="1:16" x14ac:dyDescent="0.25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</row>
    <row r="941" spans="1:16" x14ac:dyDescent="0.25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</row>
    <row r="942" spans="1:16" x14ac:dyDescent="0.25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11"/>
    </row>
    <row r="943" spans="1:16" x14ac:dyDescent="0.25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11"/>
    </row>
    <row r="944" spans="1:16" x14ac:dyDescent="0.25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</row>
    <row r="945" spans="1:16" x14ac:dyDescent="0.25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11"/>
    </row>
    <row r="946" spans="1:16" x14ac:dyDescent="0.25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11"/>
    </row>
    <row r="947" spans="1:16" x14ac:dyDescent="0.25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11"/>
    </row>
    <row r="948" spans="1:16" x14ac:dyDescent="0.25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</row>
    <row r="949" spans="1:16" x14ac:dyDescent="0.25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11"/>
    </row>
    <row r="950" spans="1:16" x14ac:dyDescent="0.25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11"/>
    </row>
    <row r="951" spans="1:16" x14ac:dyDescent="0.25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11"/>
    </row>
    <row r="952" spans="1:16" x14ac:dyDescent="0.25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</row>
    <row r="953" spans="1:16" x14ac:dyDescent="0.25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11"/>
    </row>
    <row r="954" spans="1:16" x14ac:dyDescent="0.25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</row>
    <row r="955" spans="1:16" x14ac:dyDescent="0.25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11"/>
    </row>
    <row r="956" spans="1:16" x14ac:dyDescent="0.25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</row>
    <row r="957" spans="1:16" x14ac:dyDescent="0.25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11"/>
    </row>
    <row r="958" spans="1:16" x14ac:dyDescent="0.25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11"/>
    </row>
    <row r="959" spans="1:16" x14ac:dyDescent="0.25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11"/>
    </row>
    <row r="960" spans="1:16" x14ac:dyDescent="0.25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</row>
    <row r="961" spans="1:16" x14ac:dyDescent="0.25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</row>
    <row r="962" spans="1:16" x14ac:dyDescent="0.25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11"/>
    </row>
    <row r="963" spans="1:16" x14ac:dyDescent="0.25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11"/>
    </row>
    <row r="964" spans="1:16" x14ac:dyDescent="0.25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</row>
    <row r="965" spans="1:16" x14ac:dyDescent="0.25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11"/>
    </row>
    <row r="966" spans="1:16" x14ac:dyDescent="0.25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11"/>
    </row>
    <row r="967" spans="1:16" x14ac:dyDescent="0.25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11"/>
    </row>
    <row r="968" spans="1:16" x14ac:dyDescent="0.25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</row>
    <row r="969" spans="1:16" x14ac:dyDescent="0.25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11"/>
    </row>
    <row r="970" spans="1:16" x14ac:dyDescent="0.25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</row>
    <row r="971" spans="1:16" x14ac:dyDescent="0.25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11"/>
    </row>
    <row r="972" spans="1:16" x14ac:dyDescent="0.25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</row>
    <row r="973" spans="1:16" x14ac:dyDescent="0.25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11"/>
    </row>
    <row r="974" spans="1:16" x14ac:dyDescent="0.25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</row>
    <row r="975" spans="1:16" x14ac:dyDescent="0.25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11"/>
    </row>
    <row r="976" spans="1:16" x14ac:dyDescent="0.25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</row>
    <row r="977" spans="1:16" x14ac:dyDescent="0.25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11"/>
    </row>
    <row r="978" spans="1:16" x14ac:dyDescent="0.25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11"/>
    </row>
    <row r="979" spans="1:16" x14ac:dyDescent="0.25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11"/>
    </row>
    <row r="980" spans="1:16" x14ac:dyDescent="0.25">
      <c r="A980" s="11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</row>
    <row r="981" spans="1:16" x14ac:dyDescent="0.25">
      <c r="A981" s="11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</row>
    <row r="982" spans="1:16" x14ac:dyDescent="0.25">
      <c r="A982" s="11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</row>
    <row r="983" spans="1:16" x14ac:dyDescent="0.25">
      <c r="A983" s="11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11"/>
    </row>
    <row r="984" spans="1:16" x14ac:dyDescent="0.25">
      <c r="A984" s="11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</row>
    <row r="985" spans="1:16" x14ac:dyDescent="0.25">
      <c r="A985" s="11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11"/>
    </row>
    <row r="986" spans="1:16" x14ac:dyDescent="0.25">
      <c r="A986" s="11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11"/>
    </row>
    <row r="987" spans="1:16" x14ac:dyDescent="0.25">
      <c r="A987" s="11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11"/>
    </row>
    <row r="988" spans="1:16" x14ac:dyDescent="0.25">
      <c r="A988" s="11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</row>
    <row r="989" spans="1:16" x14ac:dyDescent="0.25">
      <c r="A989" s="11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11"/>
    </row>
    <row r="990" spans="1:16" x14ac:dyDescent="0.25">
      <c r="A990" s="11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11"/>
    </row>
    <row r="991" spans="1:16" x14ac:dyDescent="0.25">
      <c r="A991" s="11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</row>
    <row r="992" spans="1:16" x14ac:dyDescent="0.25">
      <c r="A992" s="11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</row>
    <row r="993" spans="1:16" x14ac:dyDescent="0.25">
      <c r="A993" s="11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11"/>
    </row>
    <row r="994" spans="1:16" x14ac:dyDescent="0.25">
      <c r="A994" s="11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</row>
    <row r="995" spans="1:16" x14ac:dyDescent="0.25">
      <c r="A995" s="11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11"/>
    </row>
    <row r="996" spans="1:16" x14ac:dyDescent="0.25">
      <c r="A996" s="11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</row>
    <row r="997" spans="1:16" x14ac:dyDescent="0.25">
      <c r="A997" s="11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11"/>
    </row>
    <row r="998" spans="1:16" x14ac:dyDescent="0.25">
      <c r="A998" s="11"/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  <c r="O998" s="11"/>
      <c r="P998" s="11"/>
    </row>
    <row r="999" spans="1:16" x14ac:dyDescent="0.25">
      <c r="A999" s="11"/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  <c r="O999" s="11"/>
      <c r="P999" s="11"/>
    </row>
    <row r="1000" spans="1:16" x14ac:dyDescent="0.25">
      <c r="A1000" s="11"/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</row>
    <row r="1001" spans="1:16" x14ac:dyDescent="0.25">
      <c r="A1001" s="11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</row>
    <row r="1002" spans="1:16" x14ac:dyDescent="0.25">
      <c r="A1002" s="11"/>
      <c r="B1002" s="11"/>
      <c r="C1002" s="11"/>
      <c r="D1002" s="11"/>
      <c r="E1002" s="11"/>
      <c r="F1002" s="11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</row>
    <row r="1003" spans="1:16" x14ac:dyDescent="0.25">
      <c r="A1003" s="11"/>
      <c r="B1003" s="11"/>
      <c r="C1003" s="11"/>
      <c r="D1003" s="11"/>
      <c r="E1003" s="11"/>
      <c r="F1003" s="11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</row>
    <row r="1004" spans="1:16" x14ac:dyDescent="0.25">
      <c r="A1004" s="11"/>
      <c r="B1004" s="11"/>
      <c r="C1004" s="11"/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</row>
    <row r="1005" spans="1:16" x14ac:dyDescent="0.25">
      <c r="A1005" s="11"/>
      <c r="B1005" s="11"/>
      <c r="C1005" s="11"/>
      <c r="D1005" s="11"/>
      <c r="E1005" s="11"/>
      <c r="F1005" s="11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</row>
    <row r="1006" spans="1:16" x14ac:dyDescent="0.25">
      <c r="A1006" s="11"/>
      <c r="B1006" s="11"/>
      <c r="C1006" s="11"/>
      <c r="D1006" s="11"/>
      <c r="E1006" s="11"/>
      <c r="F1006" s="11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</row>
    <row r="1007" spans="1:16" x14ac:dyDescent="0.25">
      <c r="A1007" s="11"/>
      <c r="B1007" s="11"/>
      <c r="C1007" s="11"/>
      <c r="D1007" s="11"/>
      <c r="E1007" s="11"/>
      <c r="F1007" s="11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</row>
    <row r="1008" spans="1:16" x14ac:dyDescent="0.25">
      <c r="A1008" s="11"/>
      <c r="B1008" s="11"/>
      <c r="C1008" s="11"/>
      <c r="D1008" s="11"/>
      <c r="E1008" s="11"/>
      <c r="F1008" s="11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</row>
    <row r="1009" spans="1:16" x14ac:dyDescent="0.25">
      <c r="A1009" s="11"/>
      <c r="B1009" s="11"/>
      <c r="C1009" s="11"/>
      <c r="D1009" s="11"/>
      <c r="E1009" s="11"/>
      <c r="F1009" s="11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</row>
    <row r="1010" spans="1:16" x14ac:dyDescent="0.25">
      <c r="A1010" s="11"/>
      <c r="B1010" s="11"/>
      <c r="C1010" s="11"/>
      <c r="D1010" s="11"/>
      <c r="E1010" s="11"/>
      <c r="F1010" s="11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</row>
    <row r="1011" spans="1:16" x14ac:dyDescent="0.25">
      <c r="A1011" s="11"/>
      <c r="B1011" s="11"/>
      <c r="C1011" s="11"/>
      <c r="D1011" s="11"/>
      <c r="E1011" s="11"/>
      <c r="F1011" s="11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</row>
    <row r="1012" spans="1:16" x14ac:dyDescent="0.25">
      <c r="A1012" s="11"/>
      <c r="B1012" s="11"/>
      <c r="C1012" s="11"/>
      <c r="D1012" s="11"/>
      <c r="E1012" s="11"/>
      <c r="F1012" s="11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</row>
    <row r="1013" spans="1:16" x14ac:dyDescent="0.25">
      <c r="A1013" s="11"/>
      <c r="B1013" s="11"/>
      <c r="C1013" s="11"/>
      <c r="D1013" s="11"/>
      <c r="E1013" s="11"/>
      <c r="F1013" s="11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</row>
    <row r="1014" spans="1:16" x14ac:dyDescent="0.25">
      <c r="A1014" s="11"/>
      <c r="B1014" s="11"/>
      <c r="C1014" s="11"/>
      <c r="D1014" s="11"/>
      <c r="E1014" s="11"/>
      <c r="F1014" s="11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</row>
    <row r="1015" spans="1:16" x14ac:dyDescent="0.25">
      <c r="A1015" s="11"/>
      <c r="B1015" s="11"/>
      <c r="C1015" s="11"/>
      <c r="D1015" s="11"/>
      <c r="E1015" s="11"/>
      <c r="F1015" s="11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</row>
    <row r="1016" spans="1:16" x14ac:dyDescent="0.25">
      <c r="A1016" s="11"/>
      <c r="B1016" s="11"/>
      <c r="C1016" s="11"/>
      <c r="D1016" s="11"/>
      <c r="E1016" s="11"/>
      <c r="F1016" s="11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</row>
    <row r="1017" spans="1:16" x14ac:dyDescent="0.25">
      <c r="A1017" s="11"/>
      <c r="B1017" s="11"/>
      <c r="C1017" s="11"/>
      <c r="D1017" s="11"/>
      <c r="E1017" s="11"/>
      <c r="F1017" s="11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</row>
    <row r="1018" spans="1:16" x14ac:dyDescent="0.25">
      <c r="A1018" s="11"/>
      <c r="B1018" s="11"/>
      <c r="C1018" s="11"/>
      <c r="D1018" s="11"/>
      <c r="E1018" s="11"/>
      <c r="F1018" s="11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</row>
    <row r="1019" spans="1:16" x14ac:dyDescent="0.25">
      <c r="A1019" s="11"/>
      <c r="B1019" s="11"/>
      <c r="C1019" s="11"/>
      <c r="D1019" s="11"/>
      <c r="E1019" s="11"/>
      <c r="F1019" s="11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</row>
    <row r="1020" spans="1:16" x14ac:dyDescent="0.25">
      <c r="A1020" s="11"/>
      <c r="B1020" s="11"/>
      <c r="C1020" s="11"/>
      <c r="D1020" s="11"/>
      <c r="E1020" s="11"/>
      <c r="F1020" s="11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</row>
    <row r="1021" spans="1:16" x14ac:dyDescent="0.25">
      <c r="A1021" s="11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</row>
    <row r="1022" spans="1:16" x14ac:dyDescent="0.25">
      <c r="A1022" s="11"/>
      <c r="B1022" s="11"/>
      <c r="C1022" s="11"/>
      <c r="D1022" s="11"/>
      <c r="E1022" s="11"/>
      <c r="F1022" s="11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</row>
    <row r="1023" spans="1:16" x14ac:dyDescent="0.25">
      <c r="A1023" s="11"/>
      <c r="B1023" s="11"/>
      <c r="C1023" s="11"/>
      <c r="D1023" s="11"/>
      <c r="E1023" s="11"/>
      <c r="F1023" s="11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</row>
    <row r="1024" spans="1:16" x14ac:dyDescent="0.25">
      <c r="A1024" s="11"/>
      <c r="B1024" s="11"/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</row>
    <row r="1025" spans="1:16" x14ac:dyDescent="0.25">
      <c r="A1025" s="11"/>
      <c r="B1025" s="11"/>
      <c r="C1025" s="11"/>
      <c r="D1025" s="11"/>
      <c r="E1025" s="11"/>
      <c r="F1025" s="11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</row>
    <row r="1026" spans="1:16" x14ac:dyDescent="0.25">
      <c r="A1026" s="11"/>
      <c r="B1026" s="11"/>
      <c r="C1026" s="11"/>
      <c r="D1026" s="11"/>
      <c r="E1026" s="11"/>
      <c r="F1026" s="11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</row>
    <row r="1027" spans="1:16" x14ac:dyDescent="0.25">
      <c r="A1027" s="11"/>
      <c r="B1027" s="11"/>
      <c r="C1027" s="11"/>
      <c r="D1027" s="11"/>
      <c r="E1027" s="11"/>
      <c r="F1027" s="11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</row>
    <row r="1028" spans="1:16" x14ac:dyDescent="0.25">
      <c r="A1028" s="11"/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</row>
    <row r="1029" spans="1:16" x14ac:dyDescent="0.25">
      <c r="A1029" s="11"/>
      <c r="B1029" s="11"/>
      <c r="C1029" s="11"/>
      <c r="D1029" s="11"/>
      <c r="E1029" s="11"/>
      <c r="F1029" s="11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</row>
    <row r="1030" spans="1:16" x14ac:dyDescent="0.25">
      <c r="A1030" s="11"/>
      <c r="B1030" s="11"/>
      <c r="C1030" s="11"/>
      <c r="D1030" s="11"/>
      <c r="E1030" s="11"/>
      <c r="F1030" s="11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</row>
    <row r="1031" spans="1:16" x14ac:dyDescent="0.25">
      <c r="A1031" s="11"/>
      <c r="B1031" s="11"/>
      <c r="C1031" s="11"/>
      <c r="D1031" s="11"/>
      <c r="E1031" s="11"/>
      <c r="F1031" s="11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</row>
    <row r="1032" spans="1:16" x14ac:dyDescent="0.25">
      <c r="A1032" s="11"/>
      <c r="B1032" s="11"/>
      <c r="C1032" s="11"/>
      <c r="D1032" s="11"/>
      <c r="E1032" s="11"/>
      <c r="F1032" s="11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</row>
    <row r="1033" spans="1:16" x14ac:dyDescent="0.25">
      <c r="A1033" s="11"/>
      <c r="B1033" s="11"/>
      <c r="C1033" s="11"/>
      <c r="D1033" s="11"/>
      <c r="E1033" s="11"/>
      <c r="F1033" s="11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</row>
    <row r="1034" spans="1:16" x14ac:dyDescent="0.25">
      <c r="A1034" s="11"/>
      <c r="B1034" s="11"/>
      <c r="C1034" s="11"/>
      <c r="D1034" s="11"/>
      <c r="E1034" s="11"/>
      <c r="F1034" s="11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</row>
    <row r="1035" spans="1:16" x14ac:dyDescent="0.25">
      <c r="A1035" s="11"/>
      <c r="B1035" s="11"/>
      <c r="C1035" s="11"/>
      <c r="D1035" s="11"/>
      <c r="E1035" s="11"/>
      <c r="F1035" s="11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</row>
    <row r="1036" spans="1:16" x14ac:dyDescent="0.25">
      <c r="A1036" s="11"/>
      <c r="B1036" s="11"/>
      <c r="C1036" s="11"/>
      <c r="D1036" s="11"/>
      <c r="E1036" s="11"/>
      <c r="F1036" s="11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</row>
    <row r="1037" spans="1:16" x14ac:dyDescent="0.25">
      <c r="A1037" s="11"/>
      <c r="B1037" s="11"/>
      <c r="C1037" s="11"/>
      <c r="D1037" s="11"/>
      <c r="E1037" s="11"/>
      <c r="F1037" s="11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</row>
    <row r="1038" spans="1:16" x14ac:dyDescent="0.25">
      <c r="A1038" s="11"/>
      <c r="B1038" s="11"/>
      <c r="C1038" s="11"/>
      <c r="D1038" s="11"/>
      <c r="E1038" s="11"/>
      <c r="F1038" s="11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</row>
    <row r="1039" spans="1:16" x14ac:dyDescent="0.25">
      <c r="A1039" s="11"/>
      <c r="B1039" s="11"/>
      <c r="C1039" s="11"/>
      <c r="D1039" s="11"/>
      <c r="E1039" s="11"/>
      <c r="F1039" s="11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</row>
    <row r="1040" spans="1:16" x14ac:dyDescent="0.25">
      <c r="A1040" s="11"/>
      <c r="B1040" s="11"/>
      <c r="C1040" s="11"/>
      <c r="D1040" s="11"/>
      <c r="E1040" s="11"/>
      <c r="F1040" s="11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</row>
    <row r="1041" spans="1:16" x14ac:dyDescent="0.25">
      <c r="A1041" s="11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</row>
    <row r="1042" spans="1:16" x14ac:dyDescent="0.25">
      <c r="A1042" s="11"/>
      <c r="B1042" s="11"/>
      <c r="C1042" s="11"/>
      <c r="D1042" s="11"/>
      <c r="E1042" s="11"/>
      <c r="F1042" s="11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</row>
    <row r="1043" spans="1:16" x14ac:dyDescent="0.25">
      <c r="A1043" s="11"/>
      <c r="B1043" s="11"/>
      <c r="C1043" s="11"/>
      <c r="D1043" s="11"/>
      <c r="E1043" s="11"/>
      <c r="F1043" s="11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</row>
    <row r="1044" spans="1:16" x14ac:dyDescent="0.25">
      <c r="A1044" s="11"/>
      <c r="B1044" s="11"/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</row>
    <row r="1045" spans="1:16" x14ac:dyDescent="0.25">
      <c r="A1045" s="11"/>
      <c r="B1045" s="11"/>
      <c r="C1045" s="11"/>
      <c r="D1045" s="11"/>
      <c r="E1045" s="11"/>
      <c r="F1045" s="11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</row>
    <row r="1046" spans="1:16" x14ac:dyDescent="0.25">
      <c r="A1046" s="11"/>
      <c r="B1046" s="11"/>
      <c r="C1046" s="11"/>
      <c r="D1046" s="11"/>
      <c r="E1046" s="11"/>
      <c r="F1046" s="11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</row>
    <row r="1047" spans="1:16" x14ac:dyDescent="0.25">
      <c r="A1047" s="11"/>
      <c r="B1047" s="11"/>
      <c r="C1047" s="11"/>
      <c r="D1047" s="11"/>
      <c r="E1047" s="11"/>
      <c r="F1047" s="11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</row>
    <row r="1048" spans="1:16" x14ac:dyDescent="0.25">
      <c r="A1048" s="11"/>
      <c r="B1048" s="11"/>
      <c r="C1048" s="11"/>
      <c r="D1048" s="11"/>
      <c r="E1048" s="11"/>
      <c r="F1048" s="11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</row>
    <row r="1049" spans="1:16" x14ac:dyDescent="0.25">
      <c r="A1049" s="11"/>
      <c r="B1049" s="11"/>
      <c r="C1049" s="11"/>
      <c r="D1049" s="11"/>
      <c r="E1049" s="11"/>
      <c r="F1049" s="11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</row>
    <row r="1050" spans="1:16" x14ac:dyDescent="0.25">
      <c r="A1050" s="11"/>
      <c r="B1050" s="11"/>
      <c r="C1050" s="11"/>
      <c r="D1050" s="11"/>
      <c r="E1050" s="11"/>
      <c r="F1050" s="11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</row>
    <row r="1051" spans="1:16" x14ac:dyDescent="0.25">
      <c r="A1051" s="11"/>
      <c r="B1051" s="11"/>
      <c r="C1051" s="11"/>
      <c r="D1051" s="11"/>
      <c r="E1051" s="11"/>
      <c r="F1051" s="11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</row>
    <row r="1052" spans="1:16" x14ac:dyDescent="0.25">
      <c r="A1052" s="11"/>
      <c r="B1052" s="11"/>
      <c r="C1052" s="11"/>
      <c r="D1052" s="11"/>
      <c r="E1052" s="11"/>
      <c r="F1052" s="11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</row>
    <row r="1053" spans="1:16" x14ac:dyDescent="0.25">
      <c r="A1053" s="11"/>
      <c r="B1053" s="11"/>
      <c r="C1053" s="11"/>
      <c r="D1053" s="11"/>
      <c r="E1053" s="11"/>
      <c r="F1053" s="11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</row>
    <row r="1054" spans="1:16" x14ac:dyDescent="0.25">
      <c r="A1054" s="11"/>
      <c r="B1054" s="11"/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</row>
    <row r="1055" spans="1:16" x14ac:dyDescent="0.25">
      <c r="A1055" s="11"/>
      <c r="B1055" s="11"/>
      <c r="C1055" s="11"/>
      <c r="D1055" s="11"/>
      <c r="E1055" s="11"/>
      <c r="F1055" s="11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</row>
    <row r="1056" spans="1:16" x14ac:dyDescent="0.25">
      <c r="A1056" s="11"/>
      <c r="B1056" s="11"/>
      <c r="C1056" s="11"/>
      <c r="D1056" s="11"/>
      <c r="E1056" s="11"/>
      <c r="F1056" s="11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</row>
    <row r="1057" spans="1:16" x14ac:dyDescent="0.25">
      <c r="A1057" s="11"/>
      <c r="B1057" s="11"/>
      <c r="C1057" s="11"/>
      <c r="D1057" s="11"/>
      <c r="E1057" s="11"/>
      <c r="F1057" s="11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</row>
    <row r="1058" spans="1:16" x14ac:dyDescent="0.25">
      <c r="A1058" s="11"/>
      <c r="B1058" s="11"/>
      <c r="C1058" s="11"/>
      <c r="D1058" s="11"/>
      <c r="E1058" s="11"/>
      <c r="F1058" s="11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</row>
    <row r="1059" spans="1:16" x14ac:dyDescent="0.25">
      <c r="A1059" s="11"/>
      <c r="B1059" s="11"/>
      <c r="C1059" s="11"/>
      <c r="D1059" s="11"/>
      <c r="E1059" s="11"/>
      <c r="F1059" s="11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</row>
    <row r="1060" spans="1:16" x14ac:dyDescent="0.25">
      <c r="A1060" s="11"/>
      <c r="B1060" s="11"/>
      <c r="C1060" s="11"/>
      <c r="D1060" s="11"/>
      <c r="E1060" s="11"/>
      <c r="F1060" s="11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</row>
    <row r="1061" spans="1:16" x14ac:dyDescent="0.25">
      <c r="A1061" s="11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</row>
    <row r="1062" spans="1:16" x14ac:dyDescent="0.25">
      <c r="A1062" s="11"/>
      <c r="B1062" s="11"/>
      <c r="C1062" s="11"/>
      <c r="D1062" s="11"/>
      <c r="E1062" s="11"/>
      <c r="F1062" s="11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</row>
    <row r="1063" spans="1:16" x14ac:dyDescent="0.25">
      <c r="A1063" s="11"/>
      <c r="B1063" s="11"/>
      <c r="C1063" s="11"/>
      <c r="D1063" s="11"/>
      <c r="E1063" s="11"/>
      <c r="F1063" s="11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</row>
    <row r="1064" spans="1:16" x14ac:dyDescent="0.25">
      <c r="A1064" s="11"/>
      <c r="B1064" s="11"/>
      <c r="C1064" s="11"/>
      <c r="D1064" s="11"/>
      <c r="E1064" s="11"/>
      <c r="F1064" s="11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</row>
    <row r="1065" spans="1:16" x14ac:dyDescent="0.25">
      <c r="A1065" s="11"/>
      <c r="B1065" s="11"/>
      <c r="C1065" s="11"/>
      <c r="D1065" s="11"/>
      <c r="E1065" s="11"/>
      <c r="F1065" s="11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</row>
    <row r="1066" spans="1:16" x14ac:dyDescent="0.25">
      <c r="A1066" s="11"/>
      <c r="B1066" s="11"/>
      <c r="C1066" s="11"/>
      <c r="D1066" s="11"/>
      <c r="E1066" s="11"/>
      <c r="F1066" s="11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</row>
    <row r="1067" spans="1:16" x14ac:dyDescent="0.25">
      <c r="A1067" s="11"/>
      <c r="B1067" s="11"/>
      <c r="C1067" s="11"/>
      <c r="D1067" s="11"/>
      <c r="E1067" s="11"/>
      <c r="F1067" s="11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</row>
    <row r="1068" spans="1:16" x14ac:dyDescent="0.25">
      <c r="A1068" s="11"/>
      <c r="B1068" s="11"/>
      <c r="C1068" s="11"/>
      <c r="D1068" s="11"/>
      <c r="E1068" s="11"/>
      <c r="F1068" s="11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</row>
    <row r="1069" spans="1:16" x14ac:dyDescent="0.25">
      <c r="A1069" s="11"/>
      <c r="B1069" s="11"/>
      <c r="C1069" s="11"/>
      <c r="D1069" s="11"/>
      <c r="E1069" s="11"/>
      <c r="F1069" s="11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</row>
    <row r="1070" spans="1:16" x14ac:dyDescent="0.25">
      <c r="A1070" s="11"/>
      <c r="B1070" s="11"/>
      <c r="C1070" s="11"/>
      <c r="D1070" s="11"/>
      <c r="E1070" s="11"/>
      <c r="F1070" s="11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</row>
    <row r="1071" spans="1:16" x14ac:dyDescent="0.25">
      <c r="A1071" s="11"/>
      <c r="B1071" s="11"/>
      <c r="C1071" s="11"/>
      <c r="D1071" s="11"/>
      <c r="E1071" s="11"/>
      <c r="F1071" s="11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</row>
    <row r="1072" spans="1:16" x14ac:dyDescent="0.25">
      <c r="A1072" s="11"/>
      <c r="B1072" s="11"/>
      <c r="C1072" s="11"/>
      <c r="D1072" s="11"/>
      <c r="E1072" s="11"/>
      <c r="F1072" s="11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</row>
    <row r="1073" spans="1:16" x14ac:dyDescent="0.25">
      <c r="A1073" s="11"/>
      <c r="B1073" s="11"/>
      <c r="C1073" s="11"/>
      <c r="D1073" s="11"/>
      <c r="E1073" s="11"/>
      <c r="F1073" s="11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</row>
    <row r="1074" spans="1:16" x14ac:dyDescent="0.25">
      <c r="A1074" s="11"/>
      <c r="B1074" s="11"/>
      <c r="C1074" s="11"/>
      <c r="D1074" s="11"/>
      <c r="E1074" s="11"/>
      <c r="F1074" s="11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</row>
    <row r="1075" spans="1:16" x14ac:dyDescent="0.25">
      <c r="A1075" s="11"/>
      <c r="B1075" s="11"/>
      <c r="C1075" s="11"/>
      <c r="D1075" s="11"/>
      <c r="E1075" s="11"/>
      <c r="F1075" s="11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</row>
    <row r="1076" spans="1:16" x14ac:dyDescent="0.25">
      <c r="A1076" s="11"/>
      <c r="B1076" s="11"/>
      <c r="C1076" s="11"/>
      <c r="D1076" s="11"/>
      <c r="E1076" s="11"/>
      <c r="F1076" s="11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</row>
    <row r="1077" spans="1:16" x14ac:dyDescent="0.25">
      <c r="A1077" s="11"/>
      <c r="B1077" s="11"/>
      <c r="C1077" s="11"/>
      <c r="D1077" s="11"/>
      <c r="E1077" s="11"/>
      <c r="F1077" s="11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</row>
    <row r="1078" spans="1:16" x14ac:dyDescent="0.25">
      <c r="A1078" s="11"/>
      <c r="B1078" s="11"/>
      <c r="C1078" s="11"/>
      <c r="D1078" s="11"/>
      <c r="E1078" s="11"/>
      <c r="F1078" s="11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</row>
    <row r="1079" spans="1:16" x14ac:dyDescent="0.25">
      <c r="A1079" s="11"/>
      <c r="B1079" s="11"/>
      <c r="C1079" s="11"/>
      <c r="D1079" s="11"/>
      <c r="E1079" s="11"/>
      <c r="F1079" s="11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</row>
    <row r="1080" spans="1:16" x14ac:dyDescent="0.25">
      <c r="A1080" s="11"/>
      <c r="B1080" s="11"/>
      <c r="C1080" s="11"/>
      <c r="D1080" s="11"/>
      <c r="E1080" s="11"/>
      <c r="F1080" s="11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</row>
    <row r="1081" spans="1:16" x14ac:dyDescent="0.25">
      <c r="A1081" s="11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</row>
    <row r="1082" spans="1:16" x14ac:dyDescent="0.25">
      <c r="A1082" s="11"/>
      <c r="B1082" s="11"/>
      <c r="C1082" s="11"/>
      <c r="D1082" s="11"/>
      <c r="E1082" s="11"/>
      <c r="F1082" s="11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</row>
    <row r="1083" spans="1:16" x14ac:dyDescent="0.25">
      <c r="D1083" s="11"/>
      <c r="E1083" s="11"/>
      <c r="F1083" s="11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TextBox1">
          <controlPr defaultSize="0" autoLine="0" autoPict="0" r:id="rId4">
            <anchor moveWithCells="1">
              <from>
                <xdr:col>0</xdr:col>
                <xdr:colOff>9525</xdr:colOff>
                <xdr:row>5</xdr:row>
                <xdr:rowOff>200025</xdr:rowOff>
              </from>
              <to>
                <xdr:col>3</xdr:col>
                <xdr:colOff>9525</xdr:colOff>
                <xdr:row>6</xdr:row>
                <xdr:rowOff>228600</xdr:rowOff>
              </to>
            </anchor>
          </controlPr>
        </control>
      </mc:Choice>
      <mc:Fallback>
        <control shapeId="15361" r:id="rId3" name="TextBox1"/>
      </mc:Fallback>
    </mc:AlternateContent>
    <mc:AlternateContent xmlns:mc="http://schemas.openxmlformats.org/markup-compatibility/2006">
      <mc:Choice Requires="x14">
        <control shapeId="15362" r:id="rId5" name="Button 2">
          <controlPr defaultSize="0" print="0" autoFill="0" autoPict="0" macro="[0]!AÑO2020GUARDAR">
            <anchor moveWithCells="1" sizeWithCells="1">
              <from>
                <xdr:col>4</xdr:col>
                <xdr:colOff>19050</xdr:colOff>
                <xdr:row>7</xdr:row>
                <xdr:rowOff>19050</xdr:rowOff>
              </from>
              <to>
                <xdr:col>4</xdr:col>
                <xdr:colOff>2371725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63" r:id="rId6" name="Button 3">
          <controlPr defaultSize="0" print="0" autoFill="0" autoPict="0" macro="[0]!_xlnm.Database">
            <anchor moveWithCells="1" sizeWithCells="1">
              <from>
                <xdr:col>4</xdr:col>
                <xdr:colOff>2390775</xdr:colOff>
                <xdr:row>7</xdr:row>
                <xdr:rowOff>19050</xdr:rowOff>
              </from>
              <to>
                <xdr:col>6</xdr:col>
                <xdr:colOff>38100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64" r:id="rId7" name="Button 4">
          <controlPr defaultSize="0" print="0" autoFill="0" autoPict="0" macro="[0]!MENU">
            <anchor moveWithCells="1" sizeWithCells="1">
              <from>
                <xdr:col>6</xdr:col>
                <xdr:colOff>66675</xdr:colOff>
                <xdr:row>7</xdr:row>
                <xdr:rowOff>9525</xdr:rowOff>
              </from>
              <to>
                <xdr:col>7</xdr:col>
                <xdr:colOff>28575</xdr:colOff>
                <xdr:row>9</xdr:row>
                <xdr:rowOff>28575</xdr:rowOff>
              </to>
            </anchor>
          </controlPr>
        </control>
      </mc:Choice>
    </mc:AlternateContent>
  </controls>
  <tableParts count="1"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CB771-04AA-4540-AD4A-B6340AD041D2}">
  <sheetPr codeName="Hoja10">
    <tabColor theme="9" tint="0.39997558519241921"/>
  </sheetPr>
  <dimension ref="A5:G71"/>
  <sheetViews>
    <sheetView workbookViewId="0">
      <selection activeCell="E18" sqref="E18"/>
    </sheetView>
  </sheetViews>
  <sheetFormatPr baseColWidth="10" defaultRowHeight="15" x14ac:dyDescent="0.25"/>
  <cols>
    <col min="1" max="1" width="54" style="48" customWidth="1"/>
    <col min="2" max="2" width="17.5703125" style="48" customWidth="1"/>
    <col min="3" max="3" width="12" style="48" customWidth="1"/>
    <col min="4" max="4" width="4.42578125" style="48" customWidth="1"/>
    <col min="5" max="5" width="35.7109375" style="48" customWidth="1"/>
    <col min="6" max="6" width="24.42578125" style="48" customWidth="1"/>
    <col min="7" max="16384" width="11.42578125" style="48"/>
  </cols>
  <sheetData>
    <row r="5" spans="1:7" ht="15.75" thickBot="1" x14ac:dyDescent="0.3"/>
    <row r="6" spans="1:7" ht="27" thickBot="1" x14ac:dyDescent="0.45">
      <c r="E6" s="104" t="s">
        <v>3</v>
      </c>
      <c r="F6" s="105" t="s">
        <v>1</v>
      </c>
      <c r="G6" s="84" t="s">
        <v>2</v>
      </c>
    </row>
    <row r="7" spans="1:7" ht="19.5" thickBot="1" x14ac:dyDescent="0.35">
      <c r="E7" s="25"/>
      <c r="F7" s="25" t="s">
        <v>58</v>
      </c>
      <c r="G7" s="57" t="s">
        <v>278</v>
      </c>
    </row>
    <row r="11" spans="1:7" ht="19.5" thickBot="1" x14ac:dyDescent="0.35">
      <c r="A11" s="97" t="s">
        <v>4</v>
      </c>
      <c r="B11" s="97" t="s">
        <v>1</v>
      </c>
      <c r="C11" s="97" t="s">
        <v>2</v>
      </c>
    </row>
    <row r="12" spans="1:7" ht="19.5" thickBot="1" x14ac:dyDescent="0.35">
      <c r="A12" s="23" t="s">
        <v>115</v>
      </c>
      <c r="B12" s="33" t="s">
        <v>58</v>
      </c>
      <c r="C12" s="24" t="s">
        <v>118</v>
      </c>
    </row>
    <row r="13" spans="1:7" ht="19.5" thickBot="1" x14ac:dyDescent="0.35">
      <c r="A13" s="23" t="s">
        <v>104</v>
      </c>
      <c r="B13" s="33" t="s">
        <v>58</v>
      </c>
      <c r="C13" s="24" t="s">
        <v>119</v>
      </c>
    </row>
    <row r="14" spans="1:7" ht="19.5" thickBot="1" x14ac:dyDescent="0.35">
      <c r="A14" s="23" t="s">
        <v>71</v>
      </c>
      <c r="B14" s="33" t="s">
        <v>58</v>
      </c>
      <c r="C14" s="24" t="s">
        <v>120</v>
      </c>
    </row>
    <row r="15" spans="1:7" ht="19.5" thickBot="1" x14ac:dyDescent="0.35">
      <c r="A15" s="23" t="s">
        <v>70</v>
      </c>
      <c r="B15" s="33" t="s">
        <v>58</v>
      </c>
      <c r="C15" s="24" t="s">
        <v>121</v>
      </c>
    </row>
    <row r="16" spans="1:7" ht="19.5" thickBot="1" x14ac:dyDescent="0.35">
      <c r="A16" s="23" t="s">
        <v>62</v>
      </c>
      <c r="B16" s="33" t="s">
        <v>58</v>
      </c>
      <c r="C16" s="24" t="s">
        <v>122</v>
      </c>
    </row>
    <row r="17" spans="1:3" ht="19.5" thickBot="1" x14ac:dyDescent="0.35">
      <c r="A17" s="23" t="s">
        <v>102</v>
      </c>
      <c r="B17" s="33" t="s">
        <v>58</v>
      </c>
      <c r="C17" s="24" t="s">
        <v>123</v>
      </c>
    </row>
    <row r="18" spans="1:3" ht="19.5" thickBot="1" x14ac:dyDescent="0.35">
      <c r="A18" s="23" t="s">
        <v>67</v>
      </c>
      <c r="B18" s="33" t="s">
        <v>58</v>
      </c>
      <c r="C18" s="24" t="s">
        <v>124</v>
      </c>
    </row>
    <row r="19" spans="1:3" ht="19.5" thickBot="1" x14ac:dyDescent="0.35">
      <c r="A19" s="23" t="s">
        <v>61</v>
      </c>
      <c r="B19" s="33" t="s">
        <v>58</v>
      </c>
      <c r="C19" s="24" t="s">
        <v>125</v>
      </c>
    </row>
    <row r="20" spans="1:3" ht="19.5" thickBot="1" x14ac:dyDescent="0.35">
      <c r="A20" s="23" t="s">
        <v>57</v>
      </c>
      <c r="B20" s="33" t="s">
        <v>58</v>
      </c>
      <c r="C20" s="24" t="s">
        <v>126</v>
      </c>
    </row>
    <row r="21" spans="1:3" ht="19.5" thickBot="1" x14ac:dyDescent="0.35">
      <c r="A21" s="23" t="s">
        <v>76</v>
      </c>
      <c r="B21" s="33" t="s">
        <v>58</v>
      </c>
      <c r="C21" s="24" t="s">
        <v>127</v>
      </c>
    </row>
    <row r="22" spans="1:3" ht="19.5" thickBot="1" x14ac:dyDescent="0.35">
      <c r="A22" s="23" t="s">
        <v>60</v>
      </c>
      <c r="B22" s="33" t="s">
        <v>58</v>
      </c>
      <c r="C22" s="24" t="s">
        <v>128</v>
      </c>
    </row>
    <row r="23" spans="1:3" ht="19.5" thickBot="1" x14ac:dyDescent="0.35">
      <c r="A23" s="23" t="s">
        <v>112</v>
      </c>
      <c r="B23" s="33" t="s">
        <v>58</v>
      </c>
      <c r="C23" s="24" t="s">
        <v>129</v>
      </c>
    </row>
    <row r="24" spans="1:3" ht="19.5" thickBot="1" x14ac:dyDescent="0.35">
      <c r="A24" s="23" t="s">
        <v>81</v>
      </c>
      <c r="B24" s="33" t="s">
        <v>58</v>
      </c>
      <c r="C24" s="24" t="s">
        <v>130</v>
      </c>
    </row>
    <row r="25" spans="1:3" ht="19.5" thickBot="1" x14ac:dyDescent="0.35">
      <c r="A25" s="23" t="s">
        <v>111</v>
      </c>
      <c r="B25" s="33" t="s">
        <v>58</v>
      </c>
      <c r="C25" s="24" t="s">
        <v>131</v>
      </c>
    </row>
    <row r="26" spans="1:3" ht="19.5" thickBot="1" x14ac:dyDescent="0.35">
      <c r="A26" s="23" t="s">
        <v>69</v>
      </c>
      <c r="B26" s="33" t="s">
        <v>58</v>
      </c>
      <c r="C26" s="24" t="s">
        <v>132</v>
      </c>
    </row>
    <row r="27" spans="1:3" ht="19.5" thickBot="1" x14ac:dyDescent="0.35">
      <c r="A27" s="23" t="s">
        <v>94</v>
      </c>
      <c r="B27" s="33" t="s">
        <v>58</v>
      </c>
      <c r="C27" s="24" t="s">
        <v>133</v>
      </c>
    </row>
    <row r="28" spans="1:3" ht="19.5" thickBot="1" x14ac:dyDescent="0.35">
      <c r="A28" s="23" t="s">
        <v>75</v>
      </c>
      <c r="B28" s="33" t="s">
        <v>58</v>
      </c>
      <c r="C28" s="24" t="s">
        <v>134</v>
      </c>
    </row>
    <row r="29" spans="1:3" ht="19.5" thickBot="1" x14ac:dyDescent="0.35">
      <c r="A29" s="23" t="s">
        <v>91</v>
      </c>
      <c r="B29" s="33" t="s">
        <v>58</v>
      </c>
      <c r="C29" s="24" t="s">
        <v>135</v>
      </c>
    </row>
    <row r="30" spans="1:3" ht="19.5" thickBot="1" x14ac:dyDescent="0.35">
      <c r="A30" s="23" t="s">
        <v>66</v>
      </c>
      <c r="B30" s="33" t="s">
        <v>58</v>
      </c>
      <c r="C30" s="24" t="s">
        <v>136</v>
      </c>
    </row>
    <row r="31" spans="1:3" ht="19.5" thickBot="1" x14ac:dyDescent="0.35">
      <c r="A31" s="23" t="s">
        <v>101</v>
      </c>
      <c r="B31" s="33" t="s">
        <v>58</v>
      </c>
      <c r="C31" s="24" t="s">
        <v>137</v>
      </c>
    </row>
    <row r="32" spans="1:3" ht="19.5" thickBot="1" x14ac:dyDescent="0.35">
      <c r="A32" s="23" t="s">
        <v>100</v>
      </c>
      <c r="B32" s="33" t="s">
        <v>58</v>
      </c>
      <c r="C32" s="24" t="s">
        <v>138</v>
      </c>
    </row>
    <row r="33" spans="1:3" ht="19.5" thickBot="1" x14ac:dyDescent="0.35">
      <c r="A33" s="23" t="s">
        <v>107</v>
      </c>
      <c r="B33" s="33" t="s">
        <v>58</v>
      </c>
      <c r="C33" s="24" t="s">
        <v>139</v>
      </c>
    </row>
    <row r="34" spans="1:3" ht="19.5" thickBot="1" x14ac:dyDescent="0.35">
      <c r="A34" s="23" t="s">
        <v>59</v>
      </c>
      <c r="B34" s="33" t="s">
        <v>58</v>
      </c>
      <c r="C34" s="24" t="s">
        <v>140</v>
      </c>
    </row>
    <row r="35" spans="1:3" ht="19.5" thickBot="1" x14ac:dyDescent="0.35">
      <c r="A35" s="23" t="s">
        <v>84</v>
      </c>
      <c r="B35" s="33" t="s">
        <v>58</v>
      </c>
      <c r="C35" s="24" t="s">
        <v>141</v>
      </c>
    </row>
    <row r="36" spans="1:3" ht="19.5" thickBot="1" x14ac:dyDescent="0.35">
      <c r="A36" s="23" t="s">
        <v>74</v>
      </c>
      <c r="B36" s="33" t="s">
        <v>58</v>
      </c>
      <c r="C36" s="24" t="s">
        <v>142</v>
      </c>
    </row>
    <row r="37" spans="1:3" ht="19.5" thickBot="1" x14ac:dyDescent="0.35">
      <c r="A37" s="23" t="s">
        <v>113</v>
      </c>
      <c r="B37" s="33" t="s">
        <v>58</v>
      </c>
      <c r="C37" s="24" t="s">
        <v>143</v>
      </c>
    </row>
    <row r="38" spans="1:3" ht="19.5" thickBot="1" x14ac:dyDescent="0.35">
      <c r="A38" s="23" t="s">
        <v>110</v>
      </c>
      <c r="B38" s="33" t="s">
        <v>58</v>
      </c>
      <c r="C38" s="24" t="s">
        <v>144</v>
      </c>
    </row>
    <row r="39" spans="1:3" ht="19.5" thickBot="1" x14ac:dyDescent="0.35">
      <c r="A39" s="23" t="s">
        <v>68</v>
      </c>
      <c r="B39" s="33" t="s">
        <v>58</v>
      </c>
      <c r="C39" s="24" t="s">
        <v>145</v>
      </c>
    </row>
    <row r="40" spans="1:3" ht="19.5" thickBot="1" x14ac:dyDescent="0.35">
      <c r="A40" s="23" t="s">
        <v>116</v>
      </c>
      <c r="B40" s="33" t="s">
        <v>58</v>
      </c>
      <c r="C40" s="24" t="s">
        <v>146</v>
      </c>
    </row>
    <row r="41" spans="1:3" ht="19.5" thickBot="1" x14ac:dyDescent="0.35">
      <c r="A41" s="23" t="s">
        <v>82</v>
      </c>
      <c r="B41" s="33" t="s">
        <v>58</v>
      </c>
      <c r="C41" s="24" t="s">
        <v>147</v>
      </c>
    </row>
    <row r="42" spans="1:3" ht="19.5" thickBot="1" x14ac:dyDescent="0.35">
      <c r="A42" s="23" t="s">
        <v>73</v>
      </c>
      <c r="B42" s="33" t="s">
        <v>58</v>
      </c>
      <c r="C42" s="24" t="s">
        <v>148</v>
      </c>
    </row>
    <row r="43" spans="1:3" ht="19.5" thickBot="1" x14ac:dyDescent="0.35">
      <c r="A43" s="23" t="s">
        <v>106</v>
      </c>
      <c r="B43" s="33" t="s">
        <v>58</v>
      </c>
      <c r="C43" s="24" t="s">
        <v>149</v>
      </c>
    </row>
    <row r="44" spans="1:3" ht="19.5" thickBot="1" x14ac:dyDescent="0.35">
      <c r="A44" s="23" t="s">
        <v>98</v>
      </c>
      <c r="B44" s="33" t="s">
        <v>58</v>
      </c>
      <c r="C44" s="24" t="s">
        <v>150</v>
      </c>
    </row>
    <row r="45" spans="1:3" ht="19.5" thickBot="1" x14ac:dyDescent="0.35">
      <c r="A45" s="23" t="s">
        <v>87</v>
      </c>
      <c r="B45" s="33" t="s">
        <v>58</v>
      </c>
      <c r="C45" s="24" t="s">
        <v>151</v>
      </c>
    </row>
    <row r="46" spans="1:3" ht="19.5" thickBot="1" x14ac:dyDescent="0.35">
      <c r="A46" s="23" t="s">
        <v>72</v>
      </c>
      <c r="B46" s="33" t="s">
        <v>58</v>
      </c>
      <c r="C46" s="24" t="s">
        <v>152</v>
      </c>
    </row>
    <row r="47" spans="1:3" ht="19.5" thickBot="1" x14ac:dyDescent="0.35">
      <c r="A47" s="23" t="s">
        <v>92</v>
      </c>
      <c r="B47" s="33" t="s">
        <v>58</v>
      </c>
      <c r="C47" s="24" t="s">
        <v>153</v>
      </c>
    </row>
    <row r="48" spans="1:3" ht="19.5" thickBot="1" x14ac:dyDescent="0.35">
      <c r="A48" s="23" t="s">
        <v>105</v>
      </c>
      <c r="B48" s="33" t="s">
        <v>58</v>
      </c>
      <c r="C48" s="24" t="s">
        <v>154</v>
      </c>
    </row>
    <row r="49" spans="1:3" ht="19.5" thickBot="1" x14ac:dyDescent="0.35">
      <c r="A49" s="23" t="s">
        <v>114</v>
      </c>
      <c r="B49" s="33" t="s">
        <v>58</v>
      </c>
      <c r="C49" s="24" t="s">
        <v>155</v>
      </c>
    </row>
    <row r="50" spans="1:3" ht="19.5" thickBot="1" x14ac:dyDescent="0.35">
      <c r="A50" s="23" t="s">
        <v>86</v>
      </c>
      <c r="B50" s="33" t="s">
        <v>58</v>
      </c>
      <c r="C50" s="24" t="s">
        <v>156</v>
      </c>
    </row>
    <row r="51" spans="1:3" ht="19.5" thickBot="1" x14ac:dyDescent="0.35">
      <c r="A51" s="23" t="s">
        <v>65</v>
      </c>
      <c r="B51" s="33" t="s">
        <v>58</v>
      </c>
      <c r="C51" s="24" t="s">
        <v>157</v>
      </c>
    </row>
    <row r="52" spans="1:3" ht="19.5" thickBot="1" x14ac:dyDescent="0.35">
      <c r="A52" s="23" t="s">
        <v>64</v>
      </c>
      <c r="B52" s="33" t="s">
        <v>58</v>
      </c>
      <c r="C52" s="24" t="s">
        <v>158</v>
      </c>
    </row>
    <row r="53" spans="1:3" ht="19.5" thickBot="1" x14ac:dyDescent="0.35">
      <c r="A53" s="23" t="s">
        <v>80</v>
      </c>
      <c r="B53" s="33" t="s">
        <v>58</v>
      </c>
      <c r="C53" s="24" t="s">
        <v>159</v>
      </c>
    </row>
    <row r="54" spans="1:3" ht="19.5" thickBot="1" x14ac:dyDescent="0.35">
      <c r="A54" s="23" t="s">
        <v>83</v>
      </c>
      <c r="B54" s="33" t="s">
        <v>58</v>
      </c>
      <c r="C54" s="24" t="s">
        <v>160</v>
      </c>
    </row>
    <row r="55" spans="1:3" ht="19.5" thickBot="1" x14ac:dyDescent="0.35">
      <c r="A55" s="23" t="s">
        <v>93</v>
      </c>
      <c r="B55" s="33" t="s">
        <v>58</v>
      </c>
      <c r="C55" s="24" t="s">
        <v>161</v>
      </c>
    </row>
    <row r="56" spans="1:3" ht="19.5" thickBot="1" x14ac:dyDescent="0.35">
      <c r="A56" s="23" t="s">
        <v>63</v>
      </c>
      <c r="B56" s="33" t="s">
        <v>58</v>
      </c>
      <c r="C56" s="24" t="s">
        <v>162</v>
      </c>
    </row>
    <row r="57" spans="1:3" ht="19.5" thickBot="1" x14ac:dyDescent="0.35">
      <c r="A57" s="23" t="s">
        <v>89</v>
      </c>
      <c r="B57" s="33" t="s">
        <v>58</v>
      </c>
      <c r="C57" s="24" t="s">
        <v>163</v>
      </c>
    </row>
    <row r="58" spans="1:3" ht="19.5" thickBot="1" x14ac:dyDescent="0.35">
      <c r="A58" s="23" t="s">
        <v>79</v>
      </c>
      <c r="B58" s="33" t="s">
        <v>58</v>
      </c>
      <c r="C58" s="24" t="s">
        <v>164</v>
      </c>
    </row>
    <row r="59" spans="1:3" ht="19.5" thickBot="1" x14ac:dyDescent="0.35">
      <c r="A59" s="23" t="s">
        <v>78</v>
      </c>
      <c r="B59" s="33" t="s">
        <v>58</v>
      </c>
      <c r="C59" s="24" t="s">
        <v>165</v>
      </c>
    </row>
    <row r="60" spans="1:3" ht="19.5" thickBot="1" x14ac:dyDescent="0.35">
      <c r="A60" s="23" t="s">
        <v>109</v>
      </c>
      <c r="B60" s="33" t="s">
        <v>58</v>
      </c>
      <c r="C60" s="24" t="s">
        <v>166</v>
      </c>
    </row>
    <row r="61" spans="1:3" ht="19.5" thickBot="1" x14ac:dyDescent="0.35">
      <c r="A61" s="23" t="s">
        <v>103</v>
      </c>
      <c r="B61" s="33" t="s">
        <v>58</v>
      </c>
      <c r="C61" s="24" t="s">
        <v>167</v>
      </c>
    </row>
    <row r="62" spans="1:3" ht="19.5" thickBot="1" x14ac:dyDescent="0.35">
      <c r="A62" s="23" t="s">
        <v>77</v>
      </c>
      <c r="B62" s="33" t="s">
        <v>58</v>
      </c>
      <c r="C62" s="24" t="s">
        <v>168</v>
      </c>
    </row>
    <row r="63" spans="1:3" ht="19.5" thickBot="1" x14ac:dyDescent="0.35">
      <c r="A63" s="23" t="s">
        <v>96</v>
      </c>
      <c r="B63" s="33" t="s">
        <v>58</v>
      </c>
      <c r="C63" s="24" t="s">
        <v>169</v>
      </c>
    </row>
    <row r="64" spans="1:3" ht="19.5" thickBot="1" x14ac:dyDescent="0.35">
      <c r="A64" s="23" t="s">
        <v>95</v>
      </c>
      <c r="B64" s="33" t="s">
        <v>58</v>
      </c>
      <c r="C64" s="24" t="s">
        <v>170</v>
      </c>
    </row>
    <row r="65" spans="1:3" ht="19.5" thickBot="1" x14ac:dyDescent="0.35">
      <c r="A65" s="23" t="s">
        <v>85</v>
      </c>
      <c r="B65" s="33" t="s">
        <v>58</v>
      </c>
      <c r="C65" s="24" t="s">
        <v>171</v>
      </c>
    </row>
    <row r="66" spans="1:3" ht="19.5" thickBot="1" x14ac:dyDescent="0.35">
      <c r="A66" s="23" t="s">
        <v>97</v>
      </c>
      <c r="B66" s="33" t="s">
        <v>58</v>
      </c>
      <c r="C66" s="24" t="s">
        <v>172</v>
      </c>
    </row>
    <row r="67" spans="1:3" ht="19.5" thickBot="1" x14ac:dyDescent="0.35">
      <c r="A67" s="23" t="s">
        <v>88</v>
      </c>
      <c r="B67" s="33" t="s">
        <v>58</v>
      </c>
      <c r="C67" s="24" t="s">
        <v>173</v>
      </c>
    </row>
    <row r="68" spans="1:3" ht="19.5" thickBot="1" x14ac:dyDescent="0.35">
      <c r="A68" s="23" t="s">
        <v>90</v>
      </c>
      <c r="B68" s="33" t="s">
        <v>58</v>
      </c>
      <c r="C68" s="24" t="s">
        <v>174</v>
      </c>
    </row>
    <row r="69" spans="1:3" ht="19.5" thickBot="1" x14ac:dyDescent="0.35">
      <c r="A69" s="23" t="s">
        <v>99</v>
      </c>
      <c r="B69" s="33" t="s">
        <v>58</v>
      </c>
      <c r="C69" s="24" t="s">
        <v>175</v>
      </c>
    </row>
    <row r="70" spans="1:3" ht="19.5" thickBot="1" x14ac:dyDescent="0.35">
      <c r="A70" s="27" t="s">
        <v>108</v>
      </c>
      <c r="B70" s="35" t="s">
        <v>58</v>
      </c>
      <c r="C70" s="24" t="s">
        <v>176</v>
      </c>
    </row>
    <row r="71" spans="1:3" ht="18.75" x14ac:dyDescent="0.3">
      <c r="A71" s="106" t="s">
        <v>9</v>
      </c>
      <c r="B71" s="34"/>
      <c r="C71" s="107">
        <f>SUBTOTAL(103,TABLAAÑO2021[FICHA])</f>
        <v>59</v>
      </c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TextBox1">
          <controlPr defaultSize="0" autoLine="0" autoPict="0" r:id="rId4">
            <anchor moveWithCells="1">
              <from>
                <xdr:col>0</xdr:col>
                <xdr:colOff>9525</xdr:colOff>
                <xdr:row>5</xdr:row>
                <xdr:rowOff>38100</xdr:rowOff>
              </from>
              <to>
                <xdr:col>2</xdr:col>
                <xdr:colOff>762000</xdr:colOff>
                <xdr:row>6</xdr:row>
                <xdr:rowOff>66675</xdr:rowOff>
              </to>
            </anchor>
          </controlPr>
        </control>
      </mc:Choice>
      <mc:Fallback>
        <control shapeId="16385" r:id="rId3" name="TextBox1"/>
      </mc:Fallback>
    </mc:AlternateContent>
    <mc:AlternateContent xmlns:mc="http://schemas.openxmlformats.org/markup-compatibility/2006">
      <mc:Choice Requires="x14">
        <control shapeId="16386" r:id="rId5" name="Button 2">
          <controlPr defaultSize="0" print="0" autoFill="0" autoPict="0" macro="[0]!AÑO2021GUARDAR">
            <anchor moveWithCells="1" sizeWithCells="1">
              <from>
                <xdr:col>3</xdr:col>
                <xdr:colOff>285750</xdr:colOff>
                <xdr:row>7</xdr:row>
                <xdr:rowOff>9525</xdr:rowOff>
              </from>
              <to>
                <xdr:col>4</xdr:col>
                <xdr:colOff>2362200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6" name="Button 3">
          <controlPr defaultSize="0" print="0" autoFill="0" autoPict="0" macro="[0]!_xlnm.Database">
            <anchor moveWithCells="1" sizeWithCells="1">
              <from>
                <xdr:col>4</xdr:col>
                <xdr:colOff>2362200</xdr:colOff>
                <xdr:row>7</xdr:row>
                <xdr:rowOff>9525</xdr:rowOff>
              </from>
              <to>
                <xdr:col>6</xdr:col>
                <xdr:colOff>9525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7" name="Button 4">
          <controlPr defaultSize="0" print="0" autoFill="0" autoPict="0" macro="[0]!MENU">
            <anchor moveWithCells="1" sizeWithCells="1">
              <from>
                <xdr:col>6</xdr:col>
                <xdr:colOff>9525</xdr:colOff>
                <xdr:row>7</xdr:row>
                <xdr:rowOff>9525</xdr:rowOff>
              </from>
              <to>
                <xdr:col>6</xdr:col>
                <xdr:colOff>752475</xdr:colOff>
                <xdr:row>9</xdr:row>
                <xdr:rowOff>9525</xdr:rowOff>
              </to>
            </anchor>
          </controlPr>
        </control>
      </mc:Choice>
    </mc:AlternateContent>
  </controls>
  <tableParts count="1"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C9037-45D6-4FC7-9850-4B78142F3DE1}">
  <sheetPr codeName="Hoja11">
    <tabColor rgb="FF66FF33"/>
  </sheetPr>
  <dimension ref="A1:P2301"/>
  <sheetViews>
    <sheetView workbookViewId="0">
      <selection activeCell="E17" sqref="E17"/>
    </sheetView>
  </sheetViews>
  <sheetFormatPr baseColWidth="10" defaultRowHeight="15" x14ac:dyDescent="0.25"/>
  <cols>
    <col min="1" max="1" width="50.7109375" customWidth="1"/>
    <col min="2" max="2" width="20.28515625" customWidth="1"/>
    <col min="3" max="3" width="10" customWidth="1"/>
    <col min="4" max="4" width="4.85546875" customWidth="1"/>
    <col min="5" max="5" width="36.7109375" customWidth="1"/>
    <col min="6" max="6" width="25.85546875" customWidth="1"/>
  </cols>
  <sheetData>
    <row r="1" spans="1:16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</row>
    <row r="2" spans="1:16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</row>
    <row r="3" spans="1:16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</row>
    <row r="4" spans="1:16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</row>
    <row r="5" spans="1:16" ht="15.75" thickBot="1" x14ac:dyDescent="0.3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</row>
    <row r="6" spans="1:16" ht="27" thickBot="1" x14ac:dyDescent="0.45">
      <c r="A6" s="15"/>
      <c r="B6" s="15"/>
      <c r="C6" s="15"/>
      <c r="D6" s="15"/>
      <c r="E6" s="52" t="s">
        <v>3</v>
      </c>
      <c r="F6" s="53" t="s">
        <v>1</v>
      </c>
      <c r="G6" s="51" t="s">
        <v>2</v>
      </c>
      <c r="H6" s="15"/>
      <c r="I6" s="15"/>
      <c r="J6" s="15"/>
      <c r="K6" s="15"/>
      <c r="L6" s="15"/>
      <c r="M6" s="15"/>
      <c r="N6" s="15"/>
      <c r="O6" s="15"/>
      <c r="P6" s="15"/>
    </row>
    <row r="7" spans="1:16" ht="19.5" thickBot="1" x14ac:dyDescent="0.35">
      <c r="A7" s="15"/>
      <c r="B7" s="15"/>
      <c r="C7" s="15"/>
      <c r="D7" s="15"/>
      <c r="E7" s="25"/>
      <c r="F7" s="25" t="s">
        <v>117</v>
      </c>
      <c r="G7" s="57" t="s">
        <v>443</v>
      </c>
      <c r="H7" s="15"/>
      <c r="I7" s="15"/>
      <c r="J7" s="15"/>
      <c r="K7" s="15"/>
      <c r="L7" s="15"/>
      <c r="M7" s="15"/>
      <c r="N7" s="15"/>
      <c r="O7" s="15"/>
      <c r="P7" s="15"/>
    </row>
    <row r="8" spans="1:16" x14ac:dyDescent="0.25">
      <c r="A8" s="15"/>
      <c r="B8" s="15"/>
      <c r="C8" s="15"/>
      <c r="D8" s="15"/>
      <c r="E8" s="14"/>
      <c r="F8" s="14"/>
      <c r="G8" s="15"/>
      <c r="H8" s="15"/>
      <c r="I8" s="15"/>
      <c r="J8" s="15"/>
      <c r="K8" s="15"/>
      <c r="L8" s="15"/>
      <c r="M8" s="15"/>
      <c r="N8" s="15"/>
      <c r="O8" s="15"/>
      <c r="P8" s="15"/>
    </row>
    <row r="9" spans="1:16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</row>
    <row r="10" spans="1:16" ht="15.75" thickBot="1" x14ac:dyDescent="0.3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</row>
    <row r="11" spans="1:16" ht="19.5" thickBot="1" x14ac:dyDescent="0.35">
      <c r="A11" s="32" t="s">
        <v>4</v>
      </c>
      <c r="B11" s="32" t="s">
        <v>1</v>
      </c>
      <c r="C11" s="32" t="s">
        <v>2</v>
      </c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pans="1:16" ht="19.5" thickBot="1" x14ac:dyDescent="0.35">
      <c r="A12" s="25" t="s">
        <v>257</v>
      </c>
      <c r="B12" s="33" t="s">
        <v>117</v>
      </c>
      <c r="C12" s="26" t="s">
        <v>118</v>
      </c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</row>
    <row r="13" spans="1:16" ht="19.5" thickBot="1" x14ac:dyDescent="0.35">
      <c r="A13" s="25" t="s">
        <v>190</v>
      </c>
      <c r="B13" s="33" t="s">
        <v>117</v>
      </c>
      <c r="C13" s="26" t="s">
        <v>119</v>
      </c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</row>
    <row r="14" spans="1:16" ht="19.5" thickBot="1" x14ac:dyDescent="0.35">
      <c r="A14" s="25" t="s">
        <v>258</v>
      </c>
      <c r="B14" s="33" t="s">
        <v>117</v>
      </c>
      <c r="C14" s="26" t="s">
        <v>120</v>
      </c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</row>
    <row r="15" spans="1:16" ht="19.5" thickBot="1" x14ac:dyDescent="0.35">
      <c r="A15" s="25" t="s">
        <v>201</v>
      </c>
      <c r="B15" s="33" t="s">
        <v>117</v>
      </c>
      <c r="C15" s="26" t="s">
        <v>121</v>
      </c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</row>
    <row r="16" spans="1:16" ht="19.5" thickBot="1" x14ac:dyDescent="0.35">
      <c r="A16" s="25" t="s">
        <v>203</v>
      </c>
      <c r="B16" s="33" t="s">
        <v>117</v>
      </c>
      <c r="C16" s="26" t="s">
        <v>122</v>
      </c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</row>
    <row r="17" spans="1:16" ht="19.5" thickBot="1" x14ac:dyDescent="0.35">
      <c r="A17" s="25" t="s">
        <v>189</v>
      </c>
      <c r="B17" s="33" t="s">
        <v>117</v>
      </c>
      <c r="C17" s="26" t="s">
        <v>123</v>
      </c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</row>
    <row r="18" spans="1:16" ht="19.5" thickBot="1" x14ac:dyDescent="0.35">
      <c r="A18" s="25" t="s">
        <v>275</v>
      </c>
      <c r="B18" s="33" t="s">
        <v>117</v>
      </c>
      <c r="C18" s="26" t="s">
        <v>124</v>
      </c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</row>
    <row r="19" spans="1:16" ht="19.5" thickBot="1" x14ac:dyDescent="0.35">
      <c r="A19" s="25" t="s">
        <v>210</v>
      </c>
      <c r="B19" s="33" t="s">
        <v>117</v>
      </c>
      <c r="C19" s="26" t="s">
        <v>125</v>
      </c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</row>
    <row r="20" spans="1:16" ht="19.5" thickBot="1" x14ac:dyDescent="0.35">
      <c r="A20" s="25" t="s">
        <v>246</v>
      </c>
      <c r="B20" s="33" t="s">
        <v>117</v>
      </c>
      <c r="C20" s="26" t="s">
        <v>126</v>
      </c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</row>
    <row r="21" spans="1:16" ht="19.5" thickBot="1" x14ac:dyDescent="0.35">
      <c r="A21" s="25" t="s">
        <v>253</v>
      </c>
      <c r="B21" s="33" t="s">
        <v>117</v>
      </c>
      <c r="C21" s="26" t="s">
        <v>127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</row>
    <row r="22" spans="1:16" ht="19.5" thickBot="1" x14ac:dyDescent="0.35">
      <c r="A22" s="25" t="s">
        <v>195</v>
      </c>
      <c r="B22" s="33" t="s">
        <v>117</v>
      </c>
      <c r="C22" s="26" t="s">
        <v>128</v>
      </c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</row>
    <row r="23" spans="1:16" ht="19.5" thickBot="1" x14ac:dyDescent="0.35">
      <c r="A23" s="25" t="s">
        <v>226</v>
      </c>
      <c r="B23" s="33" t="s">
        <v>117</v>
      </c>
      <c r="C23" s="26" t="s">
        <v>129</v>
      </c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</row>
    <row r="24" spans="1:16" ht="19.5" thickBot="1" x14ac:dyDescent="0.35">
      <c r="A24" s="25" t="s">
        <v>211</v>
      </c>
      <c r="B24" s="33" t="s">
        <v>117</v>
      </c>
      <c r="C24" s="26" t="s">
        <v>130</v>
      </c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</row>
    <row r="25" spans="1:16" ht="19.5" thickBot="1" x14ac:dyDescent="0.35">
      <c r="A25" s="25" t="s">
        <v>250</v>
      </c>
      <c r="B25" s="33" t="s">
        <v>117</v>
      </c>
      <c r="C25" s="26" t="s">
        <v>131</v>
      </c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</row>
    <row r="26" spans="1:16" ht="19.5" thickBot="1" x14ac:dyDescent="0.35">
      <c r="A26" s="25" t="s">
        <v>213</v>
      </c>
      <c r="B26" s="33" t="s">
        <v>117</v>
      </c>
      <c r="C26" s="26" t="s">
        <v>132</v>
      </c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</row>
    <row r="27" spans="1:16" ht="19.5" thickBot="1" x14ac:dyDescent="0.35">
      <c r="A27" s="25" t="s">
        <v>245</v>
      </c>
      <c r="B27" s="33" t="s">
        <v>117</v>
      </c>
      <c r="C27" s="26" t="s">
        <v>133</v>
      </c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</row>
    <row r="28" spans="1:16" ht="19.5" thickBot="1" x14ac:dyDescent="0.35">
      <c r="A28" s="25" t="s">
        <v>212</v>
      </c>
      <c r="B28" s="33" t="s">
        <v>117</v>
      </c>
      <c r="C28" s="26" t="s">
        <v>134</v>
      </c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</row>
    <row r="29" spans="1:16" ht="19.5" thickBot="1" x14ac:dyDescent="0.35">
      <c r="A29" s="25" t="s">
        <v>200</v>
      </c>
      <c r="B29" s="33" t="s">
        <v>117</v>
      </c>
      <c r="C29" s="26" t="s">
        <v>135</v>
      </c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</row>
    <row r="30" spans="1:16" ht="19.5" thickBot="1" x14ac:dyDescent="0.35">
      <c r="A30" s="25" t="s">
        <v>188</v>
      </c>
      <c r="B30" s="33" t="s">
        <v>117</v>
      </c>
      <c r="C30" s="26" t="s">
        <v>136</v>
      </c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pans="1:16" ht="19.5" thickBot="1" x14ac:dyDescent="0.35">
      <c r="A31" s="25" t="s">
        <v>265</v>
      </c>
      <c r="B31" s="33" t="s">
        <v>117</v>
      </c>
      <c r="C31" s="26" t="s">
        <v>137</v>
      </c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</row>
    <row r="32" spans="1:16" ht="19.5" thickBot="1" x14ac:dyDescent="0.35">
      <c r="A32" s="25" t="s">
        <v>227</v>
      </c>
      <c r="B32" s="33" t="s">
        <v>117</v>
      </c>
      <c r="C32" s="26" t="s">
        <v>138</v>
      </c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3" spans="1:16" ht="19.5" thickBot="1" x14ac:dyDescent="0.35">
      <c r="A33" s="25" t="s">
        <v>264</v>
      </c>
      <c r="B33" s="33" t="s">
        <v>117</v>
      </c>
      <c r="C33" s="26" t="s">
        <v>139</v>
      </c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</row>
    <row r="34" spans="1:16" ht="19.5" thickBot="1" x14ac:dyDescent="0.35">
      <c r="A34" s="25" t="s">
        <v>202</v>
      </c>
      <c r="B34" s="33" t="s">
        <v>117</v>
      </c>
      <c r="C34" s="26" t="s">
        <v>140</v>
      </c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</row>
    <row r="35" spans="1:16" ht="19.5" thickBot="1" x14ac:dyDescent="0.35">
      <c r="A35" s="25" t="s">
        <v>181</v>
      </c>
      <c r="B35" s="33" t="s">
        <v>117</v>
      </c>
      <c r="C35" s="26" t="s">
        <v>141</v>
      </c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</row>
    <row r="36" spans="1:16" ht="19.5" thickBot="1" x14ac:dyDescent="0.35">
      <c r="A36" s="25" t="s">
        <v>179</v>
      </c>
      <c r="B36" s="33" t="s">
        <v>117</v>
      </c>
      <c r="C36" s="26" t="s">
        <v>142</v>
      </c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</row>
    <row r="37" spans="1:16" ht="19.5" thickBot="1" x14ac:dyDescent="0.35">
      <c r="A37" s="25" t="s">
        <v>223</v>
      </c>
      <c r="B37" s="33" t="s">
        <v>117</v>
      </c>
      <c r="C37" s="26" t="s">
        <v>143</v>
      </c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</row>
    <row r="38" spans="1:16" ht="19.5" thickBot="1" x14ac:dyDescent="0.35">
      <c r="A38" s="25" t="s">
        <v>229</v>
      </c>
      <c r="B38" s="33" t="s">
        <v>117</v>
      </c>
      <c r="C38" s="26" t="s">
        <v>144</v>
      </c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</row>
    <row r="39" spans="1:16" ht="19.5" thickBot="1" x14ac:dyDescent="0.35">
      <c r="A39" s="25" t="s">
        <v>225</v>
      </c>
      <c r="B39" s="33" t="s">
        <v>117</v>
      </c>
      <c r="C39" s="26" t="s">
        <v>145</v>
      </c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</row>
    <row r="40" spans="1:16" ht="19.5" thickBot="1" x14ac:dyDescent="0.35">
      <c r="A40" s="25" t="s">
        <v>240</v>
      </c>
      <c r="B40" s="33" t="s">
        <v>117</v>
      </c>
      <c r="C40" s="26" t="s">
        <v>146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</row>
    <row r="41" spans="1:16" ht="19.5" thickBot="1" x14ac:dyDescent="0.35">
      <c r="A41" s="25" t="s">
        <v>187</v>
      </c>
      <c r="B41" s="33" t="s">
        <v>117</v>
      </c>
      <c r="C41" s="26" t="s">
        <v>147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</row>
    <row r="42" spans="1:16" ht="19.5" thickBot="1" x14ac:dyDescent="0.35">
      <c r="A42" s="25" t="s">
        <v>241</v>
      </c>
      <c r="B42" s="33" t="s">
        <v>117</v>
      </c>
      <c r="C42" s="26" t="s">
        <v>148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</row>
    <row r="43" spans="1:16" ht="19.5" thickBot="1" x14ac:dyDescent="0.35">
      <c r="A43" s="25" t="s">
        <v>263</v>
      </c>
      <c r="B43" s="33" t="s">
        <v>117</v>
      </c>
      <c r="C43" s="26" t="s">
        <v>149</v>
      </c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</row>
    <row r="44" spans="1:16" ht="19.5" thickBot="1" x14ac:dyDescent="0.35">
      <c r="A44" s="25" t="s">
        <v>268</v>
      </c>
      <c r="B44" s="33" t="s">
        <v>117</v>
      </c>
      <c r="C44" s="26" t="s">
        <v>150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</row>
    <row r="45" spans="1:16" ht="19.5" thickBot="1" x14ac:dyDescent="0.35">
      <c r="A45" s="25" t="s">
        <v>260</v>
      </c>
      <c r="B45" s="33" t="s">
        <v>117</v>
      </c>
      <c r="C45" s="26" t="s">
        <v>151</v>
      </c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</row>
    <row r="46" spans="1:16" ht="19.5" thickBot="1" x14ac:dyDescent="0.35">
      <c r="A46" s="25" t="s">
        <v>180</v>
      </c>
      <c r="B46" s="33" t="s">
        <v>117</v>
      </c>
      <c r="C46" s="26" t="s">
        <v>152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</row>
    <row r="47" spans="1:16" ht="19.5" thickBot="1" x14ac:dyDescent="0.35">
      <c r="A47" s="25" t="s">
        <v>198</v>
      </c>
      <c r="B47" s="33" t="s">
        <v>117</v>
      </c>
      <c r="C47" s="26" t="s">
        <v>153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</row>
    <row r="48" spans="1:16" ht="19.5" thickBot="1" x14ac:dyDescent="0.35">
      <c r="A48" s="25" t="s">
        <v>186</v>
      </c>
      <c r="B48" s="33" t="s">
        <v>117</v>
      </c>
      <c r="C48" s="26" t="s">
        <v>154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</row>
    <row r="49" spans="1:16" ht="19.5" thickBot="1" x14ac:dyDescent="0.35">
      <c r="A49" s="25" t="s">
        <v>214</v>
      </c>
      <c r="B49" s="33" t="s">
        <v>117</v>
      </c>
      <c r="C49" s="26" t="s">
        <v>155</v>
      </c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</row>
    <row r="50" spans="1:16" ht="19.5" thickBot="1" x14ac:dyDescent="0.35">
      <c r="A50" s="25" t="s">
        <v>267</v>
      </c>
      <c r="B50" s="33" t="s">
        <v>117</v>
      </c>
      <c r="C50" s="26" t="s">
        <v>156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</row>
    <row r="51" spans="1:16" ht="19.5" thickBot="1" x14ac:dyDescent="0.35">
      <c r="A51" s="25" t="s">
        <v>184</v>
      </c>
      <c r="B51" s="33" t="s">
        <v>117</v>
      </c>
      <c r="C51" s="26" t="s">
        <v>157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</row>
    <row r="52" spans="1:16" ht="19.5" thickBot="1" x14ac:dyDescent="0.35">
      <c r="A52" s="25" t="s">
        <v>178</v>
      </c>
      <c r="B52" s="33" t="s">
        <v>117</v>
      </c>
      <c r="C52" s="26" t="s">
        <v>158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</row>
    <row r="53" spans="1:16" ht="19.5" thickBot="1" x14ac:dyDescent="0.35">
      <c r="A53" s="25" t="s">
        <v>266</v>
      </c>
      <c r="B53" s="33" t="s">
        <v>117</v>
      </c>
      <c r="C53" s="26" t="s">
        <v>159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</row>
    <row r="54" spans="1:16" ht="19.5" thickBot="1" x14ac:dyDescent="0.35">
      <c r="A54" s="25" t="s">
        <v>215</v>
      </c>
      <c r="B54" s="33" t="s">
        <v>117</v>
      </c>
      <c r="C54" s="26" t="s">
        <v>160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</row>
    <row r="55" spans="1:16" ht="19.5" thickBot="1" x14ac:dyDescent="0.35">
      <c r="A55" s="25" t="s">
        <v>354</v>
      </c>
      <c r="B55" s="33" t="s">
        <v>117</v>
      </c>
      <c r="C55" s="26" t="s">
        <v>161</v>
      </c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</row>
    <row r="56" spans="1:16" ht="19.5" thickBot="1" x14ac:dyDescent="0.35">
      <c r="A56" s="25" t="s">
        <v>197</v>
      </c>
      <c r="B56" s="33" t="s">
        <v>117</v>
      </c>
      <c r="C56" s="26" t="s">
        <v>162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</row>
    <row r="57" spans="1:16" ht="19.5" thickBot="1" x14ac:dyDescent="0.35">
      <c r="A57" s="25" t="s">
        <v>249</v>
      </c>
      <c r="B57" s="33" t="s">
        <v>117</v>
      </c>
      <c r="C57" s="26" t="s">
        <v>163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</row>
    <row r="58" spans="1:16" ht="19.5" thickBot="1" x14ac:dyDescent="0.35">
      <c r="A58" s="25" t="s">
        <v>236</v>
      </c>
      <c r="B58" s="33" t="s">
        <v>117</v>
      </c>
      <c r="C58" s="26" t="s">
        <v>164</v>
      </c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</row>
    <row r="59" spans="1:16" ht="19.5" thickBot="1" x14ac:dyDescent="0.35">
      <c r="A59" s="25" t="s">
        <v>228</v>
      </c>
      <c r="B59" s="33" t="s">
        <v>117</v>
      </c>
      <c r="C59" s="26" t="s">
        <v>165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</row>
    <row r="60" spans="1:16" ht="19.5" thickBot="1" x14ac:dyDescent="0.35">
      <c r="A60" s="25" t="s">
        <v>206</v>
      </c>
      <c r="B60" s="33" t="s">
        <v>117</v>
      </c>
      <c r="C60" s="26" t="s">
        <v>166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</row>
    <row r="61" spans="1:16" ht="19.5" thickBot="1" x14ac:dyDescent="0.35">
      <c r="A61" s="25" t="s">
        <v>217</v>
      </c>
      <c r="B61" s="33" t="s">
        <v>117</v>
      </c>
      <c r="C61" s="26" t="s">
        <v>167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</row>
    <row r="62" spans="1:16" ht="19.5" thickBot="1" x14ac:dyDescent="0.35">
      <c r="A62" s="25" t="s">
        <v>207</v>
      </c>
      <c r="B62" s="33" t="s">
        <v>117</v>
      </c>
      <c r="C62" s="26" t="s">
        <v>168</v>
      </c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</row>
    <row r="63" spans="1:16" ht="19.5" thickBot="1" x14ac:dyDescent="0.35">
      <c r="A63" s="25" t="s">
        <v>262</v>
      </c>
      <c r="B63" s="33" t="s">
        <v>117</v>
      </c>
      <c r="C63" s="26" t="s">
        <v>169</v>
      </c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</row>
    <row r="64" spans="1:16" ht="19.5" thickBot="1" x14ac:dyDescent="0.35">
      <c r="A64" s="25" t="s">
        <v>209</v>
      </c>
      <c r="B64" s="33" t="s">
        <v>117</v>
      </c>
      <c r="C64" s="26" t="s">
        <v>170</v>
      </c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</row>
    <row r="65" spans="1:16" ht="19.5" thickBot="1" x14ac:dyDescent="0.35">
      <c r="A65" s="25" t="s">
        <v>193</v>
      </c>
      <c r="B65" s="33" t="s">
        <v>117</v>
      </c>
      <c r="C65" s="26" t="s">
        <v>171</v>
      </c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</row>
    <row r="66" spans="1:16" ht="19.5" thickBot="1" x14ac:dyDescent="0.35">
      <c r="A66" s="25" t="s">
        <v>254</v>
      </c>
      <c r="B66" s="33" t="s">
        <v>117</v>
      </c>
      <c r="C66" s="26" t="s">
        <v>172</v>
      </c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</row>
    <row r="67" spans="1:16" ht="19.5" thickBot="1" x14ac:dyDescent="0.35">
      <c r="A67" s="25" t="s">
        <v>219</v>
      </c>
      <c r="B67" s="33" t="s">
        <v>117</v>
      </c>
      <c r="C67" s="26" t="s">
        <v>173</v>
      </c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</row>
    <row r="68" spans="1:16" ht="19.5" thickBot="1" x14ac:dyDescent="0.35">
      <c r="A68" s="25" t="s">
        <v>234</v>
      </c>
      <c r="B68" s="33" t="s">
        <v>117</v>
      </c>
      <c r="C68" s="26" t="s">
        <v>174</v>
      </c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</row>
    <row r="69" spans="1:16" ht="19.5" thickBot="1" x14ac:dyDescent="0.35">
      <c r="A69" s="25" t="s">
        <v>196</v>
      </c>
      <c r="B69" s="33" t="s">
        <v>117</v>
      </c>
      <c r="C69" s="26" t="s">
        <v>175</v>
      </c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</row>
    <row r="70" spans="1:16" ht="19.5" thickBot="1" x14ac:dyDescent="0.35">
      <c r="A70" s="25" t="s">
        <v>357</v>
      </c>
      <c r="B70" s="33" t="s">
        <v>117</v>
      </c>
      <c r="C70" s="26" t="s">
        <v>176</v>
      </c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</row>
    <row r="71" spans="1:16" ht="19.5" thickBot="1" x14ac:dyDescent="0.35">
      <c r="A71" s="25" t="s">
        <v>192</v>
      </c>
      <c r="B71" s="33" t="s">
        <v>117</v>
      </c>
      <c r="C71" s="26" t="s">
        <v>278</v>
      </c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</row>
    <row r="72" spans="1:16" ht="19.5" thickBot="1" x14ac:dyDescent="0.35">
      <c r="A72" s="25" t="s">
        <v>183</v>
      </c>
      <c r="B72" s="33" t="s">
        <v>117</v>
      </c>
      <c r="C72" s="26" t="s">
        <v>279</v>
      </c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</row>
    <row r="73" spans="1:16" ht="19.5" thickBot="1" x14ac:dyDescent="0.35">
      <c r="A73" s="25" t="s">
        <v>204</v>
      </c>
      <c r="B73" s="33" t="s">
        <v>117</v>
      </c>
      <c r="C73" s="26" t="s">
        <v>280</v>
      </c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</row>
    <row r="74" spans="1:16" ht="19.5" thickBot="1" x14ac:dyDescent="0.35">
      <c r="A74" s="25" t="s">
        <v>247</v>
      </c>
      <c r="B74" s="33" t="s">
        <v>117</v>
      </c>
      <c r="C74" s="26" t="s">
        <v>281</v>
      </c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</row>
    <row r="75" spans="1:16" ht="19.5" thickBot="1" x14ac:dyDescent="0.35">
      <c r="A75" s="25" t="s">
        <v>230</v>
      </c>
      <c r="B75" s="33" t="s">
        <v>117</v>
      </c>
      <c r="C75" s="26" t="s">
        <v>282</v>
      </c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</row>
    <row r="76" spans="1:16" ht="19.5" thickBot="1" x14ac:dyDescent="0.35">
      <c r="A76" s="25" t="s">
        <v>222</v>
      </c>
      <c r="B76" s="33" t="s">
        <v>117</v>
      </c>
      <c r="C76" s="26" t="s">
        <v>283</v>
      </c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</row>
    <row r="77" spans="1:16" ht="19.5" thickBot="1" x14ac:dyDescent="0.35">
      <c r="A77" s="25" t="s">
        <v>216</v>
      </c>
      <c r="B77" s="33" t="s">
        <v>117</v>
      </c>
      <c r="C77" s="26" t="s">
        <v>284</v>
      </c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</row>
    <row r="78" spans="1:16" ht="19.5" thickBot="1" x14ac:dyDescent="0.35">
      <c r="A78" s="25" t="s">
        <v>191</v>
      </c>
      <c r="B78" s="33" t="s">
        <v>117</v>
      </c>
      <c r="C78" s="26" t="s">
        <v>285</v>
      </c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</row>
    <row r="79" spans="1:16" ht="19.5" thickBot="1" x14ac:dyDescent="0.35">
      <c r="A79" s="25" t="s">
        <v>231</v>
      </c>
      <c r="B79" s="33" t="s">
        <v>117</v>
      </c>
      <c r="C79" s="26" t="s">
        <v>286</v>
      </c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</row>
    <row r="80" spans="1:16" ht="19.5" thickBot="1" x14ac:dyDescent="0.35">
      <c r="A80" s="25" t="s">
        <v>220</v>
      </c>
      <c r="B80" s="33" t="s">
        <v>117</v>
      </c>
      <c r="C80" s="26" t="s">
        <v>287</v>
      </c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</row>
    <row r="81" spans="1:16" ht="19.5" thickBot="1" x14ac:dyDescent="0.35">
      <c r="A81" s="25" t="s">
        <v>205</v>
      </c>
      <c r="B81" s="33" t="s">
        <v>117</v>
      </c>
      <c r="C81" s="26" t="s">
        <v>288</v>
      </c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</row>
    <row r="82" spans="1:16" ht="19.5" thickBot="1" x14ac:dyDescent="0.35">
      <c r="A82" s="25" t="s">
        <v>244</v>
      </c>
      <c r="B82" s="33" t="s">
        <v>117</v>
      </c>
      <c r="C82" s="26" t="s">
        <v>289</v>
      </c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</row>
    <row r="83" spans="1:16" ht="19.5" thickBot="1" x14ac:dyDescent="0.35">
      <c r="A83" s="25" t="s">
        <v>208</v>
      </c>
      <c r="B83" s="33" t="s">
        <v>117</v>
      </c>
      <c r="C83" s="26" t="s">
        <v>290</v>
      </c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</row>
    <row r="84" spans="1:16" ht="19.5" thickBot="1" x14ac:dyDescent="0.35">
      <c r="A84" s="25" t="s">
        <v>274</v>
      </c>
      <c r="B84" s="33" t="s">
        <v>117</v>
      </c>
      <c r="C84" s="26" t="s">
        <v>291</v>
      </c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</row>
    <row r="85" spans="1:16" ht="19.5" thickBot="1" x14ac:dyDescent="0.35">
      <c r="A85" s="25" t="s">
        <v>237</v>
      </c>
      <c r="B85" s="33" t="s">
        <v>117</v>
      </c>
      <c r="C85" s="26" t="s">
        <v>292</v>
      </c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</row>
    <row r="86" spans="1:16" ht="19.5" thickBot="1" x14ac:dyDescent="0.35">
      <c r="A86" s="25" t="s">
        <v>224</v>
      </c>
      <c r="B86" s="33" t="s">
        <v>117</v>
      </c>
      <c r="C86" s="26" t="s">
        <v>293</v>
      </c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</row>
    <row r="87" spans="1:16" ht="19.5" thickBot="1" x14ac:dyDescent="0.35">
      <c r="A87" s="25" t="s">
        <v>277</v>
      </c>
      <c r="B87" s="33" t="s">
        <v>117</v>
      </c>
      <c r="C87" s="26" t="s">
        <v>294</v>
      </c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</row>
    <row r="88" spans="1:16" ht="19.5" thickBot="1" x14ac:dyDescent="0.35">
      <c r="A88" s="25" t="s">
        <v>248</v>
      </c>
      <c r="B88" s="33" t="s">
        <v>117</v>
      </c>
      <c r="C88" s="26" t="s">
        <v>295</v>
      </c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</row>
    <row r="89" spans="1:16" ht="19.5" thickBot="1" x14ac:dyDescent="0.35">
      <c r="A89" s="25" t="s">
        <v>355</v>
      </c>
      <c r="B89" s="33" t="s">
        <v>117</v>
      </c>
      <c r="C89" s="26" t="s">
        <v>296</v>
      </c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</row>
    <row r="90" spans="1:16" ht="19.5" thickBot="1" x14ac:dyDescent="0.35">
      <c r="A90" s="25" t="s">
        <v>251</v>
      </c>
      <c r="B90" s="33" t="s">
        <v>117</v>
      </c>
      <c r="C90" s="26" t="s">
        <v>297</v>
      </c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</row>
    <row r="91" spans="1:16" ht="19.5" thickBot="1" x14ac:dyDescent="0.35">
      <c r="A91" s="25" t="s">
        <v>270</v>
      </c>
      <c r="B91" s="33" t="s">
        <v>117</v>
      </c>
      <c r="C91" s="26" t="s">
        <v>298</v>
      </c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</row>
    <row r="92" spans="1:16" ht="19.5" thickBot="1" x14ac:dyDescent="0.35">
      <c r="A92" s="25" t="s">
        <v>233</v>
      </c>
      <c r="B92" s="33" t="s">
        <v>117</v>
      </c>
      <c r="C92" s="26" t="s">
        <v>299</v>
      </c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</row>
    <row r="93" spans="1:16" ht="19.5" thickBot="1" x14ac:dyDescent="0.35">
      <c r="A93" s="25" t="s">
        <v>239</v>
      </c>
      <c r="B93" s="33" t="s">
        <v>117</v>
      </c>
      <c r="C93" s="26" t="s">
        <v>300</v>
      </c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</row>
    <row r="94" spans="1:16" ht="19.5" thickBot="1" x14ac:dyDescent="0.35">
      <c r="A94" s="25" t="s">
        <v>221</v>
      </c>
      <c r="B94" s="33" t="s">
        <v>117</v>
      </c>
      <c r="C94" s="26" t="s">
        <v>301</v>
      </c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</row>
    <row r="95" spans="1:16" ht="19.5" thickBot="1" x14ac:dyDescent="0.35">
      <c r="A95" s="25" t="s">
        <v>276</v>
      </c>
      <c r="B95" s="33" t="s">
        <v>117</v>
      </c>
      <c r="C95" s="26" t="s">
        <v>302</v>
      </c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</row>
    <row r="96" spans="1:16" ht="19.5" thickBot="1" x14ac:dyDescent="0.35">
      <c r="A96" s="25" t="s">
        <v>261</v>
      </c>
      <c r="B96" s="33" t="s">
        <v>117</v>
      </c>
      <c r="C96" s="26" t="s">
        <v>303</v>
      </c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</row>
    <row r="97" spans="1:16" ht="19.5" thickBot="1" x14ac:dyDescent="0.35">
      <c r="A97" s="25" t="s">
        <v>271</v>
      </c>
      <c r="B97" s="33" t="s">
        <v>117</v>
      </c>
      <c r="C97" s="26" t="s">
        <v>304</v>
      </c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</row>
    <row r="98" spans="1:16" ht="19.5" thickBot="1" x14ac:dyDescent="0.35">
      <c r="A98" s="25" t="s">
        <v>238</v>
      </c>
      <c r="B98" s="33" t="s">
        <v>117</v>
      </c>
      <c r="C98" s="26" t="s">
        <v>305</v>
      </c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</row>
    <row r="99" spans="1:16" ht="19.5" thickBot="1" x14ac:dyDescent="0.35">
      <c r="A99" s="25" t="s">
        <v>358</v>
      </c>
      <c r="B99" s="33" t="s">
        <v>117</v>
      </c>
      <c r="C99" s="26" t="s">
        <v>306</v>
      </c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</row>
    <row r="100" spans="1:16" ht="19.5" thickBot="1" x14ac:dyDescent="0.35">
      <c r="A100" s="25" t="s">
        <v>242</v>
      </c>
      <c r="B100" s="33" t="s">
        <v>117</v>
      </c>
      <c r="C100" s="26" t="s">
        <v>307</v>
      </c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</row>
    <row r="101" spans="1:16" ht="19.5" thickBot="1" x14ac:dyDescent="0.35">
      <c r="A101" s="25" t="s">
        <v>272</v>
      </c>
      <c r="B101" s="33" t="s">
        <v>117</v>
      </c>
      <c r="C101" s="26" t="s">
        <v>308</v>
      </c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</row>
    <row r="102" spans="1:16" ht="19.5" thickBot="1" x14ac:dyDescent="0.35">
      <c r="A102" s="25" t="s">
        <v>269</v>
      </c>
      <c r="B102" s="33" t="s">
        <v>117</v>
      </c>
      <c r="C102" s="26" t="s">
        <v>309</v>
      </c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</row>
    <row r="103" spans="1:16" ht="19.5" thickBot="1" x14ac:dyDescent="0.35">
      <c r="A103" s="25" t="s">
        <v>252</v>
      </c>
      <c r="B103" s="33" t="s">
        <v>117</v>
      </c>
      <c r="C103" s="26" t="s">
        <v>310</v>
      </c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</row>
    <row r="104" spans="1:16" ht="19.5" thickBot="1" x14ac:dyDescent="0.35">
      <c r="A104" s="25" t="s">
        <v>273</v>
      </c>
      <c r="B104" s="33" t="s">
        <v>117</v>
      </c>
      <c r="C104" s="26" t="s">
        <v>311</v>
      </c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</row>
    <row r="105" spans="1:16" ht="19.5" thickBot="1" x14ac:dyDescent="0.35">
      <c r="A105" s="25" t="s">
        <v>177</v>
      </c>
      <c r="B105" s="33" t="s">
        <v>117</v>
      </c>
      <c r="C105" s="26" t="s">
        <v>312</v>
      </c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</row>
    <row r="106" spans="1:16" ht="19.5" thickBot="1" x14ac:dyDescent="0.35">
      <c r="A106" s="25" t="s">
        <v>218</v>
      </c>
      <c r="B106" s="33" t="s">
        <v>117</v>
      </c>
      <c r="C106" s="26" t="s">
        <v>313</v>
      </c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</row>
    <row r="107" spans="1:16" ht="19.5" thickBot="1" x14ac:dyDescent="0.35">
      <c r="A107" s="25" t="s">
        <v>259</v>
      </c>
      <c r="B107" s="33" t="s">
        <v>117</v>
      </c>
      <c r="C107" s="26" t="s">
        <v>314</v>
      </c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</row>
    <row r="108" spans="1:16" ht="19.5" thickBot="1" x14ac:dyDescent="0.35">
      <c r="A108" s="25" t="s">
        <v>243</v>
      </c>
      <c r="B108" s="33" t="s">
        <v>117</v>
      </c>
      <c r="C108" s="26" t="s">
        <v>315</v>
      </c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</row>
    <row r="109" spans="1:16" ht="19.5" thickBot="1" x14ac:dyDescent="0.35">
      <c r="A109" s="25" t="s">
        <v>194</v>
      </c>
      <c r="B109" s="33" t="s">
        <v>117</v>
      </c>
      <c r="C109" s="26" t="s">
        <v>316</v>
      </c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</row>
    <row r="110" spans="1:16" ht="19.5" thickBot="1" x14ac:dyDescent="0.35">
      <c r="A110" s="25" t="s">
        <v>232</v>
      </c>
      <c r="B110" s="33" t="s">
        <v>117</v>
      </c>
      <c r="C110" s="26" t="s">
        <v>317</v>
      </c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</row>
    <row r="111" spans="1:16" ht="19.5" thickBot="1" x14ac:dyDescent="0.35">
      <c r="A111" s="25" t="s">
        <v>235</v>
      </c>
      <c r="B111" s="33" t="s">
        <v>117</v>
      </c>
      <c r="C111" s="26" t="s">
        <v>318</v>
      </c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</row>
    <row r="112" spans="1:16" ht="19.5" thickBot="1" x14ac:dyDescent="0.35">
      <c r="A112" s="25" t="s">
        <v>256</v>
      </c>
      <c r="B112" s="33" t="s">
        <v>117</v>
      </c>
      <c r="C112" s="26" t="s">
        <v>319</v>
      </c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</row>
    <row r="113" spans="1:16" ht="19.5" thickBot="1" x14ac:dyDescent="0.35">
      <c r="A113" s="24" t="s">
        <v>356</v>
      </c>
      <c r="B113" s="24"/>
      <c r="C113" s="26">
        <f ca="1">B28:C113=SUBTOTAL(103,TABLAAÑO2022[FICHA])</f>
        <v>0</v>
      </c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</row>
    <row r="114" spans="1:16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</row>
    <row r="115" spans="1:16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</row>
    <row r="116" spans="1:16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</row>
    <row r="117" spans="1:16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</row>
    <row r="118" spans="1:16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</row>
    <row r="119" spans="1:16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</row>
    <row r="120" spans="1:16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</row>
    <row r="121" spans="1:16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</row>
    <row r="122" spans="1:16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</row>
    <row r="123" spans="1:16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</row>
    <row r="124" spans="1:16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</row>
    <row r="125" spans="1:16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</row>
    <row r="126" spans="1:16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</row>
    <row r="127" spans="1:16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</row>
    <row r="128" spans="1:16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</row>
    <row r="129" spans="1:16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</row>
    <row r="130" spans="1:16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</row>
    <row r="131" spans="1:16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</row>
    <row r="132" spans="1:16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</row>
    <row r="133" spans="1:16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</row>
    <row r="134" spans="1:16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</row>
    <row r="135" spans="1:16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</row>
    <row r="136" spans="1:16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</row>
    <row r="137" spans="1:16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</row>
    <row r="138" spans="1:16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</row>
    <row r="139" spans="1:16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</row>
    <row r="140" spans="1:16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</row>
    <row r="141" spans="1:16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</row>
    <row r="142" spans="1:16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</row>
    <row r="143" spans="1:16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</row>
    <row r="144" spans="1:16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</row>
    <row r="145" spans="1:16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</row>
    <row r="146" spans="1:16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</row>
    <row r="147" spans="1:16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</row>
    <row r="148" spans="1:16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</row>
    <row r="149" spans="1:16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</row>
    <row r="150" spans="1:16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</row>
    <row r="151" spans="1:16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</row>
    <row r="152" spans="1:16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</row>
    <row r="153" spans="1:16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</row>
    <row r="154" spans="1:16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</row>
    <row r="155" spans="1:16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</row>
    <row r="156" spans="1:16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</row>
    <row r="157" spans="1:16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</row>
    <row r="158" spans="1:16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</row>
    <row r="159" spans="1:16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</row>
    <row r="160" spans="1:16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</row>
    <row r="161" spans="1:16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</row>
    <row r="162" spans="1:16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</row>
    <row r="163" spans="1:16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</row>
    <row r="164" spans="1:16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</row>
    <row r="165" spans="1:16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</row>
    <row r="166" spans="1:16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</row>
    <row r="167" spans="1:16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</row>
    <row r="168" spans="1:16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</row>
    <row r="169" spans="1:16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</row>
    <row r="170" spans="1:16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</row>
    <row r="171" spans="1:16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</row>
    <row r="172" spans="1:16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</row>
    <row r="173" spans="1:16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</row>
    <row r="174" spans="1:16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</row>
    <row r="175" spans="1:16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</row>
    <row r="176" spans="1:16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</row>
    <row r="177" spans="1:16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</row>
    <row r="178" spans="1:16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</row>
    <row r="179" spans="1:16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</row>
    <row r="180" spans="1:16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</row>
    <row r="181" spans="1:16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</row>
    <row r="182" spans="1:16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</row>
    <row r="183" spans="1:16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</row>
    <row r="184" spans="1:16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</row>
    <row r="185" spans="1:16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</row>
    <row r="186" spans="1:16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</row>
    <row r="187" spans="1:16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</row>
    <row r="188" spans="1:16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</row>
    <row r="189" spans="1:16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</row>
    <row r="190" spans="1:16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</row>
    <row r="191" spans="1:16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</row>
    <row r="192" spans="1:16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</row>
    <row r="193" spans="1:16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</row>
    <row r="194" spans="1:16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</row>
    <row r="195" spans="1:16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</row>
    <row r="196" spans="1:16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</row>
    <row r="197" spans="1:16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</row>
    <row r="198" spans="1:16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</row>
    <row r="199" spans="1:16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</row>
    <row r="200" spans="1:16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</row>
    <row r="201" spans="1:16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</row>
    <row r="202" spans="1:16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</row>
    <row r="203" spans="1:16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</row>
    <row r="204" spans="1:16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</row>
    <row r="205" spans="1:16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</row>
    <row r="206" spans="1:16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</row>
    <row r="207" spans="1:16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</row>
    <row r="208" spans="1:16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</row>
    <row r="209" spans="1:16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</row>
    <row r="210" spans="1:16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</row>
    <row r="211" spans="1:16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</row>
    <row r="212" spans="1:16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</row>
    <row r="213" spans="1:16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</row>
    <row r="214" spans="1:16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</row>
    <row r="215" spans="1:16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</row>
    <row r="216" spans="1:16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</row>
    <row r="217" spans="1:16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</row>
    <row r="218" spans="1:16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</row>
    <row r="219" spans="1:16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</row>
    <row r="220" spans="1:16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</row>
    <row r="221" spans="1:16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</row>
    <row r="222" spans="1:16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</row>
    <row r="223" spans="1:16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</row>
    <row r="224" spans="1:16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</row>
    <row r="225" spans="1:16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</row>
    <row r="226" spans="1:16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</row>
    <row r="227" spans="1:16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</row>
    <row r="228" spans="1:16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</row>
    <row r="229" spans="1:16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</row>
    <row r="230" spans="1:16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</row>
    <row r="231" spans="1:16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</row>
    <row r="232" spans="1:16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</row>
    <row r="233" spans="1:16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</row>
    <row r="234" spans="1:16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</row>
    <row r="235" spans="1:16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</row>
    <row r="236" spans="1:16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</row>
    <row r="237" spans="1:16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</row>
    <row r="238" spans="1:16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</row>
    <row r="239" spans="1:16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</row>
    <row r="240" spans="1:16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</row>
    <row r="241" spans="1:16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</row>
    <row r="242" spans="1:16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</row>
    <row r="243" spans="1:16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</row>
    <row r="244" spans="1:16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</row>
    <row r="245" spans="1:16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</row>
    <row r="246" spans="1:16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</row>
    <row r="247" spans="1:16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</row>
    <row r="248" spans="1:16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</row>
    <row r="249" spans="1:16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</row>
    <row r="250" spans="1:16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</row>
    <row r="251" spans="1:16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</row>
    <row r="252" spans="1:16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</row>
    <row r="253" spans="1:16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</row>
    <row r="254" spans="1:16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</row>
    <row r="255" spans="1:16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</row>
    <row r="256" spans="1:16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</row>
    <row r="257" spans="1:16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</row>
    <row r="258" spans="1:16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</row>
    <row r="259" spans="1:16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</row>
    <row r="260" spans="1:16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</row>
    <row r="261" spans="1:16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</row>
    <row r="262" spans="1:16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</row>
    <row r="263" spans="1:16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</row>
    <row r="264" spans="1:16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</row>
    <row r="265" spans="1:16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</row>
    <row r="266" spans="1:16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</row>
    <row r="267" spans="1:16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</row>
    <row r="268" spans="1:16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</row>
    <row r="269" spans="1:16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</row>
    <row r="270" spans="1:16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</row>
    <row r="271" spans="1:16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</row>
    <row r="272" spans="1:16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</row>
    <row r="273" spans="1:16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</row>
    <row r="274" spans="1:16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</row>
    <row r="275" spans="1:16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</row>
    <row r="276" spans="1:16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</row>
    <row r="277" spans="1:16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</row>
    <row r="278" spans="1:16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</row>
    <row r="279" spans="1:16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</row>
    <row r="280" spans="1:16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</row>
    <row r="281" spans="1:16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</row>
    <row r="282" spans="1:16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</row>
    <row r="283" spans="1:16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</row>
    <row r="284" spans="1:16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</row>
    <row r="285" spans="1:16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</row>
    <row r="286" spans="1:16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</row>
    <row r="287" spans="1:16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</row>
    <row r="288" spans="1:16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</row>
    <row r="289" spans="1:16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</row>
    <row r="290" spans="1:16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</row>
    <row r="291" spans="1:16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</row>
    <row r="292" spans="1:16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</row>
    <row r="293" spans="1:16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</row>
    <row r="294" spans="1:16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</row>
    <row r="295" spans="1:16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</row>
    <row r="296" spans="1:16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</row>
    <row r="297" spans="1:16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</row>
    <row r="298" spans="1:16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</row>
    <row r="299" spans="1:16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</row>
    <row r="300" spans="1:16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</row>
    <row r="301" spans="1:16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</row>
    <row r="302" spans="1:16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</row>
    <row r="303" spans="1:16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</row>
    <row r="304" spans="1:16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</row>
    <row r="305" spans="1:16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</row>
    <row r="306" spans="1:16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</row>
    <row r="307" spans="1:16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</row>
    <row r="308" spans="1:16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</row>
    <row r="309" spans="1:16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</row>
    <row r="310" spans="1:16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</row>
    <row r="311" spans="1:16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</row>
    <row r="312" spans="1:16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</row>
    <row r="313" spans="1:16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</row>
    <row r="314" spans="1:16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</row>
    <row r="315" spans="1:16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</row>
    <row r="316" spans="1:16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</row>
    <row r="317" spans="1:16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</row>
    <row r="318" spans="1:16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</row>
    <row r="319" spans="1:16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</row>
    <row r="320" spans="1:16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</row>
    <row r="321" spans="1:16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</row>
    <row r="322" spans="1:16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</row>
    <row r="323" spans="1:16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</row>
    <row r="324" spans="1:16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</row>
    <row r="325" spans="1:16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</row>
    <row r="326" spans="1:16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</row>
    <row r="327" spans="1:16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</row>
    <row r="328" spans="1:16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</row>
    <row r="329" spans="1:16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</row>
    <row r="330" spans="1:16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</row>
    <row r="331" spans="1:16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</row>
    <row r="332" spans="1:16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</row>
    <row r="333" spans="1:16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</row>
    <row r="334" spans="1:16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</row>
    <row r="335" spans="1:16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</row>
    <row r="336" spans="1:16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</row>
    <row r="337" spans="1:16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</row>
    <row r="338" spans="1:16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</row>
    <row r="339" spans="1:16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</row>
    <row r="340" spans="1:16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</row>
    <row r="341" spans="1:16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</row>
    <row r="342" spans="1:16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</row>
    <row r="343" spans="1:16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</row>
    <row r="344" spans="1:16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</row>
    <row r="345" spans="1:16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</row>
    <row r="346" spans="1:16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</row>
    <row r="347" spans="1:16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</row>
    <row r="348" spans="1:16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</row>
    <row r="349" spans="1:16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</row>
    <row r="350" spans="1:16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</row>
    <row r="351" spans="1:16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</row>
    <row r="352" spans="1:16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</row>
    <row r="353" spans="1:16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</row>
    <row r="354" spans="1:16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</row>
    <row r="355" spans="1:16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</row>
    <row r="356" spans="1:16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</row>
    <row r="357" spans="1:16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</row>
    <row r="358" spans="1:16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</row>
    <row r="359" spans="1:16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</row>
    <row r="360" spans="1:16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</row>
    <row r="361" spans="1:16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</row>
    <row r="362" spans="1:16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</row>
    <row r="363" spans="1:16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</row>
    <row r="364" spans="1:16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</row>
    <row r="365" spans="1:16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</row>
    <row r="366" spans="1:16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</row>
    <row r="367" spans="1:16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</row>
    <row r="368" spans="1:16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</row>
    <row r="369" spans="1:16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</row>
    <row r="370" spans="1:16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</row>
    <row r="371" spans="1:16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</row>
    <row r="372" spans="1:16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</row>
    <row r="373" spans="1:16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</row>
    <row r="374" spans="1:16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</row>
    <row r="375" spans="1:16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</row>
    <row r="376" spans="1:16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</row>
    <row r="377" spans="1:16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</row>
    <row r="378" spans="1:16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</row>
    <row r="379" spans="1:16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</row>
    <row r="380" spans="1:16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</row>
    <row r="381" spans="1:16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</row>
    <row r="382" spans="1:16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</row>
    <row r="383" spans="1:16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</row>
    <row r="384" spans="1:16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</row>
    <row r="385" spans="1:16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</row>
    <row r="386" spans="1:16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</row>
    <row r="387" spans="1:16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</row>
    <row r="388" spans="1:16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</row>
    <row r="389" spans="1:16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</row>
    <row r="390" spans="1:16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</row>
    <row r="391" spans="1:16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</row>
    <row r="392" spans="1:16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</row>
    <row r="393" spans="1:16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</row>
    <row r="394" spans="1:16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</row>
    <row r="395" spans="1:16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</row>
    <row r="396" spans="1:16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</row>
    <row r="397" spans="1:16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</row>
    <row r="398" spans="1:16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</row>
    <row r="399" spans="1:16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</row>
    <row r="400" spans="1:16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</row>
    <row r="401" spans="1:16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</row>
    <row r="402" spans="1:16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</row>
    <row r="403" spans="1:16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</row>
    <row r="404" spans="1:16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</row>
    <row r="405" spans="1:16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</row>
    <row r="406" spans="1:16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</row>
    <row r="407" spans="1:16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</row>
    <row r="408" spans="1:16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</row>
    <row r="409" spans="1:16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</row>
    <row r="410" spans="1:16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</row>
    <row r="411" spans="1:16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</row>
    <row r="412" spans="1:16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</row>
    <row r="413" spans="1:16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</row>
    <row r="414" spans="1:16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</row>
    <row r="415" spans="1:16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</row>
    <row r="416" spans="1:16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</row>
    <row r="417" spans="1:16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</row>
    <row r="418" spans="1:16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</row>
    <row r="419" spans="1:16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</row>
    <row r="420" spans="1:16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</row>
    <row r="421" spans="1:16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</row>
    <row r="422" spans="1:16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</row>
    <row r="423" spans="1:16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</row>
    <row r="424" spans="1:16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</row>
    <row r="425" spans="1:16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</row>
    <row r="426" spans="1:16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</row>
    <row r="427" spans="1:16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</row>
    <row r="428" spans="1:16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</row>
    <row r="429" spans="1:16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</row>
    <row r="430" spans="1:16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</row>
    <row r="431" spans="1:16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</row>
    <row r="432" spans="1:16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</row>
    <row r="433" spans="1:16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</row>
    <row r="434" spans="1:16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</row>
    <row r="435" spans="1:16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</row>
    <row r="436" spans="1:16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</row>
    <row r="437" spans="1:16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</row>
    <row r="438" spans="1:16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</row>
    <row r="439" spans="1:16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</row>
    <row r="440" spans="1:16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</row>
    <row r="441" spans="1:16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</row>
    <row r="442" spans="1:16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</row>
    <row r="443" spans="1:16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</row>
    <row r="444" spans="1:16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</row>
    <row r="445" spans="1:16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</row>
    <row r="446" spans="1:16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</row>
    <row r="447" spans="1:16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</row>
    <row r="448" spans="1:16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</row>
    <row r="449" spans="1:16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</row>
    <row r="450" spans="1:16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</row>
    <row r="451" spans="1:16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</row>
    <row r="452" spans="1:16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</row>
    <row r="453" spans="1:16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</row>
    <row r="454" spans="1:16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</row>
    <row r="455" spans="1:16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</row>
    <row r="456" spans="1:16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</row>
    <row r="457" spans="1:16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</row>
    <row r="458" spans="1:16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</row>
    <row r="459" spans="1:16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</row>
    <row r="460" spans="1:16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</row>
    <row r="461" spans="1:16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</row>
    <row r="462" spans="1:16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</row>
    <row r="463" spans="1:16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</row>
    <row r="464" spans="1:16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</row>
    <row r="465" spans="1:16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</row>
    <row r="466" spans="1:16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</row>
    <row r="467" spans="1:16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</row>
    <row r="468" spans="1:16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</row>
    <row r="469" spans="1:16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</row>
    <row r="470" spans="1:16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</row>
    <row r="471" spans="1:16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</row>
    <row r="472" spans="1:16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</row>
    <row r="473" spans="1:16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</row>
    <row r="474" spans="1:16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</row>
    <row r="475" spans="1:16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</row>
    <row r="476" spans="1:16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</row>
    <row r="477" spans="1:16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</row>
    <row r="478" spans="1:16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</row>
    <row r="479" spans="1:16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</row>
    <row r="480" spans="1:16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</row>
    <row r="481" spans="1:16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</row>
    <row r="482" spans="1:16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</row>
    <row r="483" spans="1:16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</row>
    <row r="484" spans="1:16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</row>
    <row r="485" spans="1:16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</row>
    <row r="486" spans="1:16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</row>
    <row r="487" spans="1:16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</row>
    <row r="488" spans="1:16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</row>
    <row r="489" spans="1:16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</row>
    <row r="490" spans="1:16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</row>
    <row r="491" spans="1:16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</row>
    <row r="492" spans="1:16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</row>
    <row r="493" spans="1:16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</row>
    <row r="494" spans="1:16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</row>
    <row r="495" spans="1:16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</row>
    <row r="496" spans="1:16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</row>
    <row r="497" spans="1:16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</row>
    <row r="498" spans="1:16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</row>
    <row r="499" spans="1:16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</row>
    <row r="500" spans="1:16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</row>
    <row r="501" spans="1:16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</row>
    <row r="502" spans="1:16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</row>
    <row r="503" spans="1:16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</row>
    <row r="504" spans="1:16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</row>
    <row r="505" spans="1:16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</row>
    <row r="506" spans="1:16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</row>
    <row r="507" spans="1:16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</row>
    <row r="508" spans="1:16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</row>
    <row r="509" spans="1:16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</row>
    <row r="510" spans="1:16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</row>
    <row r="511" spans="1:16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</row>
    <row r="512" spans="1:16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</row>
    <row r="513" spans="1:16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</row>
    <row r="514" spans="1:16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</row>
    <row r="515" spans="1:16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</row>
    <row r="516" spans="1:16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</row>
    <row r="517" spans="1:16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</row>
    <row r="518" spans="1:16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</row>
    <row r="519" spans="1:16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</row>
    <row r="520" spans="1:16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</row>
    <row r="521" spans="1:16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</row>
    <row r="522" spans="1:16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</row>
    <row r="523" spans="1:16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</row>
    <row r="524" spans="1:16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</row>
    <row r="525" spans="1:16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</row>
    <row r="526" spans="1:16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</row>
    <row r="527" spans="1:16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</row>
    <row r="528" spans="1:16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</row>
    <row r="529" spans="1:16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</row>
    <row r="530" spans="1:16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</row>
    <row r="531" spans="1:16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</row>
    <row r="532" spans="1:16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</row>
    <row r="533" spans="1:16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</row>
    <row r="534" spans="1:16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</row>
    <row r="535" spans="1:16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</row>
    <row r="536" spans="1:16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</row>
    <row r="537" spans="1:16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</row>
    <row r="538" spans="1:16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</row>
    <row r="539" spans="1:16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</row>
    <row r="540" spans="1:16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</row>
    <row r="541" spans="1:16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</row>
    <row r="542" spans="1:16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</row>
    <row r="543" spans="1:16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</row>
    <row r="544" spans="1:16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</row>
    <row r="545" spans="1:16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</row>
    <row r="546" spans="1:16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</row>
    <row r="547" spans="1:16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</row>
    <row r="548" spans="1:16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</row>
    <row r="549" spans="1:16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</row>
    <row r="550" spans="1:16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</row>
    <row r="551" spans="1:16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</row>
    <row r="552" spans="1:16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</row>
    <row r="553" spans="1:16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</row>
    <row r="554" spans="1:16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</row>
    <row r="555" spans="1:16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</row>
    <row r="556" spans="1:16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</row>
    <row r="557" spans="1:16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</row>
    <row r="558" spans="1:16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</row>
    <row r="559" spans="1:16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</row>
    <row r="560" spans="1:16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</row>
    <row r="561" spans="1:16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</row>
    <row r="562" spans="1:16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</row>
    <row r="563" spans="1:16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</row>
    <row r="564" spans="1:16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</row>
    <row r="565" spans="1:16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</row>
    <row r="566" spans="1:16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</row>
    <row r="567" spans="1:16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</row>
    <row r="568" spans="1:16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</row>
    <row r="569" spans="1:16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</row>
    <row r="570" spans="1:16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</row>
    <row r="571" spans="1:16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</row>
    <row r="572" spans="1:16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</row>
    <row r="573" spans="1:16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</row>
    <row r="574" spans="1:16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</row>
    <row r="575" spans="1:16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</row>
    <row r="576" spans="1:16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</row>
    <row r="577" spans="1:16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</row>
    <row r="578" spans="1:16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</row>
    <row r="579" spans="1:16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</row>
    <row r="580" spans="1:16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</row>
    <row r="581" spans="1:16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</row>
    <row r="582" spans="1:16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</row>
    <row r="583" spans="1:16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</row>
    <row r="584" spans="1:16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</row>
    <row r="585" spans="1:16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</row>
    <row r="586" spans="1:16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</row>
    <row r="587" spans="1:16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</row>
    <row r="588" spans="1:16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</row>
    <row r="589" spans="1:16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</row>
    <row r="590" spans="1:16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</row>
    <row r="591" spans="1:16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</row>
    <row r="592" spans="1:16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</row>
    <row r="593" spans="1:16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</row>
    <row r="594" spans="1:16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</row>
    <row r="595" spans="1:16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</row>
    <row r="596" spans="1:16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</row>
    <row r="597" spans="1:16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</row>
    <row r="598" spans="1:16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</row>
    <row r="599" spans="1:16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</row>
    <row r="600" spans="1:16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</row>
    <row r="601" spans="1:16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</row>
    <row r="602" spans="1:16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</row>
    <row r="603" spans="1:16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</row>
    <row r="604" spans="1:16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</row>
    <row r="605" spans="1:16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</row>
    <row r="606" spans="1:16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</row>
    <row r="607" spans="1:16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</row>
    <row r="608" spans="1:16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</row>
    <row r="609" spans="1:16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</row>
    <row r="610" spans="1:16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</row>
    <row r="611" spans="1:16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</row>
    <row r="612" spans="1:16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</row>
    <row r="613" spans="1:16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</row>
    <row r="614" spans="1:16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</row>
    <row r="615" spans="1:16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</row>
    <row r="616" spans="1:16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</row>
    <row r="617" spans="1:16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</row>
    <row r="618" spans="1:16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</row>
    <row r="619" spans="1:16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</row>
    <row r="620" spans="1:16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</row>
    <row r="621" spans="1:16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</row>
    <row r="622" spans="1:16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</row>
    <row r="623" spans="1:16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</row>
    <row r="624" spans="1:16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</row>
    <row r="625" spans="1:16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</row>
    <row r="626" spans="1:16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</row>
    <row r="627" spans="1:16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</row>
    <row r="628" spans="1:16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</row>
    <row r="629" spans="1:16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</row>
    <row r="630" spans="1:16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</row>
    <row r="631" spans="1:16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</row>
    <row r="632" spans="1:16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</row>
    <row r="633" spans="1:16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</row>
    <row r="634" spans="1:16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</row>
    <row r="635" spans="1:16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</row>
    <row r="636" spans="1:16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</row>
    <row r="637" spans="1:16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</row>
    <row r="638" spans="1:16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</row>
    <row r="639" spans="1:16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</row>
    <row r="640" spans="1:16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</row>
    <row r="641" spans="1:16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</row>
    <row r="642" spans="1:16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</row>
    <row r="643" spans="1:16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</row>
    <row r="644" spans="1:16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</row>
    <row r="645" spans="1:16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</row>
    <row r="646" spans="1:16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</row>
    <row r="647" spans="1:16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</row>
    <row r="648" spans="1:16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</row>
    <row r="649" spans="1:16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</row>
    <row r="650" spans="1:16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</row>
    <row r="651" spans="1:16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</row>
    <row r="652" spans="1:16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</row>
    <row r="653" spans="1:16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</row>
    <row r="654" spans="1:16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</row>
    <row r="655" spans="1:16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</row>
    <row r="656" spans="1:16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</row>
    <row r="657" spans="1:16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</row>
    <row r="658" spans="1:16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</row>
    <row r="659" spans="1:16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</row>
    <row r="660" spans="1:16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</row>
    <row r="661" spans="1:16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</row>
    <row r="662" spans="1:16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</row>
    <row r="663" spans="1:16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</row>
    <row r="664" spans="1:16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</row>
    <row r="665" spans="1:16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</row>
    <row r="666" spans="1:16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</row>
    <row r="667" spans="1:16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</row>
    <row r="668" spans="1:16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</row>
    <row r="669" spans="1:16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</row>
    <row r="670" spans="1:16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</row>
    <row r="671" spans="1:16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</row>
    <row r="672" spans="1:16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</row>
    <row r="673" spans="1:16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</row>
    <row r="674" spans="1:16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</row>
    <row r="675" spans="1:16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</row>
    <row r="676" spans="1:16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</row>
    <row r="677" spans="1:16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</row>
    <row r="678" spans="1:16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</row>
    <row r="679" spans="1:16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</row>
    <row r="680" spans="1:16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</row>
    <row r="681" spans="1:16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</row>
    <row r="682" spans="1:16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</row>
    <row r="683" spans="1:16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</row>
    <row r="684" spans="1:16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</row>
    <row r="685" spans="1:16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</row>
    <row r="686" spans="1:16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</row>
    <row r="687" spans="1:16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</row>
    <row r="688" spans="1:16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</row>
    <row r="689" spans="1:16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</row>
    <row r="690" spans="1:16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</row>
    <row r="691" spans="1:16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</row>
    <row r="692" spans="1:16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</row>
    <row r="693" spans="1:16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</row>
    <row r="694" spans="1:16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</row>
    <row r="695" spans="1:16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</row>
    <row r="696" spans="1:16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</row>
    <row r="697" spans="1:16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</row>
    <row r="698" spans="1:16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</row>
    <row r="699" spans="1:16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</row>
    <row r="700" spans="1:16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</row>
    <row r="701" spans="1:16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</row>
    <row r="702" spans="1:16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</row>
    <row r="703" spans="1:16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</row>
    <row r="704" spans="1:16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</row>
    <row r="705" spans="1:16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</row>
    <row r="706" spans="1:16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</row>
    <row r="707" spans="1:16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</row>
    <row r="708" spans="1:16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</row>
    <row r="709" spans="1:16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</row>
    <row r="710" spans="1:16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</row>
    <row r="711" spans="1:16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</row>
    <row r="712" spans="1:16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</row>
    <row r="713" spans="1:16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</row>
    <row r="714" spans="1:16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</row>
    <row r="715" spans="1:16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</row>
    <row r="716" spans="1:16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</row>
    <row r="717" spans="1:16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</row>
    <row r="718" spans="1:16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</row>
    <row r="719" spans="1:16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</row>
    <row r="720" spans="1:16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</row>
    <row r="721" spans="1:16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</row>
    <row r="722" spans="1:16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</row>
    <row r="723" spans="1:16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</row>
    <row r="724" spans="1:16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</row>
    <row r="725" spans="1:16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</row>
    <row r="726" spans="1:16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</row>
    <row r="727" spans="1:16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</row>
    <row r="728" spans="1:16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</row>
    <row r="729" spans="1:16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</row>
    <row r="730" spans="1:16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</row>
    <row r="731" spans="1:16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</row>
    <row r="732" spans="1:16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</row>
    <row r="733" spans="1:16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</row>
    <row r="734" spans="1:16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</row>
    <row r="735" spans="1:16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</row>
    <row r="736" spans="1:16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</row>
    <row r="737" spans="1:16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</row>
    <row r="738" spans="1:16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</row>
    <row r="739" spans="1:16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</row>
    <row r="740" spans="1:16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</row>
    <row r="741" spans="1:16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</row>
    <row r="742" spans="1:16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</row>
    <row r="743" spans="1:16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</row>
    <row r="744" spans="1:16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</row>
    <row r="745" spans="1:16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</row>
    <row r="746" spans="1:16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</row>
    <row r="747" spans="1:16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</row>
    <row r="748" spans="1:16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</row>
    <row r="749" spans="1:16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</row>
    <row r="750" spans="1:16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</row>
    <row r="751" spans="1:16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</row>
    <row r="752" spans="1:16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</row>
    <row r="753" spans="1:16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</row>
    <row r="754" spans="1:16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</row>
    <row r="755" spans="1:16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</row>
    <row r="756" spans="1:16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</row>
    <row r="757" spans="1:16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</row>
    <row r="758" spans="1:16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</row>
    <row r="759" spans="1:16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</row>
    <row r="760" spans="1:16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</row>
    <row r="761" spans="1:16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</row>
    <row r="762" spans="1:16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</row>
    <row r="763" spans="1:16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</row>
    <row r="764" spans="1:16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</row>
    <row r="765" spans="1:16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</row>
    <row r="766" spans="1:16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</row>
    <row r="767" spans="1:16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</row>
    <row r="768" spans="1:16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</row>
    <row r="769" spans="1:16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</row>
    <row r="770" spans="1:16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</row>
    <row r="771" spans="1:16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</row>
    <row r="772" spans="1:16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</row>
    <row r="773" spans="1:16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</row>
    <row r="774" spans="1:16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</row>
    <row r="775" spans="1:16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</row>
    <row r="776" spans="1:16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</row>
    <row r="777" spans="1:16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</row>
    <row r="778" spans="1:16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</row>
    <row r="779" spans="1:16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</row>
    <row r="780" spans="1:16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</row>
    <row r="781" spans="1:16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</row>
    <row r="782" spans="1:16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</row>
    <row r="783" spans="1:16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</row>
    <row r="784" spans="1:16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</row>
    <row r="785" spans="1:16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</row>
    <row r="786" spans="1:16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</row>
    <row r="787" spans="1:16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</row>
    <row r="788" spans="1:16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</row>
    <row r="789" spans="1:16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</row>
    <row r="790" spans="1:16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</row>
    <row r="791" spans="1:16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</row>
    <row r="792" spans="1:16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</row>
    <row r="793" spans="1:16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</row>
    <row r="794" spans="1:16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</row>
    <row r="795" spans="1:16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</row>
    <row r="796" spans="1:16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</row>
    <row r="797" spans="1:16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</row>
    <row r="798" spans="1:16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</row>
    <row r="799" spans="1:16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</row>
    <row r="800" spans="1:16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</row>
    <row r="801" spans="1:16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</row>
    <row r="802" spans="1:16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</row>
    <row r="803" spans="1:16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</row>
    <row r="804" spans="1:16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</row>
    <row r="805" spans="1:16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</row>
    <row r="806" spans="1:16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</row>
    <row r="807" spans="1:16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</row>
    <row r="808" spans="1:16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</row>
    <row r="809" spans="1:16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</row>
    <row r="810" spans="1:16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</row>
    <row r="811" spans="1:16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</row>
    <row r="812" spans="1:16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</row>
    <row r="813" spans="1:16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</row>
    <row r="814" spans="1:16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</row>
    <row r="815" spans="1:16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</row>
    <row r="816" spans="1:16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</row>
    <row r="817" spans="1:16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</row>
    <row r="818" spans="1:16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</row>
    <row r="819" spans="1:16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</row>
    <row r="820" spans="1:16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</row>
    <row r="821" spans="1:16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</row>
    <row r="822" spans="1:16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</row>
    <row r="823" spans="1:16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</row>
    <row r="824" spans="1:16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</row>
    <row r="825" spans="1:16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</row>
    <row r="826" spans="1:16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</row>
    <row r="827" spans="1:16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</row>
    <row r="828" spans="1:16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</row>
    <row r="829" spans="1:16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</row>
    <row r="830" spans="1:16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</row>
    <row r="831" spans="1:16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</row>
    <row r="832" spans="1:16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</row>
    <row r="833" spans="1:16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</row>
    <row r="834" spans="1:16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</row>
    <row r="835" spans="1:16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</row>
    <row r="836" spans="1:16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</row>
    <row r="837" spans="1:16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</row>
    <row r="838" spans="1:16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</row>
    <row r="839" spans="1:16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</row>
    <row r="840" spans="1:16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</row>
    <row r="841" spans="1:16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</row>
    <row r="842" spans="1:16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</row>
    <row r="843" spans="1:16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</row>
    <row r="844" spans="1:16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</row>
    <row r="845" spans="1:16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</row>
    <row r="846" spans="1:16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</row>
    <row r="847" spans="1:16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</row>
    <row r="848" spans="1:16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</row>
    <row r="849" spans="1:16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</row>
    <row r="850" spans="1:16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</row>
    <row r="851" spans="1:16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</row>
    <row r="852" spans="1:16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</row>
    <row r="853" spans="1:16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</row>
    <row r="854" spans="1:16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</row>
    <row r="855" spans="1:16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</row>
    <row r="856" spans="1:16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</row>
    <row r="857" spans="1:16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</row>
    <row r="858" spans="1:16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</row>
    <row r="859" spans="1:16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</row>
    <row r="860" spans="1:16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</row>
    <row r="861" spans="1:16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</row>
    <row r="862" spans="1:16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</row>
    <row r="863" spans="1:16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</row>
    <row r="864" spans="1:16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</row>
    <row r="865" spans="1:16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</row>
    <row r="866" spans="1:16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</row>
    <row r="867" spans="1:16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</row>
    <row r="868" spans="1:16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</row>
    <row r="869" spans="1:16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</row>
    <row r="870" spans="1:16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</row>
    <row r="871" spans="1:16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</row>
    <row r="872" spans="1:16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</row>
    <row r="873" spans="1:16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</row>
    <row r="874" spans="1:16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</row>
    <row r="875" spans="1:16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</row>
    <row r="876" spans="1:16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</row>
    <row r="877" spans="1:16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</row>
    <row r="878" spans="1:16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</row>
    <row r="879" spans="1:16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</row>
    <row r="880" spans="1:16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</row>
    <row r="881" spans="1:16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</row>
    <row r="882" spans="1:16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</row>
    <row r="883" spans="1:16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</row>
    <row r="884" spans="1:16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</row>
    <row r="885" spans="1:16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</row>
    <row r="886" spans="1:16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</row>
    <row r="887" spans="1:16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</row>
    <row r="888" spans="1:16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</row>
    <row r="889" spans="1:16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</row>
    <row r="890" spans="1:16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</row>
    <row r="891" spans="1:16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</row>
    <row r="892" spans="1:16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</row>
    <row r="893" spans="1:16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</row>
    <row r="894" spans="1:16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</row>
    <row r="895" spans="1:16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</row>
    <row r="896" spans="1:16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</row>
    <row r="897" spans="1:16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</row>
    <row r="898" spans="1:16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</row>
    <row r="899" spans="1:16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</row>
    <row r="900" spans="1:16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</row>
    <row r="901" spans="1:16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</row>
    <row r="902" spans="1:16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</row>
    <row r="903" spans="1:16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</row>
    <row r="904" spans="1:16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</row>
    <row r="905" spans="1:16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</row>
    <row r="906" spans="1:16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</row>
    <row r="907" spans="1:16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</row>
    <row r="908" spans="1:16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</row>
    <row r="909" spans="1:16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</row>
    <row r="910" spans="1:16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</row>
    <row r="911" spans="1:16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</row>
    <row r="912" spans="1:16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</row>
    <row r="913" spans="1:16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</row>
    <row r="914" spans="1:16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</row>
    <row r="915" spans="1:16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</row>
    <row r="916" spans="1:16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</row>
    <row r="917" spans="1:16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</row>
    <row r="918" spans="1:16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</row>
    <row r="919" spans="1:16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</row>
    <row r="920" spans="1:16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</row>
    <row r="921" spans="1:16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</row>
    <row r="922" spans="1:16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</row>
    <row r="923" spans="1:16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</row>
    <row r="924" spans="1:16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</row>
    <row r="925" spans="1:16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</row>
    <row r="926" spans="1:16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</row>
    <row r="927" spans="1:16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</row>
    <row r="928" spans="1:16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</row>
    <row r="929" spans="1:16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</row>
    <row r="930" spans="1:16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</row>
    <row r="931" spans="1:16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</row>
    <row r="932" spans="1:16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</row>
    <row r="933" spans="1:16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</row>
    <row r="934" spans="1:16" x14ac:dyDescent="0.25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  <c r="P934" s="15"/>
    </row>
    <row r="935" spans="1:16" x14ac:dyDescent="0.25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  <c r="P935" s="15"/>
    </row>
    <row r="936" spans="1:16" x14ac:dyDescent="0.25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  <c r="P936" s="15"/>
    </row>
    <row r="937" spans="1:16" x14ac:dyDescent="0.25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  <c r="P937" s="15"/>
    </row>
    <row r="938" spans="1:16" x14ac:dyDescent="0.25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  <c r="P938" s="15"/>
    </row>
    <row r="939" spans="1:16" x14ac:dyDescent="0.25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  <c r="P939" s="15"/>
    </row>
    <row r="940" spans="1:16" x14ac:dyDescent="0.25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  <c r="P940" s="15"/>
    </row>
    <row r="941" spans="1:16" x14ac:dyDescent="0.25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  <c r="P941" s="15"/>
    </row>
    <row r="942" spans="1:16" x14ac:dyDescent="0.25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15"/>
    </row>
    <row r="943" spans="1:16" x14ac:dyDescent="0.25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  <c r="P943" s="15"/>
    </row>
    <row r="944" spans="1:16" x14ac:dyDescent="0.25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  <c r="P944" s="15"/>
    </row>
    <row r="945" spans="1:16" x14ac:dyDescent="0.25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  <c r="P945" s="15"/>
    </row>
    <row r="946" spans="1:16" x14ac:dyDescent="0.25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  <c r="P946" s="15"/>
    </row>
    <row r="947" spans="1:16" x14ac:dyDescent="0.25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  <c r="P947" s="15"/>
    </row>
    <row r="948" spans="1:16" x14ac:dyDescent="0.25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  <c r="P948" s="15"/>
    </row>
    <row r="949" spans="1:16" x14ac:dyDescent="0.25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  <c r="P949" s="15"/>
    </row>
    <row r="950" spans="1:16" x14ac:dyDescent="0.25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  <c r="P950" s="15"/>
    </row>
    <row r="951" spans="1:16" x14ac:dyDescent="0.25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  <c r="P951" s="15"/>
    </row>
    <row r="952" spans="1:16" x14ac:dyDescent="0.25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  <c r="P952" s="15"/>
    </row>
    <row r="953" spans="1:16" x14ac:dyDescent="0.25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  <c r="P953" s="15"/>
    </row>
    <row r="954" spans="1:16" x14ac:dyDescent="0.25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  <c r="P954" s="15"/>
    </row>
    <row r="955" spans="1:16" x14ac:dyDescent="0.25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  <c r="P955" s="15"/>
    </row>
    <row r="956" spans="1:16" x14ac:dyDescent="0.25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  <c r="P956" s="15"/>
    </row>
    <row r="957" spans="1:16" x14ac:dyDescent="0.25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  <c r="P957" s="15"/>
    </row>
    <row r="958" spans="1:16" x14ac:dyDescent="0.25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  <c r="P958" s="15"/>
    </row>
    <row r="959" spans="1:16" x14ac:dyDescent="0.25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  <c r="P959" s="15"/>
    </row>
    <row r="960" spans="1:16" x14ac:dyDescent="0.25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  <c r="P960" s="15"/>
    </row>
    <row r="961" spans="1:16" x14ac:dyDescent="0.25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  <c r="P961" s="15"/>
    </row>
    <row r="962" spans="1:16" x14ac:dyDescent="0.25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  <c r="P962" s="15"/>
    </row>
    <row r="963" spans="1:16" x14ac:dyDescent="0.25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  <c r="P963" s="15"/>
    </row>
    <row r="964" spans="1:16" x14ac:dyDescent="0.25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  <c r="P964" s="15"/>
    </row>
    <row r="965" spans="1:16" x14ac:dyDescent="0.25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  <c r="P965" s="15"/>
    </row>
    <row r="966" spans="1:16" x14ac:dyDescent="0.25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  <c r="P966" s="15"/>
    </row>
    <row r="967" spans="1:16" x14ac:dyDescent="0.25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  <c r="P967" s="15"/>
    </row>
    <row r="968" spans="1:16" x14ac:dyDescent="0.25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  <c r="P968" s="15"/>
    </row>
    <row r="969" spans="1:16" x14ac:dyDescent="0.25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  <c r="P969" s="15"/>
    </row>
    <row r="970" spans="1:16" x14ac:dyDescent="0.25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15"/>
    </row>
    <row r="971" spans="1:16" x14ac:dyDescent="0.25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15"/>
    </row>
    <row r="972" spans="1:16" x14ac:dyDescent="0.25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  <c r="P972" s="15"/>
    </row>
    <row r="973" spans="1:16" x14ac:dyDescent="0.25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  <c r="P973" s="15"/>
    </row>
    <row r="974" spans="1:16" x14ac:dyDescent="0.25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  <c r="P974" s="15"/>
    </row>
    <row r="975" spans="1:16" x14ac:dyDescent="0.25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  <c r="P975" s="15"/>
    </row>
    <row r="976" spans="1:16" x14ac:dyDescent="0.25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  <c r="P976" s="15"/>
    </row>
    <row r="977" spans="1:16" x14ac:dyDescent="0.25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  <c r="P977" s="15"/>
    </row>
    <row r="978" spans="1:16" x14ac:dyDescent="0.25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  <c r="P978" s="15"/>
    </row>
    <row r="979" spans="1:16" x14ac:dyDescent="0.25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  <c r="P979" s="15"/>
    </row>
    <row r="980" spans="1:16" x14ac:dyDescent="0.25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  <c r="P980" s="15"/>
    </row>
    <row r="981" spans="1:16" x14ac:dyDescent="0.25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  <c r="P981" s="15"/>
    </row>
    <row r="982" spans="1:16" x14ac:dyDescent="0.25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  <c r="P982" s="15"/>
    </row>
    <row r="983" spans="1:16" x14ac:dyDescent="0.25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  <c r="P983" s="15"/>
    </row>
    <row r="984" spans="1:16" x14ac:dyDescent="0.25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  <c r="P984" s="15"/>
    </row>
    <row r="985" spans="1:16" x14ac:dyDescent="0.25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  <c r="P985" s="15"/>
    </row>
    <row r="986" spans="1:16" x14ac:dyDescent="0.25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  <c r="P986" s="15"/>
    </row>
    <row r="987" spans="1:16" x14ac:dyDescent="0.25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  <c r="P987" s="15"/>
    </row>
    <row r="988" spans="1:16" x14ac:dyDescent="0.25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  <c r="P988" s="15"/>
    </row>
    <row r="989" spans="1:16" x14ac:dyDescent="0.25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  <c r="P989" s="15"/>
    </row>
    <row r="990" spans="1:16" x14ac:dyDescent="0.25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  <c r="P990" s="15"/>
    </row>
    <row r="991" spans="1:16" x14ac:dyDescent="0.25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  <c r="P991" s="15"/>
    </row>
    <row r="992" spans="1:16" x14ac:dyDescent="0.25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  <c r="P992" s="15"/>
    </row>
    <row r="993" spans="1:16" x14ac:dyDescent="0.25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  <c r="P993" s="15"/>
    </row>
    <row r="994" spans="1:16" x14ac:dyDescent="0.25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  <c r="P994" s="15"/>
    </row>
    <row r="995" spans="1:16" x14ac:dyDescent="0.25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  <c r="P995" s="15"/>
    </row>
    <row r="996" spans="1:16" x14ac:dyDescent="0.25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  <c r="P996" s="15"/>
    </row>
    <row r="997" spans="1:16" x14ac:dyDescent="0.25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  <c r="P997" s="15"/>
    </row>
    <row r="998" spans="1:16" x14ac:dyDescent="0.25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15"/>
    </row>
    <row r="999" spans="1:16" x14ac:dyDescent="0.25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  <c r="P999" s="15"/>
    </row>
    <row r="1000" spans="1:16" x14ac:dyDescent="0.25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</row>
    <row r="1001" spans="1:16" x14ac:dyDescent="0.25">
      <c r="A1001" s="15"/>
      <c r="B1001" s="15"/>
      <c r="C1001" s="15"/>
      <c r="D1001" s="15"/>
      <c r="E1001" s="15"/>
      <c r="F1001" s="15"/>
      <c r="G1001" s="15"/>
      <c r="H1001" s="15"/>
      <c r="I1001" s="15"/>
      <c r="J1001" s="15"/>
      <c r="K1001" s="15"/>
      <c r="L1001" s="15"/>
      <c r="M1001" s="15"/>
      <c r="N1001" s="15"/>
      <c r="O1001" s="15"/>
      <c r="P1001" s="15"/>
    </row>
    <row r="1002" spans="1:16" x14ac:dyDescent="0.25">
      <c r="A1002" s="15"/>
      <c r="B1002" s="15"/>
      <c r="C1002" s="15"/>
      <c r="D1002" s="15"/>
      <c r="E1002" s="15"/>
      <c r="F1002" s="15"/>
      <c r="G1002" s="15"/>
      <c r="H1002" s="15"/>
      <c r="I1002" s="15"/>
      <c r="J1002" s="15"/>
      <c r="K1002" s="15"/>
      <c r="L1002" s="15"/>
      <c r="M1002" s="15"/>
      <c r="N1002" s="15"/>
      <c r="O1002" s="15"/>
      <c r="P1002" s="15"/>
    </row>
    <row r="1003" spans="1:16" x14ac:dyDescent="0.25">
      <c r="A1003" s="15"/>
      <c r="B1003" s="15"/>
      <c r="C1003" s="15"/>
      <c r="D1003" s="15"/>
      <c r="E1003" s="15"/>
      <c r="F1003" s="15"/>
      <c r="G1003" s="15"/>
      <c r="H1003" s="15"/>
      <c r="I1003" s="15"/>
      <c r="J1003" s="15"/>
      <c r="K1003" s="15"/>
      <c r="L1003" s="15"/>
      <c r="M1003" s="15"/>
      <c r="N1003" s="15"/>
      <c r="O1003" s="15"/>
      <c r="P1003" s="15"/>
    </row>
    <row r="1004" spans="1:16" x14ac:dyDescent="0.25">
      <c r="A1004" s="15"/>
      <c r="B1004" s="15"/>
      <c r="C1004" s="15"/>
      <c r="D1004" s="15"/>
      <c r="E1004" s="15"/>
      <c r="F1004" s="15"/>
      <c r="G1004" s="15"/>
      <c r="H1004" s="15"/>
      <c r="I1004" s="15"/>
      <c r="J1004" s="15"/>
      <c r="K1004" s="15"/>
      <c r="L1004" s="15"/>
      <c r="M1004" s="15"/>
      <c r="N1004" s="15"/>
      <c r="O1004" s="15"/>
      <c r="P1004" s="15"/>
    </row>
    <row r="1005" spans="1:16" x14ac:dyDescent="0.25">
      <c r="A1005" s="15"/>
      <c r="B1005" s="15"/>
      <c r="C1005" s="15"/>
      <c r="D1005" s="15"/>
      <c r="E1005" s="15"/>
      <c r="F1005" s="15"/>
      <c r="G1005" s="15"/>
      <c r="H1005" s="15"/>
      <c r="I1005" s="15"/>
      <c r="J1005" s="15"/>
      <c r="K1005" s="15"/>
      <c r="L1005" s="15"/>
      <c r="M1005" s="15"/>
      <c r="N1005" s="15"/>
      <c r="O1005" s="15"/>
      <c r="P1005" s="15"/>
    </row>
    <row r="1006" spans="1:16" x14ac:dyDescent="0.25">
      <c r="A1006" s="15"/>
      <c r="B1006" s="15"/>
      <c r="C1006" s="15"/>
      <c r="D1006" s="15"/>
      <c r="E1006" s="15"/>
      <c r="F1006" s="15"/>
      <c r="G1006" s="15"/>
      <c r="H1006" s="15"/>
      <c r="I1006" s="15"/>
      <c r="J1006" s="15"/>
      <c r="K1006" s="15"/>
      <c r="L1006" s="15"/>
      <c r="M1006" s="15"/>
      <c r="N1006" s="15"/>
      <c r="O1006" s="15"/>
      <c r="P1006" s="15"/>
    </row>
    <row r="1007" spans="1:16" x14ac:dyDescent="0.25">
      <c r="A1007" s="15"/>
      <c r="B1007" s="15"/>
      <c r="C1007" s="15"/>
      <c r="D1007" s="15"/>
      <c r="E1007" s="15"/>
      <c r="F1007" s="15"/>
      <c r="G1007" s="15"/>
      <c r="H1007" s="15"/>
      <c r="I1007" s="15"/>
      <c r="J1007" s="15"/>
      <c r="K1007" s="15"/>
      <c r="L1007" s="15"/>
      <c r="M1007" s="15"/>
      <c r="N1007" s="15"/>
      <c r="O1007" s="15"/>
      <c r="P1007" s="15"/>
    </row>
    <row r="1008" spans="1:16" x14ac:dyDescent="0.25">
      <c r="A1008" s="15"/>
      <c r="B1008" s="15"/>
      <c r="C1008" s="15"/>
      <c r="D1008" s="15"/>
      <c r="E1008" s="15"/>
      <c r="F1008" s="15"/>
      <c r="G1008" s="15"/>
      <c r="H1008" s="15"/>
      <c r="I1008" s="15"/>
      <c r="J1008" s="15"/>
      <c r="K1008" s="15"/>
      <c r="L1008" s="15"/>
      <c r="M1008" s="15"/>
      <c r="N1008" s="15"/>
      <c r="O1008" s="15"/>
      <c r="P1008" s="15"/>
    </row>
    <row r="1009" spans="1:16" x14ac:dyDescent="0.25">
      <c r="A1009" s="15"/>
      <c r="B1009" s="15"/>
      <c r="C1009" s="15"/>
      <c r="D1009" s="15"/>
      <c r="E1009" s="15"/>
      <c r="F1009" s="15"/>
      <c r="G1009" s="15"/>
      <c r="H1009" s="15"/>
      <c r="I1009" s="15"/>
      <c r="J1009" s="15"/>
      <c r="K1009" s="15"/>
      <c r="L1009" s="15"/>
      <c r="M1009" s="15"/>
      <c r="N1009" s="15"/>
      <c r="O1009" s="15"/>
      <c r="P1009" s="15"/>
    </row>
    <row r="1010" spans="1:16" x14ac:dyDescent="0.25">
      <c r="A1010" s="15"/>
      <c r="B1010" s="15"/>
      <c r="C1010" s="15"/>
      <c r="D1010" s="15"/>
      <c r="E1010" s="15"/>
      <c r="F1010" s="15"/>
      <c r="G1010" s="15"/>
      <c r="H1010" s="15"/>
      <c r="I1010" s="15"/>
      <c r="J1010" s="15"/>
      <c r="K1010" s="15"/>
      <c r="L1010" s="15"/>
      <c r="M1010" s="15"/>
      <c r="N1010" s="15"/>
      <c r="O1010" s="15"/>
      <c r="P1010" s="15"/>
    </row>
    <row r="1011" spans="1:16" x14ac:dyDescent="0.25">
      <c r="A1011" s="15"/>
      <c r="B1011" s="15"/>
      <c r="C1011" s="15"/>
      <c r="D1011" s="15"/>
      <c r="E1011" s="15"/>
      <c r="F1011" s="15"/>
      <c r="G1011" s="15"/>
      <c r="H1011" s="15"/>
      <c r="I1011" s="15"/>
      <c r="J1011" s="15"/>
      <c r="K1011" s="15"/>
      <c r="L1011" s="15"/>
      <c r="M1011" s="15"/>
      <c r="N1011" s="15"/>
      <c r="O1011" s="15"/>
      <c r="P1011" s="15"/>
    </row>
    <row r="1012" spans="1:16" x14ac:dyDescent="0.25">
      <c r="A1012" s="15"/>
      <c r="B1012" s="15"/>
      <c r="C1012" s="15"/>
      <c r="D1012" s="15"/>
      <c r="E1012" s="15"/>
      <c r="F1012" s="15"/>
      <c r="G1012" s="15"/>
      <c r="H1012" s="15"/>
      <c r="I1012" s="15"/>
      <c r="J1012" s="15"/>
      <c r="K1012" s="15"/>
      <c r="L1012" s="15"/>
      <c r="M1012" s="15"/>
      <c r="N1012" s="15"/>
      <c r="O1012" s="15"/>
      <c r="P1012" s="15"/>
    </row>
    <row r="1013" spans="1:16" x14ac:dyDescent="0.25">
      <c r="A1013" s="15"/>
      <c r="B1013" s="15"/>
      <c r="C1013" s="15"/>
      <c r="D1013" s="15"/>
      <c r="E1013" s="15"/>
      <c r="F1013" s="15"/>
      <c r="G1013" s="15"/>
      <c r="H1013" s="15"/>
      <c r="I1013" s="15"/>
      <c r="J1013" s="15"/>
      <c r="K1013" s="15"/>
      <c r="L1013" s="15"/>
      <c r="M1013" s="15"/>
      <c r="N1013" s="15"/>
      <c r="O1013" s="15"/>
      <c r="P1013" s="15"/>
    </row>
    <row r="1014" spans="1:16" x14ac:dyDescent="0.25">
      <c r="A1014" s="15"/>
      <c r="B1014" s="15"/>
      <c r="C1014" s="15"/>
      <c r="D1014" s="15"/>
      <c r="E1014" s="15"/>
      <c r="F1014" s="15"/>
      <c r="G1014" s="15"/>
      <c r="H1014" s="15"/>
      <c r="I1014" s="15"/>
      <c r="J1014" s="15"/>
      <c r="K1014" s="15"/>
      <c r="L1014" s="15"/>
      <c r="M1014" s="15"/>
      <c r="N1014" s="15"/>
      <c r="O1014" s="15"/>
      <c r="P1014" s="15"/>
    </row>
    <row r="1015" spans="1:16" x14ac:dyDescent="0.25">
      <c r="A1015" s="15"/>
      <c r="B1015" s="15"/>
      <c r="C1015" s="15"/>
      <c r="D1015" s="15"/>
      <c r="E1015" s="15"/>
      <c r="F1015" s="15"/>
      <c r="G1015" s="15"/>
      <c r="H1015" s="15"/>
      <c r="I1015" s="15"/>
      <c r="J1015" s="15"/>
      <c r="K1015" s="15"/>
      <c r="L1015" s="15"/>
      <c r="M1015" s="15"/>
      <c r="N1015" s="15"/>
      <c r="O1015" s="15"/>
      <c r="P1015" s="15"/>
    </row>
    <row r="1016" spans="1:16" x14ac:dyDescent="0.25">
      <c r="A1016" s="15"/>
      <c r="B1016" s="15"/>
      <c r="C1016" s="15"/>
      <c r="D1016" s="15"/>
      <c r="E1016" s="15"/>
      <c r="F1016" s="15"/>
      <c r="G1016" s="15"/>
      <c r="H1016" s="15"/>
      <c r="I1016" s="15"/>
      <c r="J1016" s="15"/>
      <c r="K1016" s="15"/>
      <c r="L1016" s="15"/>
      <c r="M1016" s="15"/>
      <c r="N1016" s="15"/>
      <c r="O1016" s="15"/>
      <c r="P1016" s="15"/>
    </row>
    <row r="1017" spans="1:16" x14ac:dyDescent="0.25">
      <c r="A1017" s="15"/>
      <c r="B1017" s="15"/>
      <c r="C1017" s="15"/>
      <c r="D1017" s="15"/>
      <c r="E1017" s="15"/>
      <c r="F1017" s="15"/>
      <c r="G1017" s="15"/>
      <c r="H1017" s="15"/>
      <c r="I1017" s="15"/>
      <c r="J1017" s="15"/>
      <c r="K1017" s="15"/>
      <c r="L1017" s="15"/>
      <c r="M1017" s="15"/>
      <c r="N1017" s="15"/>
      <c r="O1017" s="15"/>
      <c r="P1017" s="15"/>
    </row>
    <row r="1018" spans="1:16" x14ac:dyDescent="0.25">
      <c r="A1018" s="15"/>
      <c r="B1018" s="15"/>
      <c r="C1018" s="15"/>
      <c r="D1018" s="15"/>
      <c r="E1018" s="15"/>
      <c r="F1018" s="15"/>
      <c r="G1018" s="15"/>
      <c r="H1018" s="15"/>
      <c r="I1018" s="15"/>
      <c r="J1018" s="15"/>
      <c r="K1018" s="15"/>
      <c r="L1018" s="15"/>
      <c r="M1018" s="15"/>
      <c r="N1018" s="15"/>
      <c r="O1018" s="15"/>
      <c r="P1018" s="15"/>
    </row>
    <row r="1019" spans="1:16" x14ac:dyDescent="0.25">
      <c r="A1019" s="15"/>
      <c r="B1019" s="15"/>
      <c r="C1019" s="15"/>
      <c r="D1019" s="15"/>
      <c r="E1019" s="15"/>
      <c r="F1019" s="15"/>
      <c r="G1019" s="15"/>
      <c r="H1019" s="15"/>
      <c r="I1019" s="15"/>
      <c r="J1019" s="15"/>
      <c r="K1019" s="15"/>
      <c r="L1019" s="15"/>
      <c r="M1019" s="15"/>
      <c r="N1019" s="15"/>
      <c r="O1019" s="15"/>
      <c r="P1019" s="15"/>
    </row>
    <row r="1020" spans="1:16" x14ac:dyDescent="0.25">
      <c r="A1020" s="15"/>
      <c r="B1020" s="15"/>
      <c r="C1020" s="15"/>
      <c r="D1020" s="15"/>
      <c r="E1020" s="15"/>
      <c r="F1020" s="15"/>
      <c r="G1020" s="15"/>
      <c r="H1020" s="15"/>
      <c r="I1020" s="15"/>
      <c r="J1020" s="15"/>
      <c r="K1020" s="15"/>
      <c r="L1020" s="15"/>
      <c r="M1020" s="15"/>
      <c r="N1020" s="15"/>
      <c r="O1020" s="15"/>
      <c r="P1020" s="15"/>
    </row>
    <row r="1021" spans="1:16" x14ac:dyDescent="0.25">
      <c r="A1021" s="15"/>
      <c r="B1021" s="15"/>
      <c r="C1021" s="15"/>
      <c r="D1021" s="15"/>
      <c r="E1021" s="15"/>
      <c r="F1021" s="15"/>
      <c r="G1021" s="15"/>
      <c r="H1021" s="15"/>
      <c r="I1021" s="15"/>
      <c r="J1021" s="15"/>
      <c r="K1021" s="15"/>
      <c r="L1021" s="15"/>
      <c r="M1021" s="15"/>
      <c r="N1021" s="15"/>
      <c r="O1021" s="15"/>
      <c r="P1021" s="15"/>
    </row>
    <row r="1022" spans="1:16" x14ac:dyDescent="0.25">
      <c r="A1022" s="15"/>
      <c r="B1022" s="15"/>
      <c r="C1022" s="15"/>
      <c r="D1022" s="15"/>
      <c r="E1022" s="15"/>
      <c r="F1022" s="15"/>
      <c r="G1022" s="15"/>
      <c r="H1022" s="15"/>
      <c r="I1022" s="15"/>
      <c r="J1022" s="15"/>
      <c r="K1022" s="15"/>
      <c r="L1022" s="15"/>
      <c r="M1022" s="15"/>
      <c r="N1022" s="15"/>
      <c r="O1022" s="15"/>
      <c r="P1022" s="15"/>
    </row>
    <row r="1023" spans="1:16" x14ac:dyDescent="0.25">
      <c r="A1023" s="15"/>
      <c r="B1023" s="15"/>
      <c r="C1023" s="15"/>
      <c r="D1023" s="15"/>
      <c r="E1023" s="15"/>
      <c r="F1023" s="15"/>
      <c r="G1023" s="15"/>
      <c r="H1023" s="15"/>
      <c r="I1023" s="15"/>
      <c r="J1023" s="15"/>
      <c r="K1023" s="15"/>
      <c r="L1023" s="15"/>
      <c r="M1023" s="15"/>
      <c r="N1023" s="15"/>
      <c r="O1023" s="15"/>
      <c r="P1023" s="15"/>
    </row>
    <row r="1024" spans="1:16" x14ac:dyDescent="0.25">
      <c r="A1024" s="15"/>
      <c r="B1024" s="15"/>
      <c r="C1024" s="15"/>
      <c r="D1024" s="15"/>
      <c r="E1024" s="15"/>
      <c r="F1024" s="15"/>
      <c r="G1024" s="15"/>
      <c r="H1024" s="15"/>
      <c r="I1024" s="15"/>
      <c r="J1024" s="15"/>
      <c r="K1024" s="15"/>
      <c r="L1024" s="15"/>
      <c r="M1024" s="15"/>
      <c r="N1024" s="15"/>
      <c r="O1024" s="15"/>
      <c r="P1024" s="15"/>
    </row>
    <row r="1025" spans="1:16" x14ac:dyDescent="0.25">
      <c r="A1025" s="15"/>
      <c r="B1025" s="15"/>
      <c r="C1025" s="15"/>
      <c r="D1025" s="15"/>
      <c r="E1025" s="15"/>
      <c r="F1025" s="15"/>
      <c r="G1025" s="15"/>
      <c r="H1025" s="15"/>
      <c r="I1025" s="15"/>
      <c r="J1025" s="15"/>
      <c r="K1025" s="15"/>
      <c r="L1025" s="15"/>
      <c r="M1025" s="15"/>
      <c r="N1025" s="15"/>
      <c r="O1025" s="15"/>
      <c r="P1025" s="15"/>
    </row>
    <row r="1026" spans="1:16" x14ac:dyDescent="0.25">
      <c r="A1026" s="15"/>
      <c r="B1026" s="15"/>
      <c r="C1026" s="15"/>
      <c r="D1026" s="15"/>
      <c r="E1026" s="15"/>
      <c r="F1026" s="15"/>
      <c r="G1026" s="15"/>
      <c r="H1026" s="15"/>
      <c r="I1026" s="15"/>
      <c r="J1026" s="15"/>
      <c r="K1026" s="15"/>
      <c r="L1026" s="15"/>
      <c r="M1026" s="15"/>
      <c r="N1026" s="15"/>
      <c r="O1026" s="15"/>
      <c r="P1026" s="15"/>
    </row>
    <row r="1027" spans="1:16" x14ac:dyDescent="0.25">
      <c r="A1027" s="15"/>
      <c r="B1027" s="15"/>
      <c r="C1027" s="15"/>
      <c r="D1027" s="15"/>
      <c r="E1027" s="15"/>
      <c r="F1027" s="15"/>
      <c r="G1027" s="15"/>
      <c r="H1027" s="15"/>
      <c r="I1027" s="15"/>
      <c r="J1027" s="15"/>
      <c r="K1027" s="15"/>
      <c r="L1027" s="15"/>
      <c r="M1027" s="15"/>
      <c r="N1027" s="15"/>
      <c r="O1027" s="15"/>
      <c r="P1027" s="15"/>
    </row>
    <row r="1028" spans="1:16" x14ac:dyDescent="0.25">
      <c r="A1028" s="15"/>
      <c r="B1028" s="15"/>
      <c r="C1028" s="15"/>
      <c r="D1028" s="15"/>
      <c r="E1028" s="15"/>
      <c r="F1028" s="15"/>
      <c r="G1028" s="15"/>
      <c r="H1028" s="15"/>
      <c r="I1028" s="15"/>
      <c r="J1028" s="15"/>
      <c r="K1028" s="15"/>
      <c r="L1028" s="15"/>
      <c r="M1028" s="15"/>
      <c r="N1028" s="15"/>
      <c r="O1028" s="15"/>
      <c r="P1028" s="15"/>
    </row>
    <row r="1029" spans="1:16" x14ac:dyDescent="0.25">
      <c r="A1029" s="15"/>
      <c r="B1029" s="15"/>
      <c r="C1029" s="15"/>
      <c r="D1029" s="15"/>
      <c r="E1029" s="15"/>
      <c r="F1029" s="15"/>
      <c r="G1029" s="15"/>
      <c r="H1029" s="15"/>
      <c r="I1029" s="15"/>
      <c r="J1029" s="15"/>
      <c r="K1029" s="15"/>
      <c r="L1029" s="15"/>
      <c r="M1029" s="15"/>
      <c r="N1029" s="15"/>
      <c r="O1029" s="15"/>
      <c r="P1029" s="15"/>
    </row>
    <row r="1030" spans="1:16" x14ac:dyDescent="0.25">
      <c r="A1030" s="15"/>
      <c r="B1030" s="15"/>
      <c r="C1030" s="15"/>
      <c r="D1030" s="15"/>
      <c r="E1030" s="15"/>
      <c r="F1030" s="15"/>
      <c r="G1030" s="15"/>
      <c r="H1030" s="15"/>
      <c r="I1030" s="15"/>
      <c r="J1030" s="15"/>
      <c r="K1030" s="15"/>
      <c r="L1030" s="15"/>
      <c r="M1030" s="15"/>
      <c r="N1030" s="15"/>
      <c r="O1030" s="15"/>
      <c r="P1030" s="15"/>
    </row>
    <row r="1031" spans="1:16" x14ac:dyDescent="0.25">
      <c r="A1031" s="15"/>
      <c r="B1031" s="15"/>
      <c r="C1031" s="15"/>
      <c r="D1031" s="15"/>
      <c r="E1031" s="15"/>
      <c r="F1031" s="15"/>
      <c r="G1031" s="15"/>
      <c r="H1031" s="15"/>
      <c r="I1031" s="15"/>
      <c r="J1031" s="15"/>
      <c r="K1031" s="15"/>
      <c r="L1031" s="15"/>
      <c r="M1031" s="15"/>
      <c r="N1031" s="15"/>
      <c r="O1031" s="15"/>
      <c r="P1031" s="15"/>
    </row>
    <row r="1032" spans="1:16" x14ac:dyDescent="0.25">
      <c r="A1032" s="15"/>
      <c r="B1032" s="15"/>
      <c r="C1032" s="15"/>
      <c r="D1032" s="15"/>
      <c r="E1032" s="15"/>
      <c r="F1032" s="15"/>
      <c r="G1032" s="15"/>
      <c r="H1032" s="15"/>
      <c r="I1032" s="15"/>
      <c r="J1032" s="15"/>
      <c r="K1032" s="15"/>
      <c r="L1032" s="15"/>
      <c r="M1032" s="15"/>
      <c r="N1032" s="15"/>
      <c r="O1032" s="15"/>
      <c r="P1032" s="15"/>
    </row>
    <row r="1033" spans="1:16" x14ac:dyDescent="0.25">
      <c r="A1033" s="15"/>
      <c r="B1033" s="15"/>
      <c r="C1033" s="15"/>
      <c r="D1033" s="15"/>
      <c r="E1033" s="15"/>
      <c r="F1033" s="15"/>
      <c r="G1033" s="15"/>
      <c r="H1033" s="15"/>
      <c r="I1033" s="15"/>
      <c r="J1033" s="15"/>
      <c r="K1033" s="15"/>
      <c r="L1033" s="15"/>
      <c r="M1033" s="15"/>
      <c r="N1033" s="15"/>
      <c r="O1033" s="15"/>
      <c r="P1033" s="15"/>
    </row>
    <row r="1034" spans="1:16" x14ac:dyDescent="0.25">
      <c r="A1034" s="15"/>
      <c r="B1034" s="15"/>
      <c r="C1034" s="15"/>
      <c r="D1034" s="15"/>
      <c r="E1034" s="15"/>
      <c r="F1034" s="15"/>
      <c r="G1034" s="15"/>
      <c r="H1034" s="15"/>
      <c r="I1034" s="15"/>
      <c r="J1034" s="15"/>
      <c r="K1034" s="15"/>
      <c r="L1034" s="15"/>
      <c r="M1034" s="15"/>
      <c r="N1034" s="15"/>
      <c r="O1034" s="15"/>
      <c r="P1034" s="15"/>
    </row>
    <row r="1035" spans="1:16" x14ac:dyDescent="0.25">
      <c r="A1035" s="15"/>
      <c r="B1035" s="15"/>
      <c r="C1035" s="15"/>
      <c r="D1035" s="15"/>
      <c r="E1035" s="15"/>
      <c r="F1035" s="15"/>
      <c r="G1035" s="15"/>
      <c r="H1035" s="15"/>
      <c r="I1035" s="15"/>
      <c r="J1035" s="15"/>
      <c r="K1035" s="15"/>
      <c r="L1035" s="15"/>
      <c r="M1035" s="15"/>
      <c r="N1035" s="15"/>
      <c r="O1035" s="15"/>
      <c r="P1035" s="15"/>
    </row>
    <row r="1036" spans="1:16" x14ac:dyDescent="0.25">
      <c r="A1036" s="15"/>
      <c r="B1036" s="15"/>
      <c r="C1036" s="15"/>
      <c r="D1036" s="15"/>
      <c r="E1036" s="15"/>
      <c r="F1036" s="15"/>
      <c r="G1036" s="15"/>
      <c r="H1036" s="15"/>
      <c r="I1036" s="15"/>
      <c r="J1036" s="15"/>
      <c r="K1036" s="15"/>
      <c r="L1036" s="15"/>
      <c r="M1036" s="15"/>
      <c r="N1036" s="15"/>
      <c r="O1036" s="15"/>
      <c r="P1036" s="15"/>
    </row>
    <row r="1037" spans="1:16" x14ac:dyDescent="0.25">
      <c r="A1037" s="15"/>
      <c r="B1037" s="15"/>
      <c r="C1037" s="15"/>
      <c r="D1037" s="15"/>
      <c r="E1037" s="15"/>
      <c r="F1037" s="15"/>
      <c r="G1037" s="15"/>
      <c r="H1037" s="15"/>
      <c r="I1037" s="15"/>
      <c r="J1037" s="15"/>
      <c r="K1037" s="15"/>
      <c r="L1037" s="15"/>
      <c r="M1037" s="15"/>
      <c r="N1037" s="15"/>
      <c r="O1037" s="15"/>
      <c r="P1037" s="15"/>
    </row>
    <row r="1038" spans="1:16" x14ac:dyDescent="0.25">
      <c r="A1038" s="15"/>
      <c r="B1038" s="15"/>
      <c r="C1038" s="15"/>
      <c r="D1038" s="15"/>
      <c r="E1038" s="15"/>
      <c r="F1038" s="15"/>
      <c r="G1038" s="15"/>
      <c r="H1038" s="15"/>
      <c r="I1038" s="15"/>
      <c r="J1038" s="15"/>
      <c r="K1038" s="15"/>
      <c r="L1038" s="15"/>
      <c r="M1038" s="15"/>
      <c r="N1038" s="15"/>
      <c r="O1038" s="15"/>
      <c r="P1038" s="15"/>
    </row>
    <row r="1039" spans="1:16" x14ac:dyDescent="0.25">
      <c r="A1039" s="15"/>
      <c r="B1039" s="15"/>
      <c r="C1039" s="15"/>
      <c r="D1039" s="15"/>
      <c r="E1039" s="15"/>
      <c r="F1039" s="15"/>
      <c r="G1039" s="15"/>
      <c r="H1039" s="15"/>
      <c r="I1039" s="15"/>
      <c r="J1039" s="15"/>
      <c r="K1039" s="15"/>
      <c r="L1039" s="15"/>
      <c r="M1039" s="15"/>
      <c r="N1039" s="15"/>
      <c r="O1039" s="15"/>
      <c r="P1039" s="15"/>
    </row>
    <row r="1040" spans="1:16" x14ac:dyDescent="0.25">
      <c r="A1040" s="15"/>
      <c r="B1040" s="15"/>
      <c r="C1040" s="15"/>
      <c r="D1040" s="15"/>
      <c r="E1040" s="15"/>
      <c r="F1040" s="15"/>
      <c r="G1040" s="15"/>
      <c r="H1040" s="15"/>
      <c r="I1040" s="15"/>
      <c r="J1040" s="15"/>
      <c r="K1040" s="15"/>
      <c r="L1040" s="15"/>
      <c r="M1040" s="15"/>
      <c r="N1040" s="15"/>
      <c r="O1040" s="15"/>
      <c r="P1040" s="15"/>
    </row>
    <row r="1041" spans="1:16" x14ac:dyDescent="0.25">
      <c r="A1041" s="15"/>
      <c r="B1041" s="15"/>
      <c r="C1041" s="15"/>
      <c r="D1041" s="15"/>
      <c r="E1041" s="15"/>
      <c r="F1041" s="15"/>
      <c r="G1041" s="15"/>
      <c r="H1041" s="15"/>
      <c r="I1041" s="15"/>
      <c r="J1041" s="15"/>
      <c r="K1041" s="15"/>
      <c r="L1041" s="15"/>
      <c r="M1041" s="15"/>
      <c r="N1041" s="15"/>
      <c r="O1041" s="15"/>
      <c r="P1041" s="15"/>
    </row>
    <row r="1042" spans="1:16" x14ac:dyDescent="0.25">
      <c r="A1042" s="15"/>
      <c r="B1042" s="15"/>
      <c r="C1042" s="15"/>
      <c r="D1042" s="15"/>
      <c r="E1042" s="15"/>
      <c r="F1042" s="15"/>
      <c r="G1042" s="15"/>
      <c r="H1042" s="15"/>
      <c r="I1042" s="15"/>
      <c r="J1042" s="15"/>
      <c r="K1042" s="15"/>
      <c r="L1042" s="15"/>
      <c r="M1042" s="15"/>
      <c r="N1042" s="15"/>
      <c r="O1042" s="15"/>
      <c r="P1042" s="15"/>
    </row>
    <row r="1043" spans="1:16" x14ac:dyDescent="0.25">
      <c r="A1043" s="15"/>
      <c r="B1043" s="15"/>
      <c r="C1043" s="15"/>
      <c r="D1043" s="15"/>
      <c r="E1043" s="15"/>
      <c r="F1043" s="15"/>
      <c r="G1043" s="15"/>
      <c r="H1043" s="15"/>
      <c r="I1043" s="15"/>
      <c r="J1043" s="15"/>
      <c r="K1043" s="15"/>
      <c r="L1043" s="15"/>
      <c r="M1043" s="15"/>
      <c r="N1043" s="15"/>
      <c r="O1043" s="15"/>
      <c r="P1043" s="15"/>
    </row>
    <row r="1044" spans="1:16" x14ac:dyDescent="0.25">
      <c r="A1044" s="15"/>
      <c r="B1044" s="15"/>
      <c r="C1044" s="15"/>
      <c r="D1044" s="15"/>
      <c r="E1044" s="15"/>
      <c r="F1044" s="15"/>
      <c r="G1044" s="15"/>
      <c r="H1044" s="15"/>
      <c r="I1044" s="15"/>
      <c r="J1044" s="15"/>
      <c r="K1044" s="15"/>
      <c r="L1044" s="15"/>
      <c r="M1044" s="15"/>
      <c r="N1044" s="15"/>
      <c r="O1044" s="15"/>
      <c r="P1044" s="15"/>
    </row>
    <row r="1045" spans="1:16" x14ac:dyDescent="0.25">
      <c r="A1045" s="15"/>
      <c r="B1045" s="15"/>
      <c r="C1045" s="15"/>
      <c r="D1045" s="15"/>
      <c r="E1045" s="15"/>
      <c r="F1045" s="15"/>
      <c r="G1045" s="15"/>
      <c r="H1045" s="15"/>
      <c r="I1045" s="15"/>
      <c r="J1045" s="15"/>
      <c r="K1045" s="15"/>
      <c r="L1045" s="15"/>
      <c r="M1045" s="15"/>
      <c r="N1045" s="15"/>
      <c r="O1045" s="15"/>
      <c r="P1045" s="15"/>
    </row>
    <row r="1046" spans="1:16" x14ac:dyDescent="0.25">
      <c r="A1046" s="15"/>
      <c r="B1046" s="15"/>
      <c r="C1046" s="15"/>
      <c r="D1046" s="15"/>
      <c r="E1046" s="15"/>
      <c r="F1046" s="15"/>
      <c r="G1046" s="15"/>
      <c r="H1046" s="15"/>
      <c r="I1046" s="15"/>
      <c r="J1046" s="15"/>
      <c r="K1046" s="15"/>
      <c r="L1046" s="15"/>
      <c r="M1046" s="15"/>
      <c r="N1046" s="15"/>
      <c r="O1046" s="15"/>
      <c r="P1046" s="15"/>
    </row>
    <row r="1047" spans="1:16" x14ac:dyDescent="0.25">
      <c r="A1047" s="15"/>
      <c r="B1047" s="15"/>
      <c r="C1047" s="15"/>
      <c r="D1047" s="15"/>
      <c r="E1047" s="15"/>
      <c r="F1047" s="15"/>
      <c r="G1047" s="15"/>
      <c r="H1047" s="15"/>
      <c r="I1047" s="15"/>
      <c r="J1047" s="15"/>
      <c r="K1047" s="15"/>
      <c r="L1047" s="15"/>
      <c r="M1047" s="15"/>
      <c r="N1047" s="15"/>
      <c r="O1047" s="15"/>
      <c r="P1047" s="15"/>
    </row>
    <row r="1048" spans="1:16" x14ac:dyDescent="0.25">
      <c r="A1048" s="15"/>
      <c r="B1048" s="15"/>
      <c r="C1048" s="15"/>
      <c r="D1048" s="15"/>
      <c r="E1048" s="15"/>
      <c r="F1048" s="15"/>
      <c r="G1048" s="15"/>
      <c r="H1048" s="15"/>
      <c r="I1048" s="15"/>
      <c r="J1048" s="15"/>
      <c r="K1048" s="15"/>
      <c r="L1048" s="15"/>
      <c r="M1048" s="15"/>
      <c r="N1048" s="15"/>
      <c r="O1048" s="15"/>
      <c r="P1048" s="15"/>
    </row>
    <row r="1049" spans="1:16" x14ac:dyDescent="0.25">
      <c r="A1049" s="15"/>
      <c r="B1049" s="15"/>
      <c r="C1049" s="15"/>
      <c r="D1049" s="15"/>
      <c r="E1049" s="15"/>
      <c r="F1049" s="15"/>
      <c r="G1049" s="15"/>
      <c r="H1049" s="15"/>
      <c r="I1049" s="15"/>
      <c r="J1049" s="15"/>
      <c r="K1049" s="15"/>
      <c r="L1049" s="15"/>
      <c r="M1049" s="15"/>
      <c r="N1049" s="15"/>
      <c r="O1049" s="15"/>
      <c r="P1049" s="15"/>
    </row>
    <row r="1050" spans="1:16" x14ac:dyDescent="0.25">
      <c r="A1050" s="15"/>
      <c r="B1050" s="15"/>
      <c r="C1050" s="15"/>
      <c r="D1050" s="15"/>
      <c r="E1050" s="15"/>
      <c r="F1050" s="15"/>
      <c r="G1050" s="15"/>
      <c r="H1050" s="15"/>
      <c r="I1050" s="15"/>
      <c r="J1050" s="15"/>
      <c r="K1050" s="15"/>
      <c r="L1050" s="15"/>
      <c r="M1050" s="15"/>
      <c r="N1050" s="15"/>
      <c r="O1050" s="15"/>
      <c r="P1050" s="15"/>
    </row>
    <row r="1051" spans="1:16" x14ac:dyDescent="0.25">
      <c r="A1051" s="15"/>
      <c r="B1051" s="15"/>
      <c r="C1051" s="15"/>
      <c r="D1051" s="15"/>
      <c r="E1051" s="15"/>
      <c r="F1051" s="15"/>
      <c r="G1051" s="15"/>
      <c r="H1051" s="15"/>
      <c r="I1051" s="15"/>
      <c r="J1051" s="15"/>
      <c r="K1051" s="15"/>
      <c r="L1051" s="15"/>
      <c r="M1051" s="15"/>
      <c r="N1051" s="15"/>
      <c r="O1051" s="15"/>
      <c r="P1051" s="15"/>
    </row>
    <row r="1052" spans="1:16" x14ac:dyDescent="0.25">
      <c r="A1052" s="15"/>
      <c r="B1052" s="15"/>
      <c r="C1052" s="15"/>
      <c r="D1052" s="15"/>
      <c r="E1052" s="15"/>
      <c r="F1052" s="15"/>
      <c r="G1052" s="15"/>
      <c r="H1052" s="15"/>
      <c r="I1052" s="15"/>
      <c r="J1052" s="15"/>
      <c r="K1052" s="15"/>
      <c r="L1052" s="15"/>
      <c r="M1052" s="15"/>
      <c r="N1052" s="15"/>
      <c r="O1052" s="15"/>
      <c r="P1052" s="15"/>
    </row>
    <row r="1053" spans="1:16" x14ac:dyDescent="0.25">
      <c r="A1053" s="15"/>
      <c r="B1053" s="15"/>
      <c r="C1053" s="15"/>
      <c r="D1053" s="15"/>
      <c r="E1053" s="15"/>
      <c r="F1053" s="15"/>
      <c r="G1053" s="15"/>
      <c r="H1053" s="15"/>
      <c r="I1053" s="15"/>
      <c r="J1053" s="15"/>
      <c r="K1053" s="15"/>
      <c r="L1053" s="15"/>
      <c r="M1053" s="15"/>
      <c r="N1053" s="15"/>
      <c r="O1053" s="15"/>
      <c r="P1053" s="15"/>
    </row>
    <row r="1054" spans="1:16" x14ac:dyDescent="0.25">
      <c r="A1054" s="15"/>
      <c r="B1054" s="15"/>
      <c r="C1054" s="15"/>
      <c r="D1054" s="15"/>
      <c r="E1054" s="15"/>
      <c r="F1054" s="15"/>
      <c r="G1054" s="15"/>
      <c r="H1054" s="15"/>
      <c r="I1054" s="15"/>
      <c r="J1054" s="15"/>
      <c r="K1054" s="15"/>
      <c r="L1054" s="15"/>
      <c r="M1054" s="15"/>
      <c r="N1054" s="15"/>
      <c r="O1054" s="15"/>
      <c r="P1054" s="15"/>
    </row>
    <row r="1055" spans="1:16" x14ac:dyDescent="0.25">
      <c r="A1055" s="15"/>
      <c r="B1055" s="15"/>
      <c r="C1055" s="15"/>
      <c r="D1055" s="15"/>
      <c r="E1055" s="15"/>
      <c r="F1055" s="15"/>
      <c r="G1055" s="15"/>
      <c r="H1055" s="15"/>
      <c r="I1055" s="15"/>
      <c r="J1055" s="15"/>
      <c r="K1055" s="15"/>
      <c r="L1055" s="15"/>
      <c r="M1055" s="15"/>
      <c r="N1055" s="15"/>
      <c r="O1055" s="15"/>
      <c r="P1055" s="15"/>
    </row>
    <row r="1056" spans="1:16" x14ac:dyDescent="0.25">
      <c r="A1056" s="15"/>
      <c r="B1056" s="15"/>
      <c r="C1056" s="15"/>
      <c r="D1056" s="15"/>
      <c r="E1056" s="15"/>
      <c r="F1056" s="15"/>
      <c r="G1056" s="15"/>
      <c r="H1056" s="15"/>
      <c r="I1056" s="15"/>
      <c r="J1056" s="15"/>
      <c r="K1056" s="15"/>
      <c r="L1056" s="15"/>
      <c r="M1056" s="15"/>
      <c r="N1056" s="15"/>
      <c r="O1056" s="15"/>
      <c r="P1056" s="15"/>
    </row>
    <row r="1057" spans="1:16" x14ac:dyDescent="0.25">
      <c r="A1057" s="15"/>
      <c r="B1057" s="15"/>
      <c r="C1057" s="15"/>
      <c r="D1057" s="15"/>
      <c r="E1057" s="15"/>
      <c r="F1057" s="15"/>
      <c r="G1057" s="15"/>
      <c r="H1057" s="15"/>
      <c r="I1057" s="15"/>
      <c r="J1057" s="15"/>
      <c r="K1057" s="15"/>
      <c r="L1057" s="15"/>
      <c r="M1057" s="15"/>
      <c r="N1057" s="15"/>
      <c r="O1057" s="15"/>
      <c r="P1057" s="15"/>
    </row>
    <row r="1058" spans="1:16" x14ac:dyDescent="0.25">
      <c r="A1058" s="15"/>
      <c r="B1058" s="15"/>
      <c r="C1058" s="15"/>
      <c r="D1058" s="15"/>
      <c r="E1058" s="15"/>
      <c r="F1058" s="15"/>
      <c r="G1058" s="15"/>
      <c r="H1058" s="15"/>
      <c r="I1058" s="15"/>
      <c r="J1058" s="15"/>
      <c r="K1058" s="15"/>
      <c r="L1058" s="15"/>
      <c r="M1058" s="15"/>
      <c r="N1058" s="15"/>
      <c r="O1058" s="15"/>
      <c r="P1058" s="15"/>
    </row>
    <row r="1059" spans="1:16" x14ac:dyDescent="0.25">
      <c r="A1059" s="15"/>
      <c r="B1059" s="15"/>
      <c r="C1059" s="15"/>
      <c r="D1059" s="15"/>
      <c r="E1059" s="15"/>
      <c r="F1059" s="15"/>
      <c r="G1059" s="15"/>
      <c r="H1059" s="15"/>
      <c r="I1059" s="15"/>
      <c r="J1059" s="15"/>
      <c r="K1059" s="15"/>
      <c r="L1059" s="15"/>
      <c r="M1059" s="15"/>
      <c r="N1059" s="15"/>
      <c r="O1059" s="15"/>
      <c r="P1059" s="15"/>
    </row>
    <row r="1060" spans="1:16" x14ac:dyDescent="0.25">
      <c r="A1060" s="15"/>
      <c r="B1060" s="15"/>
      <c r="C1060" s="15"/>
      <c r="D1060" s="15"/>
      <c r="E1060" s="15"/>
      <c r="F1060" s="15"/>
      <c r="G1060" s="15"/>
      <c r="H1060" s="15"/>
      <c r="I1060" s="15"/>
      <c r="J1060" s="15"/>
      <c r="K1060" s="15"/>
      <c r="L1060" s="15"/>
      <c r="M1060" s="15"/>
      <c r="N1060" s="15"/>
      <c r="O1060" s="15"/>
      <c r="P1060" s="15"/>
    </row>
    <row r="1061" spans="1:16" x14ac:dyDescent="0.25">
      <c r="A1061" s="15"/>
      <c r="B1061" s="15"/>
      <c r="C1061" s="15"/>
      <c r="D1061" s="15"/>
      <c r="E1061" s="15"/>
      <c r="F1061" s="15"/>
      <c r="G1061" s="15"/>
      <c r="H1061" s="15"/>
      <c r="I1061" s="15"/>
      <c r="J1061" s="15"/>
      <c r="K1061" s="15"/>
      <c r="L1061" s="15"/>
      <c r="M1061" s="15"/>
      <c r="N1061" s="15"/>
      <c r="O1061" s="15"/>
      <c r="P1061" s="15"/>
    </row>
    <row r="1062" spans="1:16" x14ac:dyDescent="0.25">
      <c r="A1062" s="15"/>
      <c r="B1062" s="15"/>
      <c r="C1062" s="15"/>
      <c r="D1062" s="15"/>
      <c r="E1062" s="15"/>
      <c r="F1062" s="15"/>
      <c r="G1062" s="15"/>
      <c r="H1062" s="15"/>
      <c r="I1062" s="15"/>
      <c r="J1062" s="15"/>
      <c r="K1062" s="15"/>
      <c r="L1062" s="15"/>
      <c r="M1062" s="15"/>
      <c r="N1062" s="15"/>
      <c r="O1062" s="15"/>
      <c r="P1062" s="15"/>
    </row>
    <row r="1063" spans="1:16" x14ac:dyDescent="0.25">
      <c r="A1063" s="15"/>
      <c r="B1063" s="15"/>
      <c r="C1063" s="15"/>
      <c r="D1063" s="15"/>
      <c r="E1063" s="15"/>
      <c r="F1063" s="15"/>
      <c r="G1063" s="15"/>
      <c r="H1063" s="15"/>
      <c r="I1063" s="15"/>
      <c r="J1063" s="15"/>
      <c r="K1063" s="15"/>
      <c r="L1063" s="15"/>
      <c r="M1063" s="15"/>
      <c r="N1063" s="15"/>
      <c r="O1063" s="15"/>
      <c r="P1063" s="15"/>
    </row>
    <row r="1064" spans="1:16" x14ac:dyDescent="0.25">
      <c r="A1064" s="15"/>
      <c r="B1064" s="15"/>
      <c r="C1064" s="15"/>
      <c r="D1064" s="15"/>
      <c r="E1064" s="15"/>
      <c r="F1064" s="15"/>
      <c r="G1064" s="15"/>
      <c r="H1064" s="15"/>
      <c r="I1064" s="15"/>
      <c r="J1064" s="15"/>
      <c r="K1064" s="15"/>
      <c r="L1064" s="15"/>
      <c r="M1064" s="15"/>
      <c r="N1064" s="15"/>
      <c r="O1064" s="15"/>
      <c r="P1064" s="15"/>
    </row>
    <row r="1065" spans="1:16" x14ac:dyDescent="0.25">
      <c r="A1065" s="15"/>
      <c r="B1065" s="15"/>
      <c r="C1065" s="15"/>
      <c r="D1065" s="15"/>
      <c r="E1065" s="15"/>
      <c r="F1065" s="15"/>
      <c r="G1065" s="15"/>
      <c r="H1065" s="15"/>
      <c r="I1065" s="15"/>
      <c r="J1065" s="15"/>
      <c r="K1065" s="15"/>
      <c r="L1065" s="15"/>
      <c r="M1065" s="15"/>
      <c r="N1065" s="15"/>
      <c r="O1065" s="15"/>
      <c r="P1065" s="15"/>
    </row>
    <row r="1066" spans="1:16" x14ac:dyDescent="0.25">
      <c r="A1066" s="15"/>
      <c r="B1066" s="15"/>
      <c r="C1066" s="15"/>
      <c r="D1066" s="15"/>
      <c r="E1066" s="15"/>
      <c r="F1066" s="15"/>
      <c r="G1066" s="15"/>
      <c r="H1066" s="15"/>
      <c r="I1066" s="15"/>
      <c r="J1066" s="15"/>
      <c r="K1066" s="15"/>
      <c r="L1066" s="15"/>
      <c r="M1066" s="15"/>
      <c r="N1066" s="15"/>
      <c r="O1066" s="15"/>
      <c r="P1066" s="15"/>
    </row>
    <row r="1067" spans="1:16" x14ac:dyDescent="0.25">
      <c r="A1067" s="15"/>
      <c r="B1067" s="15"/>
      <c r="C1067" s="15"/>
      <c r="D1067" s="15"/>
      <c r="E1067" s="15"/>
      <c r="F1067" s="15"/>
      <c r="G1067" s="15"/>
      <c r="H1067" s="15"/>
      <c r="I1067" s="15"/>
      <c r="J1067" s="15"/>
      <c r="K1067" s="15"/>
      <c r="L1067" s="15"/>
      <c r="M1067" s="15"/>
      <c r="N1067" s="15"/>
      <c r="O1067" s="15"/>
      <c r="P1067" s="15"/>
    </row>
    <row r="1068" spans="1:16" x14ac:dyDescent="0.25">
      <c r="A1068" s="15"/>
      <c r="B1068" s="15"/>
      <c r="C1068" s="15"/>
      <c r="D1068" s="15"/>
      <c r="E1068" s="15"/>
      <c r="F1068" s="15"/>
      <c r="G1068" s="15"/>
      <c r="H1068" s="15"/>
      <c r="I1068" s="15"/>
      <c r="J1068" s="15"/>
      <c r="K1068" s="15"/>
      <c r="L1068" s="15"/>
      <c r="M1068" s="15"/>
      <c r="N1068" s="15"/>
      <c r="O1068" s="15"/>
      <c r="P1068" s="15"/>
    </row>
    <row r="1069" spans="1:16" x14ac:dyDescent="0.25">
      <c r="A1069" s="15"/>
      <c r="B1069" s="15"/>
      <c r="C1069" s="15"/>
      <c r="D1069" s="15"/>
      <c r="E1069" s="15"/>
      <c r="F1069" s="15"/>
      <c r="G1069" s="15"/>
      <c r="H1069" s="15"/>
      <c r="I1069" s="15"/>
      <c r="J1069" s="15"/>
      <c r="K1069" s="15"/>
      <c r="L1069" s="15"/>
      <c r="M1069" s="15"/>
      <c r="N1069" s="15"/>
      <c r="O1069" s="15"/>
      <c r="P1069" s="15"/>
    </row>
    <row r="1070" spans="1:16" x14ac:dyDescent="0.25">
      <c r="A1070" s="15"/>
      <c r="B1070" s="15"/>
      <c r="C1070" s="15"/>
      <c r="D1070" s="15"/>
      <c r="E1070" s="15"/>
      <c r="F1070" s="15"/>
      <c r="G1070" s="15"/>
      <c r="H1070" s="15"/>
      <c r="I1070" s="15"/>
      <c r="J1070" s="15"/>
      <c r="K1070" s="15"/>
      <c r="L1070" s="15"/>
      <c r="M1070" s="15"/>
      <c r="N1070" s="15"/>
      <c r="O1070" s="15"/>
      <c r="P1070" s="15"/>
    </row>
    <row r="1071" spans="1:16" x14ac:dyDescent="0.25">
      <c r="A1071" s="15"/>
      <c r="B1071" s="15"/>
      <c r="C1071" s="15"/>
      <c r="D1071" s="15"/>
      <c r="E1071" s="15"/>
      <c r="F1071" s="15"/>
      <c r="G1071" s="15"/>
      <c r="H1071" s="15"/>
      <c r="I1071" s="15"/>
      <c r="J1071" s="15"/>
      <c r="K1071" s="15"/>
      <c r="L1071" s="15"/>
      <c r="M1071" s="15"/>
      <c r="N1071" s="15"/>
      <c r="O1071" s="15"/>
      <c r="P1071" s="15"/>
    </row>
    <row r="1072" spans="1:16" x14ac:dyDescent="0.25">
      <c r="A1072" s="15"/>
      <c r="B1072" s="15"/>
      <c r="C1072" s="15"/>
      <c r="D1072" s="15"/>
      <c r="E1072" s="15"/>
      <c r="F1072" s="15"/>
      <c r="G1072" s="15"/>
      <c r="H1072" s="15"/>
      <c r="I1072" s="15"/>
      <c r="J1072" s="15"/>
      <c r="K1072" s="15"/>
      <c r="L1072" s="15"/>
      <c r="M1072" s="15"/>
      <c r="N1072" s="15"/>
      <c r="O1072" s="15"/>
      <c r="P1072" s="15"/>
    </row>
    <row r="1073" spans="1:16" x14ac:dyDescent="0.25">
      <c r="A1073" s="15"/>
      <c r="B1073" s="15"/>
      <c r="C1073" s="15"/>
      <c r="D1073" s="15"/>
      <c r="E1073" s="15"/>
      <c r="F1073" s="15"/>
      <c r="G1073" s="15"/>
      <c r="H1073" s="15"/>
      <c r="I1073" s="15"/>
      <c r="J1073" s="15"/>
      <c r="K1073" s="15"/>
      <c r="L1073" s="15"/>
      <c r="M1073" s="15"/>
      <c r="N1073" s="15"/>
      <c r="O1073" s="15"/>
      <c r="P1073" s="15"/>
    </row>
    <row r="1074" spans="1:16" x14ac:dyDescent="0.25">
      <c r="A1074" s="15"/>
      <c r="B1074" s="15"/>
      <c r="C1074" s="15"/>
      <c r="D1074" s="15"/>
      <c r="E1074" s="15"/>
      <c r="F1074" s="15"/>
      <c r="G1074" s="15"/>
      <c r="H1074" s="15"/>
      <c r="I1074" s="15"/>
      <c r="J1074" s="15"/>
      <c r="K1074" s="15"/>
      <c r="L1074" s="15"/>
      <c r="M1074" s="15"/>
      <c r="N1074" s="15"/>
      <c r="O1074" s="15"/>
      <c r="P1074" s="15"/>
    </row>
    <row r="1075" spans="1:16" x14ac:dyDescent="0.25">
      <c r="A1075" s="15"/>
      <c r="B1075" s="15"/>
      <c r="C1075" s="15"/>
      <c r="D1075" s="15"/>
      <c r="E1075" s="15"/>
      <c r="F1075" s="15"/>
      <c r="G1075" s="15"/>
      <c r="H1075" s="15"/>
      <c r="I1075" s="15"/>
      <c r="J1075" s="15"/>
      <c r="K1075" s="15"/>
      <c r="L1075" s="15"/>
      <c r="M1075" s="15"/>
      <c r="N1075" s="15"/>
      <c r="O1075" s="15"/>
      <c r="P1075" s="15"/>
    </row>
    <row r="1076" spans="1:16" x14ac:dyDescent="0.25">
      <c r="A1076" s="15"/>
      <c r="B1076" s="15"/>
      <c r="C1076" s="15"/>
      <c r="D1076" s="15"/>
      <c r="E1076" s="15"/>
      <c r="F1076" s="15"/>
      <c r="G1076" s="15"/>
      <c r="H1076" s="15"/>
      <c r="I1076" s="15"/>
      <c r="J1076" s="15"/>
      <c r="K1076" s="15"/>
      <c r="L1076" s="15"/>
      <c r="M1076" s="15"/>
      <c r="N1076" s="15"/>
      <c r="O1076" s="15"/>
      <c r="P1076" s="15"/>
    </row>
    <row r="1077" spans="1:16" x14ac:dyDescent="0.25">
      <c r="A1077" s="15"/>
      <c r="B1077" s="15"/>
      <c r="C1077" s="15"/>
      <c r="D1077" s="15"/>
      <c r="E1077" s="15"/>
      <c r="F1077" s="15"/>
      <c r="G1077" s="15"/>
      <c r="H1077" s="15"/>
      <c r="I1077" s="15"/>
      <c r="J1077" s="15"/>
      <c r="K1077" s="15"/>
      <c r="L1077" s="15"/>
      <c r="M1077" s="15"/>
      <c r="N1077" s="15"/>
      <c r="O1077" s="15"/>
      <c r="P1077" s="15"/>
    </row>
    <row r="1078" spans="1:16" x14ac:dyDescent="0.25">
      <c r="A1078" s="15"/>
      <c r="B1078" s="15"/>
      <c r="C1078" s="15"/>
      <c r="D1078" s="15"/>
      <c r="E1078" s="15"/>
      <c r="F1078" s="15"/>
      <c r="G1078" s="15"/>
      <c r="H1078" s="15"/>
      <c r="I1078" s="15"/>
      <c r="J1078" s="15"/>
      <c r="K1078" s="15"/>
      <c r="L1078" s="15"/>
      <c r="M1078" s="15"/>
      <c r="N1078" s="15"/>
      <c r="O1078" s="15"/>
      <c r="P1078" s="15"/>
    </row>
    <row r="1079" spans="1:16" x14ac:dyDescent="0.25">
      <c r="A1079" s="15"/>
      <c r="B1079" s="15"/>
      <c r="C1079" s="15"/>
      <c r="D1079" s="15"/>
      <c r="E1079" s="15"/>
      <c r="F1079" s="15"/>
      <c r="G1079" s="15"/>
      <c r="H1079" s="15"/>
      <c r="I1079" s="15"/>
      <c r="J1079" s="15"/>
      <c r="K1079" s="15"/>
      <c r="L1079" s="15"/>
      <c r="M1079" s="15"/>
      <c r="N1079" s="15"/>
      <c r="O1079" s="15"/>
      <c r="P1079" s="15"/>
    </row>
    <row r="1080" spans="1:16" x14ac:dyDescent="0.25">
      <c r="A1080" s="15"/>
      <c r="B1080" s="15"/>
      <c r="C1080" s="15"/>
      <c r="D1080" s="15"/>
      <c r="E1080" s="15"/>
      <c r="F1080" s="15"/>
      <c r="G1080" s="15"/>
      <c r="H1080" s="15"/>
      <c r="I1080" s="15"/>
      <c r="J1080" s="15"/>
      <c r="K1080" s="15"/>
      <c r="L1080" s="15"/>
      <c r="M1080" s="15"/>
      <c r="N1080" s="15"/>
      <c r="O1080" s="15"/>
      <c r="P1080" s="15"/>
    </row>
    <row r="1081" spans="1:16" x14ac:dyDescent="0.25">
      <c r="A1081" s="15"/>
      <c r="B1081" s="15"/>
      <c r="C1081" s="15"/>
      <c r="D1081" s="15"/>
      <c r="E1081" s="15"/>
      <c r="F1081" s="15"/>
      <c r="G1081" s="15"/>
      <c r="H1081" s="15"/>
      <c r="I1081" s="15"/>
      <c r="J1081" s="15"/>
      <c r="K1081" s="15"/>
      <c r="L1081" s="15"/>
      <c r="M1081" s="15"/>
      <c r="N1081" s="15"/>
      <c r="O1081" s="15"/>
      <c r="P1081" s="15"/>
    </row>
    <row r="1082" spans="1:16" x14ac:dyDescent="0.25">
      <c r="A1082" s="15"/>
      <c r="B1082" s="15"/>
      <c r="C1082" s="15"/>
      <c r="D1082" s="15"/>
      <c r="E1082" s="15"/>
      <c r="F1082" s="15"/>
      <c r="G1082" s="15"/>
      <c r="H1082" s="15"/>
      <c r="I1082" s="15"/>
      <c r="J1082" s="15"/>
      <c r="K1082" s="15"/>
      <c r="L1082" s="15"/>
      <c r="M1082" s="15"/>
      <c r="N1082" s="15"/>
      <c r="O1082" s="15"/>
      <c r="P1082" s="15"/>
    </row>
    <row r="1083" spans="1:16" x14ac:dyDescent="0.25">
      <c r="A1083" s="15"/>
      <c r="B1083" s="15"/>
      <c r="C1083" s="15"/>
      <c r="D1083" s="15"/>
      <c r="E1083" s="15"/>
      <c r="F1083" s="15"/>
      <c r="G1083" s="15"/>
      <c r="H1083" s="15"/>
      <c r="I1083" s="15"/>
      <c r="J1083" s="15"/>
      <c r="K1083" s="15"/>
      <c r="L1083" s="15"/>
      <c r="M1083" s="15"/>
      <c r="N1083" s="15"/>
      <c r="O1083" s="15"/>
      <c r="P1083" s="15"/>
    </row>
    <row r="1084" spans="1:16" x14ac:dyDescent="0.25">
      <c r="A1084" s="15"/>
      <c r="B1084" s="15"/>
      <c r="C1084" s="15"/>
      <c r="D1084" s="15"/>
      <c r="E1084" s="15"/>
      <c r="F1084" s="15"/>
      <c r="G1084" s="15"/>
      <c r="H1084" s="15"/>
      <c r="I1084" s="15"/>
      <c r="J1084" s="15"/>
      <c r="K1084" s="15"/>
      <c r="L1084" s="15"/>
      <c r="M1084" s="15"/>
      <c r="N1084" s="15"/>
      <c r="O1084" s="15"/>
      <c r="P1084" s="15"/>
    </row>
    <row r="1085" spans="1:16" x14ac:dyDescent="0.25">
      <c r="A1085" s="15"/>
      <c r="B1085" s="15"/>
      <c r="C1085" s="15"/>
      <c r="D1085" s="15"/>
      <c r="E1085" s="15"/>
      <c r="F1085" s="15"/>
      <c r="G1085" s="15"/>
      <c r="H1085" s="15"/>
      <c r="I1085" s="15"/>
      <c r="J1085" s="15"/>
      <c r="K1085" s="15"/>
      <c r="L1085" s="15"/>
      <c r="M1085" s="15"/>
      <c r="N1085" s="15"/>
      <c r="O1085" s="15"/>
      <c r="P1085" s="15"/>
    </row>
    <row r="1086" spans="1:16" x14ac:dyDescent="0.25">
      <c r="A1086" s="15"/>
      <c r="B1086" s="15"/>
      <c r="C1086" s="15"/>
      <c r="D1086" s="15"/>
      <c r="E1086" s="15"/>
      <c r="F1086" s="15"/>
      <c r="G1086" s="15"/>
      <c r="H1086" s="15"/>
      <c r="I1086" s="15"/>
      <c r="J1086" s="15"/>
      <c r="K1086" s="15"/>
      <c r="L1086" s="15"/>
      <c r="M1086" s="15"/>
      <c r="N1086" s="15"/>
      <c r="O1086" s="15"/>
      <c r="P1086" s="15"/>
    </row>
    <row r="1087" spans="1:16" x14ac:dyDescent="0.25">
      <c r="A1087" s="15"/>
      <c r="B1087" s="15"/>
      <c r="C1087" s="15"/>
      <c r="D1087" s="15"/>
      <c r="E1087" s="15"/>
      <c r="F1087" s="15"/>
      <c r="G1087" s="15"/>
      <c r="H1087" s="15"/>
      <c r="I1087" s="15"/>
      <c r="J1087" s="15"/>
      <c r="K1087" s="15"/>
      <c r="L1087" s="15"/>
      <c r="M1087" s="15"/>
      <c r="N1087" s="15"/>
      <c r="O1087" s="15"/>
      <c r="P1087" s="15"/>
    </row>
    <row r="1088" spans="1:16" x14ac:dyDescent="0.25">
      <c r="A1088" s="15"/>
      <c r="B1088" s="15"/>
      <c r="C1088" s="15"/>
      <c r="D1088" s="15"/>
      <c r="E1088" s="15"/>
      <c r="F1088" s="15"/>
      <c r="G1088" s="15"/>
      <c r="H1088" s="15"/>
      <c r="I1088" s="15"/>
      <c r="J1088" s="15"/>
      <c r="K1088" s="15"/>
      <c r="L1088" s="15"/>
      <c r="M1088" s="15"/>
      <c r="N1088" s="15"/>
      <c r="O1088" s="15"/>
      <c r="P1088" s="15"/>
    </row>
    <row r="1089" spans="1:16" x14ac:dyDescent="0.25">
      <c r="A1089" s="15"/>
      <c r="B1089" s="15"/>
      <c r="C1089" s="15"/>
      <c r="D1089" s="15"/>
      <c r="E1089" s="15"/>
      <c r="F1089" s="15"/>
      <c r="G1089" s="15"/>
      <c r="H1089" s="15"/>
      <c r="I1089" s="15"/>
      <c r="J1089" s="15"/>
      <c r="K1089" s="15"/>
      <c r="L1089" s="15"/>
      <c r="M1089" s="15"/>
      <c r="N1089" s="15"/>
      <c r="O1089" s="15"/>
      <c r="P1089" s="15"/>
    </row>
    <row r="1090" spans="1:16" x14ac:dyDescent="0.25">
      <c r="A1090" s="15"/>
      <c r="B1090" s="15"/>
      <c r="C1090" s="15"/>
      <c r="D1090" s="15"/>
      <c r="E1090" s="15"/>
      <c r="F1090" s="15"/>
      <c r="G1090" s="15"/>
      <c r="H1090" s="15"/>
      <c r="I1090" s="15"/>
      <c r="J1090" s="15"/>
      <c r="K1090" s="15"/>
      <c r="L1090" s="15"/>
      <c r="M1090" s="15"/>
      <c r="N1090" s="15"/>
      <c r="O1090" s="15"/>
      <c r="P1090" s="15"/>
    </row>
    <row r="1091" spans="1:16" x14ac:dyDescent="0.25">
      <c r="A1091" s="15"/>
      <c r="B1091" s="15"/>
      <c r="C1091" s="15"/>
      <c r="D1091" s="15"/>
      <c r="E1091" s="15"/>
      <c r="F1091" s="15"/>
      <c r="G1091" s="15"/>
      <c r="H1091" s="15"/>
      <c r="I1091" s="15"/>
      <c r="J1091" s="15"/>
      <c r="K1091" s="15"/>
      <c r="L1091" s="15"/>
      <c r="M1091" s="15"/>
      <c r="N1091" s="15"/>
      <c r="O1091" s="15"/>
      <c r="P1091" s="15"/>
    </row>
    <row r="1092" spans="1:16" x14ac:dyDescent="0.25">
      <c r="A1092" s="15"/>
      <c r="B1092" s="15"/>
      <c r="C1092" s="15"/>
      <c r="D1092" s="15"/>
      <c r="E1092" s="15"/>
      <c r="F1092" s="15"/>
      <c r="G1092" s="15"/>
      <c r="H1092" s="15"/>
      <c r="I1092" s="15"/>
      <c r="J1092" s="15"/>
      <c r="K1092" s="15"/>
      <c r="L1092" s="15"/>
      <c r="M1092" s="15"/>
      <c r="N1092" s="15"/>
      <c r="O1092" s="15"/>
      <c r="P1092" s="15"/>
    </row>
    <row r="1093" spans="1:16" x14ac:dyDescent="0.25">
      <c r="A1093" s="15"/>
      <c r="B1093" s="15"/>
      <c r="C1093" s="15"/>
      <c r="D1093" s="15"/>
      <c r="E1093" s="15"/>
      <c r="F1093" s="15"/>
      <c r="G1093" s="15"/>
      <c r="H1093" s="15"/>
      <c r="I1093" s="15"/>
      <c r="J1093" s="15"/>
      <c r="K1093" s="15"/>
      <c r="L1093" s="15"/>
      <c r="M1093" s="15"/>
      <c r="N1093" s="15"/>
      <c r="O1093" s="15"/>
      <c r="P1093" s="15"/>
    </row>
    <row r="1094" spans="1:16" x14ac:dyDescent="0.25">
      <c r="A1094" s="15"/>
      <c r="B1094" s="15"/>
      <c r="C1094" s="15"/>
      <c r="D1094" s="15"/>
      <c r="E1094" s="15"/>
      <c r="F1094" s="15"/>
      <c r="G1094" s="15"/>
      <c r="H1094" s="15"/>
      <c r="I1094" s="15"/>
      <c r="J1094" s="15"/>
      <c r="K1094" s="15"/>
      <c r="L1094" s="15"/>
      <c r="M1094" s="15"/>
      <c r="N1094" s="15"/>
      <c r="O1094" s="15"/>
      <c r="P1094" s="15"/>
    </row>
    <row r="1095" spans="1:16" x14ac:dyDescent="0.25">
      <c r="A1095" s="15"/>
      <c r="B1095" s="15"/>
      <c r="C1095" s="15"/>
      <c r="D1095" s="15"/>
      <c r="E1095" s="15"/>
      <c r="F1095" s="15"/>
      <c r="G1095" s="15"/>
      <c r="H1095" s="15"/>
      <c r="I1095" s="15"/>
      <c r="J1095" s="15"/>
      <c r="K1095" s="15"/>
      <c r="L1095" s="15"/>
      <c r="M1095" s="15"/>
      <c r="N1095" s="15"/>
      <c r="O1095" s="15"/>
      <c r="P1095" s="15"/>
    </row>
    <row r="1096" spans="1:16" x14ac:dyDescent="0.25">
      <c r="A1096" s="15"/>
      <c r="B1096" s="15"/>
      <c r="C1096" s="15"/>
      <c r="D1096" s="15"/>
      <c r="E1096" s="15"/>
      <c r="F1096" s="15"/>
      <c r="G1096" s="15"/>
      <c r="H1096" s="15"/>
      <c r="I1096" s="15"/>
      <c r="J1096" s="15"/>
      <c r="K1096" s="15"/>
      <c r="L1096" s="15"/>
      <c r="M1096" s="15"/>
      <c r="N1096" s="15"/>
      <c r="O1096" s="15"/>
      <c r="P1096" s="15"/>
    </row>
    <row r="1097" spans="1:16" x14ac:dyDescent="0.25">
      <c r="A1097" s="15"/>
      <c r="B1097" s="15"/>
      <c r="C1097" s="15"/>
      <c r="D1097" s="15"/>
      <c r="E1097" s="15"/>
      <c r="F1097" s="15"/>
      <c r="G1097" s="15"/>
      <c r="H1097" s="15"/>
      <c r="I1097" s="15"/>
      <c r="J1097" s="15"/>
      <c r="K1097" s="15"/>
      <c r="L1097" s="15"/>
      <c r="M1097" s="15"/>
      <c r="N1097" s="15"/>
      <c r="O1097" s="15"/>
      <c r="P1097" s="15"/>
    </row>
    <row r="1098" spans="1:16" x14ac:dyDescent="0.25">
      <c r="A1098" s="15"/>
      <c r="B1098" s="15"/>
      <c r="C1098" s="15"/>
      <c r="D1098" s="15"/>
      <c r="E1098" s="15"/>
      <c r="F1098" s="15"/>
      <c r="G1098" s="15"/>
      <c r="H1098" s="15"/>
      <c r="I1098" s="15"/>
      <c r="J1098" s="15"/>
      <c r="K1098" s="15"/>
      <c r="L1098" s="15"/>
      <c r="M1098" s="15"/>
      <c r="N1098" s="15"/>
      <c r="O1098" s="15"/>
      <c r="P1098" s="15"/>
    </row>
    <row r="1099" spans="1:16" x14ac:dyDescent="0.25">
      <c r="A1099" s="15"/>
      <c r="B1099" s="15"/>
      <c r="C1099" s="15"/>
      <c r="D1099" s="15"/>
      <c r="E1099" s="15"/>
      <c r="F1099" s="15"/>
      <c r="G1099" s="15"/>
      <c r="H1099" s="15"/>
      <c r="I1099" s="15"/>
      <c r="J1099" s="15"/>
      <c r="K1099" s="15"/>
      <c r="L1099" s="15"/>
      <c r="M1099" s="15"/>
      <c r="N1099" s="15"/>
      <c r="O1099" s="15"/>
      <c r="P1099" s="15"/>
    </row>
    <row r="1100" spans="1:16" x14ac:dyDescent="0.25">
      <c r="A1100" s="15"/>
      <c r="B1100" s="15"/>
      <c r="C1100" s="15"/>
      <c r="D1100" s="15"/>
      <c r="E1100" s="15"/>
      <c r="F1100" s="15"/>
      <c r="G1100" s="15"/>
      <c r="H1100" s="15"/>
      <c r="I1100" s="15"/>
      <c r="J1100" s="15"/>
      <c r="K1100" s="15"/>
      <c r="L1100" s="15"/>
      <c r="M1100" s="15"/>
      <c r="N1100" s="15"/>
      <c r="O1100" s="15"/>
      <c r="P1100" s="15"/>
    </row>
    <row r="1101" spans="1:16" x14ac:dyDescent="0.25">
      <c r="A1101" s="15"/>
      <c r="B1101" s="15"/>
      <c r="C1101" s="15"/>
      <c r="D1101" s="15"/>
      <c r="E1101" s="15"/>
      <c r="F1101" s="15"/>
      <c r="G1101" s="15"/>
      <c r="H1101" s="15"/>
      <c r="I1101" s="15"/>
      <c r="J1101" s="15"/>
      <c r="K1101" s="15"/>
      <c r="L1101" s="15"/>
      <c r="M1101" s="15"/>
      <c r="N1101" s="15"/>
      <c r="O1101" s="15"/>
      <c r="P1101" s="15"/>
    </row>
    <row r="1102" spans="1:16" x14ac:dyDescent="0.25">
      <c r="A1102" s="15"/>
      <c r="B1102" s="15"/>
      <c r="C1102" s="15"/>
      <c r="D1102" s="15"/>
      <c r="E1102" s="15"/>
      <c r="F1102" s="15"/>
      <c r="G1102" s="15"/>
      <c r="H1102" s="15"/>
      <c r="I1102" s="15"/>
      <c r="J1102" s="15"/>
      <c r="K1102" s="15"/>
      <c r="L1102" s="15"/>
      <c r="M1102" s="15"/>
      <c r="N1102" s="15"/>
      <c r="O1102" s="15"/>
      <c r="P1102" s="15"/>
    </row>
    <row r="1103" spans="1:16" x14ac:dyDescent="0.25">
      <c r="A1103" s="15"/>
      <c r="B1103" s="15"/>
      <c r="C1103" s="15"/>
      <c r="D1103" s="15"/>
      <c r="E1103" s="15"/>
      <c r="F1103" s="15"/>
      <c r="G1103" s="15"/>
      <c r="H1103" s="15"/>
      <c r="I1103" s="15"/>
      <c r="J1103" s="15"/>
      <c r="K1103" s="15"/>
      <c r="L1103" s="15"/>
      <c r="M1103" s="15"/>
      <c r="N1103" s="15"/>
      <c r="O1103" s="15"/>
      <c r="P1103" s="15"/>
    </row>
    <row r="1104" spans="1:16" x14ac:dyDescent="0.25">
      <c r="A1104" s="15"/>
      <c r="B1104" s="15"/>
      <c r="C1104" s="15"/>
      <c r="D1104" s="15"/>
      <c r="E1104" s="15"/>
      <c r="F1104" s="15"/>
      <c r="G1104" s="15"/>
      <c r="H1104" s="15"/>
      <c r="I1104" s="15"/>
      <c r="J1104" s="15"/>
      <c r="K1104" s="15"/>
      <c r="L1104" s="15"/>
      <c r="M1104" s="15"/>
      <c r="N1104" s="15"/>
      <c r="O1104" s="15"/>
      <c r="P1104" s="15"/>
    </row>
    <row r="1105" spans="1:16" x14ac:dyDescent="0.25">
      <c r="A1105" s="15"/>
      <c r="B1105" s="15"/>
      <c r="C1105" s="15"/>
      <c r="D1105" s="15"/>
      <c r="E1105" s="15"/>
      <c r="F1105" s="15"/>
      <c r="G1105" s="15"/>
      <c r="H1105" s="15"/>
      <c r="I1105" s="15"/>
      <c r="J1105" s="15"/>
      <c r="K1105" s="15"/>
      <c r="L1105" s="15"/>
      <c r="M1105" s="15"/>
      <c r="N1105" s="15"/>
      <c r="O1105" s="15"/>
      <c r="P1105" s="15"/>
    </row>
    <row r="1106" spans="1:16" x14ac:dyDescent="0.25">
      <c r="A1106" s="15"/>
      <c r="B1106" s="15"/>
      <c r="C1106" s="15"/>
      <c r="D1106" s="15"/>
      <c r="E1106" s="15"/>
      <c r="F1106" s="15"/>
      <c r="G1106" s="15"/>
      <c r="H1106" s="15"/>
      <c r="I1106" s="15"/>
      <c r="J1106" s="15"/>
      <c r="K1106" s="15"/>
      <c r="L1106" s="15"/>
      <c r="M1106" s="15"/>
      <c r="N1106" s="15"/>
      <c r="O1106" s="15"/>
      <c r="P1106" s="15"/>
    </row>
    <row r="1107" spans="1:16" x14ac:dyDescent="0.25">
      <c r="A1107" s="15"/>
      <c r="B1107" s="15"/>
      <c r="C1107" s="15"/>
      <c r="D1107" s="15"/>
      <c r="E1107" s="15"/>
      <c r="F1107" s="15"/>
      <c r="G1107" s="15"/>
      <c r="H1107" s="15"/>
      <c r="I1107" s="15"/>
      <c r="J1107" s="15"/>
      <c r="K1107" s="15"/>
      <c r="L1107" s="15"/>
      <c r="M1107" s="15"/>
      <c r="N1107" s="15"/>
      <c r="O1107" s="15"/>
      <c r="P1107" s="15"/>
    </row>
    <row r="1108" spans="1:16" x14ac:dyDescent="0.25">
      <c r="A1108" s="15"/>
      <c r="B1108" s="15"/>
      <c r="C1108" s="15"/>
      <c r="D1108" s="15"/>
      <c r="E1108" s="15"/>
      <c r="F1108" s="15"/>
      <c r="G1108" s="15"/>
      <c r="H1108" s="15"/>
      <c r="I1108" s="15"/>
      <c r="J1108" s="15"/>
      <c r="K1108" s="15"/>
      <c r="L1108" s="15"/>
      <c r="M1108" s="15"/>
      <c r="N1108" s="15"/>
      <c r="O1108" s="15"/>
      <c r="P1108" s="15"/>
    </row>
    <row r="1109" spans="1:16" x14ac:dyDescent="0.25">
      <c r="A1109" s="15"/>
      <c r="B1109" s="15"/>
      <c r="C1109" s="15"/>
      <c r="D1109" s="15"/>
      <c r="E1109" s="15"/>
      <c r="F1109" s="15"/>
      <c r="G1109" s="15"/>
      <c r="H1109" s="15"/>
      <c r="I1109" s="15"/>
      <c r="J1109" s="15"/>
      <c r="K1109" s="15"/>
      <c r="L1109" s="15"/>
      <c r="M1109" s="15"/>
      <c r="N1109" s="15"/>
      <c r="O1109" s="15"/>
      <c r="P1109" s="15"/>
    </row>
    <row r="1110" spans="1:16" x14ac:dyDescent="0.25">
      <c r="A1110" s="15"/>
      <c r="B1110" s="15"/>
      <c r="C1110" s="15"/>
      <c r="D1110" s="15"/>
      <c r="E1110" s="15"/>
      <c r="F1110" s="15"/>
      <c r="G1110" s="15"/>
      <c r="H1110" s="15"/>
      <c r="I1110" s="15"/>
      <c r="J1110" s="15"/>
      <c r="K1110" s="15"/>
      <c r="L1110" s="15"/>
      <c r="M1110" s="15"/>
      <c r="N1110" s="15"/>
      <c r="O1110" s="15"/>
      <c r="P1110" s="15"/>
    </row>
    <row r="1111" spans="1:16" x14ac:dyDescent="0.25">
      <c r="A1111" s="15"/>
      <c r="B1111" s="15"/>
      <c r="C1111" s="15"/>
      <c r="D1111" s="15"/>
      <c r="E1111" s="15"/>
      <c r="F1111" s="15"/>
      <c r="G1111" s="15"/>
      <c r="H1111" s="15"/>
      <c r="I1111" s="15"/>
      <c r="J1111" s="15"/>
      <c r="K1111" s="15"/>
      <c r="L1111" s="15"/>
      <c r="M1111" s="15"/>
      <c r="N1111" s="15"/>
      <c r="O1111" s="15"/>
      <c r="P1111" s="15"/>
    </row>
    <row r="1112" spans="1:16" x14ac:dyDescent="0.25">
      <c r="A1112" s="15"/>
      <c r="B1112" s="15"/>
      <c r="C1112" s="15"/>
      <c r="D1112" s="15"/>
      <c r="E1112" s="15"/>
      <c r="F1112" s="15"/>
      <c r="G1112" s="15"/>
      <c r="H1112" s="15"/>
      <c r="I1112" s="15"/>
      <c r="J1112" s="15"/>
      <c r="K1112" s="15"/>
      <c r="L1112" s="15"/>
      <c r="M1112" s="15"/>
      <c r="N1112" s="15"/>
      <c r="O1112" s="15"/>
      <c r="P1112" s="15"/>
    </row>
    <row r="1113" spans="1:16" x14ac:dyDescent="0.25">
      <c r="A1113" s="15"/>
      <c r="B1113" s="15"/>
      <c r="C1113" s="15"/>
      <c r="D1113" s="15"/>
      <c r="E1113" s="15"/>
      <c r="F1113" s="15"/>
      <c r="G1113" s="15"/>
      <c r="H1113" s="15"/>
      <c r="I1113" s="15"/>
      <c r="J1113" s="15"/>
      <c r="K1113" s="15"/>
      <c r="L1113" s="15"/>
      <c r="M1113" s="15"/>
      <c r="N1113" s="15"/>
      <c r="O1113" s="15"/>
      <c r="P1113" s="15"/>
    </row>
    <row r="1114" spans="1:16" x14ac:dyDescent="0.25">
      <c r="A1114" s="15"/>
      <c r="B1114" s="15"/>
      <c r="C1114" s="15"/>
      <c r="D1114" s="15"/>
      <c r="E1114" s="15"/>
      <c r="F1114" s="15"/>
      <c r="G1114" s="15"/>
      <c r="H1114" s="15"/>
      <c r="I1114" s="15"/>
      <c r="J1114" s="15"/>
      <c r="K1114" s="15"/>
      <c r="L1114" s="15"/>
      <c r="M1114" s="15"/>
      <c r="N1114" s="15"/>
      <c r="O1114" s="15"/>
      <c r="P1114" s="15"/>
    </row>
    <row r="1115" spans="1:16" x14ac:dyDescent="0.25">
      <c r="A1115" s="15"/>
      <c r="B1115" s="15"/>
      <c r="C1115" s="15"/>
      <c r="D1115" s="15"/>
      <c r="E1115" s="15"/>
      <c r="F1115" s="15"/>
      <c r="G1115" s="15"/>
      <c r="H1115" s="15"/>
      <c r="I1115" s="15"/>
      <c r="J1115" s="15"/>
      <c r="K1115" s="15"/>
      <c r="L1115" s="15"/>
      <c r="M1115" s="15"/>
      <c r="N1115" s="15"/>
      <c r="O1115" s="15"/>
      <c r="P1115" s="15"/>
    </row>
    <row r="1116" spans="1:16" x14ac:dyDescent="0.25">
      <c r="A1116" s="15"/>
      <c r="B1116" s="15"/>
      <c r="C1116" s="15"/>
      <c r="D1116" s="15"/>
      <c r="E1116" s="15"/>
      <c r="F1116" s="15"/>
      <c r="G1116" s="15"/>
      <c r="H1116" s="15"/>
      <c r="I1116" s="15"/>
      <c r="J1116" s="15"/>
      <c r="K1116" s="15"/>
      <c r="L1116" s="15"/>
      <c r="M1116" s="15"/>
      <c r="N1116" s="15"/>
      <c r="O1116" s="15"/>
      <c r="P1116" s="15"/>
    </row>
    <row r="1117" spans="1:16" x14ac:dyDescent="0.25">
      <c r="A1117" s="15"/>
      <c r="B1117" s="15"/>
      <c r="C1117" s="15"/>
      <c r="D1117" s="15"/>
      <c r="E1117" s="15"/>
      <c r="F1117" s="15"/>
      <c r="G1117" s="15"/>
      <c r="H1117" s="15"/>
      <c r="I1117" s="15"/>
      <c r="J1117" s="15"/>
      <c r="K1117" s="15"/>
      <c r="L1117" s="15"/>
      <c r="M1117" s="15"/>
      <c r="N1117" s="15"/>
      <c r="O1117" s="15"/>
      <c r="P1117" s="15"/>
    </row>
    <row r="1118" spans="1:16" x14ac:dyDescent="0.25">
      <c r="A1118" s="15"/>
      <c r="B1118" s="15"/>
      <c r="C1118" s="15"/>
      <c r="D1118" s="15"/>
      <c r="E1118" s="15"/>
      <c r="F1118" s="15"/>
      <c r="G1118" s="15"/>
      <c r="H1118" s="15"/>
      <c r="I1118" s="15"/>
      <c r="J1118" s="15"/>
      <c r="K1118" s="15"/>
      <c r="L1118" s="15"/>
      <c r="M1118" s="15"/>
      <c r="N1118" s="15"/>
      <c r="O1118" s="15"/>
      <c r="P1118" s="15"/>
    </row>
    <row r="1119" spans="1:16" x14ac:dyDescent="0.25">
      <c r="A1119" s="15"/>
      <c r="B1119" s="15"/>
      <c r="C1119" s="15"/>
      <c r="D1119" s="15"/>
      <c r="E1119" s="15"/>
      <c r="F1119" s="15"/>
      <c r="G1119" s="15"/>
      <c r="H1119" s="15"/>
      <c r="I1119" s="15"/>
      <c r="J1119" s="15"/>
      <c r="K1119" s="15"/>
      <c r="L1119" s="15"/>
      <c r="M1119" s="15"/>
      <c r="N1119" s="15"/>
      <c r="O1119" s="15"/>
      <c r="P1119" s="15"/>
    </row>
    <row r="1120" spans="1:16" x14ac:dyDescent="0.25">
      <c r="A1120" s="15"/>
      <c r="B1120" s="15"/>
      <c r="C1120" s="15"/>
      <c r="D1120" s="15"/>
      <c r="E1120" s="15"/>
      <c r="F1120" s="15"/>
      <c r="G1120" s="15"/>
      <c r="H1120" s="15"/>
      <c r="I1120" s="15"/>
      <c r="J1120" s="15"/>
      <c r="K1120" s="15"/>
      <c r="L1120" s="15"/>
      <c r="M1120" s="15"/>
      <c r="N1120" s="15"/>
      <c r="O1120" s="15"/>
      <c r="P1120" s="15"/>
    </row>
    <row r="1121" spans="1:16" x14ac:dyDescent="0.25">
      <c r="A1121" s="15"/>
      <c r="B1121" s="15"/>
      <c r="C1121" s="15"/>
      <c r="D1121" s="15"/>
      <c r="E1121" s="15"/>
      <c r="F1121" s="15"/>
      <c r="G1121" s="15"/>
      <c r="H1121" s="15"/>
      <c r="I1121" s="15"/>
      <c r="J1121" s="15"/>
      <c r="K1121" s="15"/>
      <c r="L1121" s="15"/>
      <c r="M1121" s="15"/>
      <c r="N1121" s="15"/>
      <c r="O1121" s="15"/>
      <c r="P1121" s="15"/>
    </row>
    <row r="1122" spans="1:16" x14ac:dyDescent="0.25">
      <c r="A1122" s="15"/>
      <c r="B1122" s="15"/>
      <c r="C1122" s="15"/>
      <c r="D1122" s="15"/>
      <c r="E1122" s="15"/>
      <c r="F1122" s="15"/>
      <c r="G1122" s="15"/>
      <c r="H1122" s="15"/>
      <c r="I1122" s="15"/>
      <c r="J1122" s="15"/>
      <c r="K1122" s="15"/>
      <c r="L1122" s="15"/>
      <c r="M1122" s="15"/>
      <c r="N1122" s="15"/>
      <c r="O1122" s="15"/>
      <c r="P1122" s="15"/>
    </row>
    <row r="1123" spans="1:16" x14ac:dyDescent="0.25">
      <c r="A1123" s="15"/>
      <c r="B1123" s="15"/>
      <c r="C1123" s="15"/>
      <c r="D1123" s="15"/>
      <c r="E1123" s="15"/>
      <c r="F1123" s="15"/>
      <c r="G1123" s="15"/>
      <c r="H1123" s="15"/>
      <c r="I1123" s="15"/>
      <c r="J1123" s="15"/>
      <c r="K1123" s="15"/>
      <c r="L1123" s="15"/>
      <c r="M1123" s="15"/>
      <c r="N1123" s="15"/>
      <c r="O1123" s="15"/>
      <c r="P1123" s="15"/>
    </row>
    <row r="1124" spans="1:16" x14ac:dyDescent="0.25">
      <c r="A1124" s="15"/>
      <c r="B1124" s="15"/>
      <c r="C1124" s="15"/>
      <c r="D1124" s="15"/>
      <c r="E1124" s="15"/>
      <c r="F1124" s="15"/>
      <c r="G1124" s="15"/>
      <c r="H1124" s="15"/>
      <c r="I1124" s="15"/>
      <c r="J1124" s="15"/>
      <c r="K1124" s="15"/>
      <c r="L1124" s="15"/>
      <c r="M1124" s="15"/>
      <c r="N1124" s="15"/>
      <c r="O1124" s="15"/>
      <c r="P1124" s="15"/>
    </row>
    <row r="1125" spans="1:16" x14ac:dyDescent="0.25">
      <c r="A1125" s="15"/>
      <c r="B1125" s="15"/>
      <c r="C1125" s="15"/>
      <c r="D1125" s="15"/>
      <c r="E1125" s="15"/>
      <c r="F1125" s="15"/>
      <c r="G1125" s="15"/>
      <c r="H1125" s="15"/>
      <c r="I1125" s="15"/>
      <c r="J1125" s="15"/>
      <c r="K1125" s="15"/>
      <c r="L1125" s="15"/>
      <c r="M1125" s="15"/>
      <c r="N1125" s="15"/>
      <c r="O1125" s="15"/>
      <c r="P1125" s="15"/>
    </row>
    <row r="1126" spans="1:16" x14ac:dyDescent="0.25">
      <c r="A1126" s="15"/>
      <c r="B1126" s="15"/>
      <c r="C1126" s="15"/>
      <c r="D1126" s="15"/>
      <c r="E1126" s="15"/>
      <c r="F1126" s="15"/>
      <c r="G1126" s="15"/>
      <c r="H1126" s="15"/>
      <c r="I1126" s="15"/>
      <c r="J1126" s="15"/>
      <c r="K1126" s="15"/>
      <c r="L1126" s="15"/>
      <c r="M1126" s="15"/>
      <c r="N1126" s="15"/>
      <c r="O1126" s="15"/>
      <c r="P1126" s="15"/>
    </row>
    <row r="1127" spans="1:16" x14ac:dyDescent="0.25">
      <c r="A1127" s="15"/>
      <c r="B1127" s="15"/>
      <c r="C1127" s="15"/>
      <c r="D1127" s="15"/>
      <c r="E1127" s="15"/>
      <c r="F1127" s="15"/>
      <c r="G1127" s="15"/>
      <c r="H1127" s="15"/>
      <c r="I1127" s="15"/>
      <c r="J1127" s="15"/>
      <c r="K1127" s="15"/>
      <c r="L1127" s="15"/>
      <c r="M1127" s="15"/>
      <c r="N1127" s="15"/>
      <c r="O1127" s="15"/>
      <c r="P1127" s="15"/>
    </row>
    <row r="1128" spans="1:16" x14ac:dyDescent="0.25">
      <c r="A1128" s="15"/>
      <c r="B1128" s="15"/>
      <c r="C1128" s="15"/>
      <c r="D1128" s="15"/>
      <c r="E1128" s="15"/>
      <c r="F1128" s="15"/>
      <c r="G1128" s="15"/>
      <c r="H1128" s="15"/>
      <c r="I1128" s="15"/>
      <c r="J1128" s="15"/>
      <c r="K1128" s="15"/>
      <c r="L1128" s="15"/>
      <c r="M1128" s="15"/>
      <c r="N1128" s="15"/>
      <c r="O1128" s="15"/>
      <c r="P1128" s="15"/>
    </row>
    <row r="1129" spans="1:16" x14ac:dyDescent="0.25">
      <c r="A1129" s="15"/>
      <c r="B1129" s="15"/>
      <c r="C1129" s="15"/>
      <c r="D1129" s="15"/>
      <c r="E1129" s="15"/>
      <c r="F1129" s="15"/>
      <c r="G1129" s="15"/>
      <c r="H1129" s="15"/>
      <c r="I1129" s="15"/>
      <c r="J1129" s="15"/>
      <c r="K1129" s="15"/>
      <c r="L1129" s="15"/>
      <c r="M1129" s="15"/>
      <c r="N1129" s="15"/>
      <c r="O1129" s="15"/>
      <c r="P1129" s="15"/>
    </row>
    <row r="1130" spans="1:16" x14ac:dyDescent="0.25">
      <c r="A1130" s="15"/>
      <c r="B1130" s="15"/>
      <c r="C1130" s="15"/>
      <c r="D1130" s="15"/>
      <c r="E1130" s="15"/>
      <c r="F1130" s="15"/>
      <c r="G1130" s="15"/>
      <c r="H1130" s="15"/>
      <c r="I1130" s="15"/>
      <c r="J1130" s="15"/>
      <c r="K1130" s="15"/>
      <c r="L1130" s="15"/>
      <c r="M1130" s="15"/>
      <c r="N1130" s="15"/>
      <c r="O1130" s="15"/>
      <c r="P1130" s="15"/>
    </row>
    <row r="1131" spans="1:16" x14ac:dyDescent="0.25">
      <c r="A1131" s="15"/>
      <c r="B1131" s="15"/>
      <c r="C1131" s="15"/>
      <c r="D1131" s="15"/>
      <c r="E1131" s="15"/>
      <c r="F1131" s="15"/>
      <c r="G1131" s="15"/>
      <c r="H1131" s="15"/>
      <c r="I1131" s="15"/>
      <c r="J1131" s="15"/>
      <c r="K1131" s="15"/>
      <c r="L1131" s="15"/>
      <c r="M1131" s="15"/>
      <c r="N1131" s="15"/>
      <c r="O1131" s="15"/>
      <c r="P1131" s="15"/>
    </row>
    <row r="1132" spans="1:16" x14ac:dyDescent="0.25">
      <c r="A1132" s="15"/>
      <c r="B1132" s="15"/>
      <c r="C1132" s="15"/>
      <c r="D1132" s="15"/>
      <c r="E1132" s="15"/>
      <c r="F1132" s="15"/>
      <c r="G1132" s="15"/>
      <c r="H1132" s="15"/>
      <c r="I1132" s="15"/>
      <c r="J1132" s="15"/>
      <c r="K1132" s="15"/>
      <c r="L1132" s="15"/>
      <c r="M1132" s="15"/>
      <c r="N1132" s="15"/>
      <c r="O1132" s="15"/>
      <c r="P1132" s="15"/>
    </row>
    <row r="1133" spans="1:16" x14ac:dyDescent="0.25">
      <c r="A1133" s="15"/>
      <c r="B1133" s="15"/>
      <c r="C1133" s="15"/>
      <c r="D1133" s="15"/>
      <c r="E1133" s="15"/>
      <c r="F1133" s="15"/>
      <c r="G1133" s="15"/>
      <c r="H1133" s="15"/>
      <c r="I1133" s="15"/>
      <c r="J1133" s="15"/>
      <c r="K1133" s="15"/>
      <c r="L1133" s="15"/>
      <c r="M1133" s="15"/>
      <c r="N1133" s="15"/>
      <c r="O1133" s="15"/>
      <c r="P1133" s="15"/>
    </row>
    <row r="1134" spans="1:16" x14ac:dyDescent="0.25">
      <c r="A1134" s="15"/>
      <c r="B1134" s="15"/>
      <c r="C1134" s="15"/>
      <c r="D1134" s="15"/>
      <c r="E1134" s="15"/>
      <c r="F1134" s="15"/>
      <c r="G1134" s="15"/>
      <c r="H1134" s="15"/>
      <c r="I1134" s="15"/>
      <c r="J1134" s="15"/>
      <c r="K1134" s="15"/>
      <c r="L1134" s="15"/>
      <c r="M1134" s="15"/>
      <c r="N1134" s="15"/>
      <c r="O1134" s="15"/>
      <c r="P1134" s="15"/>
    </row>
    <row r="1135" spans="1:16" x14ac:dyDescent="0.25">
      <c r="A1135" s="15"/>
      <c r="B1135" s="15"/>
      <c r="C1135" s="15"/>
      <c r="D1135" s="15"/>
      <c r="E1135" s="15"/>
      <c r="F1135" s="15"/>
      <c r="G1135" s="15"/>
      <c r="H1135" s="15"/>
      <c r="I1135" s="15"/>
      <c r="J1135" s="15"/>
      <c r="K1135" s="15"/>
      <c r="L1135" s="15"/>
      <c r="M1135" s="15"/>
      <c r="N1135" s="15"/>
      <c r="O1135" s="15"/>
      <c r="P1135" s="15"/>
    </row>
    <row r="1136" spans="1:16" x14ac:dyDescent="0.25">
      <c r="A1136" s="15"/>
      <c r="B1136" s="15"/>
      <c r="C1136" s="15"/>
      <c r="D1136" s="15"/>
      <c r="E1136" s="15"/>
      <c r="F1136" s="15"/>
      <c r="G1136" s="15"/>
      <c r="H1136" s="15"/>
      <c r="I1136" s="15"/>
      <c r="J1136" s="15"/>
      <c r="K1136" s="15"/>
      <c r="L1136" s="15"/>
      <c r="M1136" s="15"/>
      <c r="N1136" s="15"/>
      <c r="O1136" s="15"/>
      <c r="P1136" s="15"/>
    </row>
    <row r="1137" spans="1:16" x14ac:dyDescent="0.25">
      <c r="A1137" s="15"/>
      <c r="B1137" s="15"/>
      <c r="C1137" s="15"/>
      <c r="D1137" s="15"/>
      <c r="E1137" s="15"/>
      <c r="F1137" s="15"/>
      <c r="G1137" s="15"/>
      <c r="H1137" s="15"/>
      <c r="I1137" s="15"/>
      <c r="J1137" s="15"/>
      <c r="K1137" s="15"/>
      <c r="L1137" s="15"/>
      <c r="M1137" s="15"/>
      <c r="N1137" s="15"/>
      <c r="O1137" s="15"/>
      <c r="P1137" s="15"/>
    </row>
    <row r="1138" spans="1:16" x14ac:dyDescent="0.25">
      <c r="A1138" s="15"/>
      <c r="B1138" s="15"/>
      <c r="C1138" s="15"/>
      <c r="D1138" s="15"/>
      <c r="E1138" s="15"/>
      <c r="F1138" s="15"/>
      <c r="G1138" s="15"/>
      <c r="H1138" s="15"/>
      <c r="I1138" s="15"/>
      <c r="J1138" s="15"/>
      <c r="K1138" s="15"/>
      <c r="L1138" s="15"/>
      <c r="M1138" s="15"/>
      <c r="N1138" s="15"/>
      <c r="O1138" s="15"/>
      <c r="P1138" s="15"/>
    </row>
    <row r="1139" spans="1:16" x14ac:dyDescent="0.25">
      <c r="A1139" s="15"/>
      <c r="B1139" s="15"/>
      <c r="C1139" s="15"/>
      <c r="D1139" s="15"/>
      <c r="E1139" s="15"/>
      <c r="F1139" s="15"/>
      <c r="G1139" s="15"/>
      <c r="H1139" s="15"/>
      <c r="I1139" s="15"/>
      <c r="J1139" s="15"/>
      <c r="K1139" s="15"/>
      <c r="L1139" s="15"/>
      <c r="M1139" s="15"/>
      <c r="N1139" s="15"/>
      <c r="O1139" s="15"/>
      <c r="P1139" s="15"/>
    </row>
    <row r="1140" spans="1:16" x14ac:dyDescent="0.25">
      <c r="A1140" s="15"/>
      <c r="B1140" s="15"/>
      <c r="C1140" s="15"/>
      <c r="D1140" s="15"/>
      <c r="E1140" s="15"/>
      <c r="F1140" s="15"/>
      <c r="G1140" s="15"/>
      <c r="H1140" s="15"/>
      <c r="I1140" s="15"/>
      <c r="J1140" s="15"/>
      <c r="K1140" s="15"/>
      <c r="L1140" s="15"/>
      <c r="M1140" s="15"/>
      <c r="N1140" s="15"/>
      <c r="O1140" s="15"/>
      <c r="P1140" s="15"/>
    </row>
    <row r="1141" spans="1:16" x14ac:dyDescent="0.25">
      <c r="A1141" s="15"/>
      <c r="B1141" s="15"/>
      <c r="C1141" s="15"/>
      <c r="D1141" s="15"/>
      <c r="E1141" s="15"/>
      <c r="F1141" s="15"/>
      <c r="G1141" s="15"/>
      <c r="H1141" s="15"/>
      <c r="I1141" s="15"/>
      <c r="J1141" s="15"/>
      <c r="K1141" s="15"/>
      <c r="L1141" s="15"/>
      <c r="M1141" s="15"/>
      <c r="N1141" s="15"/>
      <c r="O1141" s="15"/>
      <c r="P1141" s="15"/>
    </row>
    <row r="1142" spans="1:16" x14ac:dyDescent="0.25">
      <c r="A1142" s="15"/>
      <c r="B1142" s="15"/>
      <c r="C1142" s="15"/>
      <c r="D1142" s="15"/>
      <c r="E1142" s="15"/>
      <c r="F1142" s="15"/>
      <c r="G1142" s="15"/>
      <c r="H1142" s="15"/>
      <c r="I1142" s="15"/>
      <c r="J1142" s="15"/>
      <c r="K1142" s="15"/>
      <c r="L1142" s="15"/>
      <c r="M1142" s="15"/>
      <c r="N1142" s="15"/>
      <c r="O1142" s="15"/>
      <c r="P1142" s="15"/>
    </row>
    <row r="1143" spans="1:16" x14ac:dyDescent="0.25">
      <c r="A1143" s="15"/>
      <c r="B1143" s="15"/>
      <c r="C1143" s="15"/>
      <c r="D1143" s="15"/>
      <c r="E1143" s="15"/>
      <c r="F1143" s="15"/>
      <c r="G1143" s="15"/>
      <c r="H1143" s="15"/>
      <c r="I1143" s="15"/>
      <c r="J1143" s="15"/>
      <c r="K1143" s="15"/>
      <c r="L1143" s="15"/>
      <c r="M1143" s="15"/>
      <c r="N1143" s="15"/>
      <c r="O1143" s="15"/>
      <c r="P1143" s="15"/>
    </row>
    <row r="1144" spans="1:16" x14ac:dyDescent="0.25">
      <c r="A1144" s="15"/>
      <c r="B1144" s="15"/>
      <c r="C1144" s="15"/>
      <c r="D1144" s="15"/>
      <c r="E1144" s="15"/>
      <c r="F1144" s="15"/>
      <c r="G1144" s="15"/>
      <c r="H1144" s="15"/>
      <c r="I1144" s="15"/>
      <c r="J1144" s="15"/>
      <c r="K1144" s="15"/>
      <c r="L1144" s="15"/>
      <c r="M1144" s="15"/>
      <c r="N1144" s="15"/>
      <c r="O1144" s="15"/>
      <c r="P1144" s="15"/>
    </row>
    <row r="1145" spans="1:16" x14ac:dyDescent="0.25">
      <c r="A1145" s="15"/>
      <c r="B1145" s="15"/>
      <c r="C1145" s="15"/>
      <c r="D1145" s="15"/>
      <c r="E1145" s="15"/>
      <c r="F1145" s="15"/>
      <c r="G1145" s="15"/>
      <c r="H1145" s="15"/>
      <c r="I1145" s="15"/>
      <c r="J1145" s="15"/>
      <c r="K1145" s="15"/>
      <c r="L1145" s="15"/>
      <c r="M1145" s="15"/>
      <c r="N1145" s="15"/>
      <c r="O1145" s="15"/>
      <c r="P1145" s="15"/>
    </row>
    <row r="1146" spans="1:16" x14ac:dyDescent="0.25">
      <c r="A1146" s="15"/>
      <c r="B1146" s="15"/>
      <c r="C1146" s="15"/>
      <c r="D1146" s="15"/>
      <c r="E1146" s="15"/>
      <c r="F1146" s="15"/>
      <c r="G1146" s="15"/>
      <c r="H1146" s="15"/>
      <c r="I1146" s="15"/>
      <c r="J1146" s="15"/>
      <c r="K1146" s="15"/>
      <c r="L1146" s="15"/>
      <c r="M1146" s="15"/>
      <c r="N1146" s="15"/>
      <c r="O1146" s="15"/>
      <c r="P1146" s="15"/>
    </row>
    <row r="1147" spans="1:16" x14ac:dyDescent="0.25">
      <c r="A1147" s="15"/>
      <c r="B1147" s="15"/>
      <c r="C1147" s="15"/>
      <c r="D1147" s="15"/>
      <c r="E1147" s="15"/>
      <c r="F1147" s="15"/>
      <c r="G1147" s="15"/>
      <c r="H1147" s="15"/>
      <c r="I1147" s="15"/>
      <c r="J1147" s="15"/>
      <c r="K1147" s="15"/>
      <c r="L1147" s="15"/>
      <c r="M1147" s="15"/>
      <c r="N1147" s="15"/>
      <c r="O1147" s="15"/>
      <c r="P1147" s="15"/>
    </row>
    <row r="1148" spans="1:16" x14ac:dyDescent="0.25">
      <c r="A1148" s="15"/>
      <c r="B1148" s="15"/>
      <c r="C1148" s="15"/>
      <c r="D1148" s="15"/>
      <c r="E1148" s="15"/>
      <c r="F1148" s="15"/>
      <c r="G1148" s="15"/>
      <c r="H1148" s="15"/>
      <c r="I1148" s="15"/>
      <c r="J1148" s="15"/>
      <c r="K1148" s="15"/>
      <c r="L1148" s="15"/>
      <c r="M1148" s="15"/>
      <c r="N1148" s="15"/>
      <c r="O1148" s="15"/>
      <c r="P1148" s="15"/>
    </row>
    <row r="1149" spans="1:16" x14ac:dyDescent="0.25">
      <c r="A1149" s="15"/>
      <c r="B1149" s="15"/>
      <c r="C1149" s="15"/>
      <c r="D1149" s="15"/>
      <c r="E1149" s="15"/>
      <c r="F1149" s="15"/>
      <c r="G1149" s="15"/>
      <c r="H1149" s="15"/>
      <c r="I1149" s="15"/>
      <c r="J1149" s="15"/>
      <c r="K1149" s="15"/>
      <c r="L1149" s="15"/>
      <c r="M1149" s="15"/>
      <c r="N1149" s="15"/>
      <c r="O1149" s="15"/>
      <c r="P1149" s="15"/>
    </row>
    <row r="1150" spans="1:16" x14ac:dyDescent="0.25">
      <c r="A1150" s="15"/>
      <c r="B1150" s="15"/>
      <c r="C1150" s="15"/>
      <c r="D1150" s="15"/>
      <c r="E1150" s="15"/>
      <c r="F1150" s="15"/>
      <c r="G1150" s="15"/>
      <c r="H1150" s="15"/>
      <c r="I1150" s="15"/>
      <c r="J1150" s="15"/>
      <c r="K1150" s="15"/>
      <c r="L1150" s="15"/>
      <c r="M1150" s="15"/>
      <c r="N1150" s="15"/>
      <c r="O1150" s="15"/>
      <c r="P1150" s="15"/>
    </row>
    <row r="1151" spans="1:16" x14ac:dyDescent="0.25">
      <c r="A1151" s="15"/>
      <c r="B1151" s="15"/>
      <c r="C1151" s="15"/>
      <c r="D1151" s="15"/>
      <c r="E1151" s="15"/>
      <c r="F1151" s="15"/>
      <c r="G1151" s="15"/>
      <c r="H1151" s="15"/>
      <c r="I1151" s="15"/>
      <c r="J1151" s="15"/>
      <c r="K1151" s="15"/>
      <c r="L1151" s="15"/>
      <c r="M1151" s="15"/>
      <c r="N1151" s="15"/>
      <c r="O1151" s="15"/>
      <c r="P1151" s="15"/>
    </row>
    <row r="1152" spans="1:16" x14ac:dyDescent="0.25">
      <c r="A1152" s="15"/>
      <c r="B1152" s="15"/>
      <c r="C1152" s="15"/>
      <c r="D1152" s="15"/>
      <c r="E1152" s="15"/>
      <c r="F1152" s="15"/>
      <c r="G1152" s="15"/>
      <c r="H1152" s="15"/>
      <c r="I1152" s="15"/>
      <c r="J1152" s="15"/>
      <c r="K1152" s="15"/>
      <c r="L1152" s="15"/>
      <c r="M1152" s="15"/>
      <c r="N1152" s="15"/>
      <c r="O1152" s="15"/>
      <c r="P1152" s="15"/>
    </row>
    <row r="1153" spans="1:16" x14ac:dyDescent="0.25">
      <c r="A1153" s="15"/>
      <c r="B1153" s="15"/>
      <c r="C1153" s="15"/>
      <c r="D1153" s="15"/>
      <c r="E1153" s="15"/>
      <c r="F1153" s="15"/>
      <c r="G1153" s="15"/>
      <c r="H1153" s="15"/>
      <c r="I1153" s="15"/>
      <c r="J1153" s="15"/>
      <c r="K1153" s="15"/>
      <c r="L1153" s="15"/>
      <c r="M1153" s="15"/>
      <c r="N1153" s="15"/>
      <c r="O1153" s="15"/>
      <c r="P1153" s="15"/>
    </row>
    <row r="1154" spans="1:16" x14ac:dyDescent="0.25">
      <c r="A1154" s="15"/>
      <c r="B1154" s="15"/>
      <c r="C1154" s="15"/>
      <c r="D1154" s="15"/>
      <c r="E1154" s="15"/>
      <c r="F1154" s="15"/>
      <c r="G1154" s="15"/>
      <c r="H1154" s="15"/>
      <c r="I1154" s="15"/>
      <c r="J1154" s="15"/>
      <c r="K1154" s="15"/>
      <c r="L1154" s="15"/>
      <c r="M1154" s="15"/>
      <c r="N1154" s="15"/>
      <c r="O1154" s="15"/>
      <c r="P1154" s="15"/>
    </row>
    <row r="1155" spans="1:16" x14ac:dyDescent="0.25">
      <c r="A1155" s="15"/>
      <c r="B1155" s="15"/>
      <c r="C1155" s="15"/>
      <c r="D1155" s="15"/>
      <c r="E1155" s="15"/>
      <c r="F1155" s="15"/>
      <c r="G1155" s="15"/>
      <c r="H1155" s="15"/>
      <c r="I1155" s="15"/>
      <c r="J1155" s="15"/>
      <c r="K1155" s="15"/>
      <c r="L1155" s="15"/>
      <c r="M1155" s="15"/>
      <c r="N1155" s="15"/>
      <c r="O1155" s="15"/>
      <c r="P1155" s="15"/>
    </row>
    <row r="1156" spans="1:16" x14ac:dyDescent="0.25">
      <c r="A1156" s="15"/>
      <c r="B1156" s="15"/>
      <c r="C1156" s="15"/>
      <c r="D1156" s="15"/>
      <c r="E1156" s="15"/>
      <c r="F1156" s="15"/>
      <c r="G1156" s="15"/>
      <c r="H1156" s="15"/>
      <c r="I1156" s="15"/>
      <c r="J1156" s="15"/>
      <c r="K1156" s="15"/>
      <c r="L1156" s="15"/>
      <c r="M1156" s="15"/>
      <c r="N1156" s="15"/>
      <c r="O1156" s="15"/>
      <c r="P1156" s="15"/>
    </row>
    <row r="1157" spans="1:16" x14ac:dyDescent="0.25">
      <c r="A1157" s="15"/>
      <c r="B1157" s="15"/>
      <c r="C1157" s="15"/>
      <c r="D1157" s="15"/>
      <c r="E1157" s="15"/>
      <c r="F1157" s="15"/>
      <c r="G1157" s="15"/>
      <c r="H1157" s="15"/>
      <c r="I1157" s="15"/>
      <c r="J1157" s="15"/>
      <c r="K1157" s="15"/>
      <c r="L1157" s="15"/>
      <c r="M1157" s="15"/>
      <c r="N1157" s="15"/>
      <c r="O1157" s="15"/>
      <c r="P1157" s="15"/>
    </row>
    <row r="1158" spans="1:16" x14ac:dyDescent="0.25">
      <c r="A1158" s="15"/>
      <c r="B1158" s="15"/>
      <c r="C1158" s="15"/>
      <c r="D1158" s="15"/>
      <c r="E1158" s="15"/>
      <c r="F1158" s="15"/>
      <c r="G1158" s="15"/>
      <c r="H1158" s="15"/>
      <c r="I1158" s="15"/>
      <c r="J1158" s="15"/>
      <c r="K1158" s="15"/>
      <c r="L1158" s="15"/>
      <c r="M1158" s="15"/>
      <c r="N1158" s="15"/>
      <c r="O1158" s="15"/>
      <c r="P1158" s="15"/>
    </row>
    <row r="1159" spans="1:16" x14ac:dyDescent="0.25">
      <c r="A1159" s="15"/>
      <c r="B1159" s="15"/>
      <c r="C1159" s="15"/>
      <c r="D1159" s="15"/>
      <c r="E1159" s="15"/>
      <c r="F1159" s="15"/>
      <c r="G1159" s="15"/>
      <c r="H1159" s="15"/>
      <c r="I1159" s="15"/>
      <c r="J1159" s="15"/>
      <c r="K1159" s="15"/>
      <c r="L1159" s="15"/>
      <c r="M1159" s="15"/>
      <c r="N1159" s="15"/>
      <c r="O1159" s="15"/>
      <c r="P1159" s="15"/>
    </row>
    <row r="1160" spans="1:16" x14ac:dyDescent="0.25">
      <c r="A1160" s="15"/>
      <c r="B1160" s="15"/>
      <c r="C1160" s="15"/>
      <c r="D1160" s="15"/>
      <c r="E1160" s="15"/>
      <c r="F1160" s="15"/>
      <c r="G1160" s="15"/>
      <c r="H1160" s="15"/>
      <c r="I1160" s="15"/>
      <c r="J1160" s="15"/>
      <c r="K1160" s="15"/>
      <c r="L1160" s="15"/>
      <c r="M1160" s="15"/>
      <c r="N1160" s="15"/>
      <c r="O1160" s="15"/>
      <c r="P1160" s="15"/>
    </row>
    <row r="1161" spans="1:16" x14ac:dyDescent="0.25">
      <c r="A1161" s="15"/>
      <c r="B1161" s="15"/>
      <c r="C1161" s="15"/>
      <c r="D1161" s="15"/>
      <c r="E1161" s="15"/>
      <c r="F1161" s="15"/>
      <c r="G1161" s="15"/>
      <c r="H1161" s="15"/>
      <c r="I1161" s="15"/>
      <c r="J1161" s="15"/>
      <c r="K1161" s="15"/>
      <c r="L1161" s="15"/>
      <c r="M1161" s="15"/>
      <c r="N1161" s="15"/>
      <c r="O1161" s="15"/>
      <c r="P1161" s="15"/>
    </row>
    <row r="1162" spans="1:16" x14ac:dyDescent="0.25">
      <c r="A1162" s="15"/>
      <c r="B1162" s="15"/>
      <c r="C1162" s="15"/>
      <c r="D1162" s="15"/>
      <c r="E1162" s="15"/>
      <c r="F1162" s="15"/>
      <c r="G1162" s="15"/>
      <c r="H1162" s="15"/>
      <c r="I1162" s="15"/>
      <c r="J1162" s="15"/>
      <c r="K1162" s="15"/>
      <c r="L1162" s="15"/>
      <c r="M1162" s="15"/>
      <c r="N1162" s="15"/>
      <c r="O1162" s="15"/>
      <c r="P1162" s="15"/>
    </row>
    <row r="1163" spans="1:16" x14ac:dyDescent="0.25">
      <c r="A1163" s="15"/>
      <c r="B1163" s="15"/>
      <c r="C1163" s="15"/>
      <c r="D1163" s="15"/>
      <c r="E1163" s="15"/>
      <c r="F1163" s="15"/>
      <c r="G1163" s="15"/>
      <c r="H1163" s="15"/>
      <c r="I1163" s="15"/>
      <c r="J1163" s="15"/>
      <c r="K1163" s="15"/>
      <c r="L1163" s="15"/>
      <c r="M1163" s="15"/>
      <c r="N1163" s="15"/>
      <c r="O1163" s="15"/>
      <c r="P1163" s="15"/>
    </row>
    <row r="1164" spans="1:16" x14ac:dyDescent="0.25">
      <c r="A1164" s="15"/>
      <c r="B1164" s="15"/>
      <c r="C1164" s="15"/>
      <c r="D1164" s="15"/>
      <c r="E1164" s="15"/>
      <c r="F1164" s="15"/>
      <c r="G1164" s="15"/>
      <c r="H1164" s="15"/>
      <c r="I1164" s="15"/>
      <c r="J1164" s="15"/>
      <c r="K1164" s="15"/>
      <c r="L1164" s="15"/>
      <c r="M1164" s="15"/>
      <c r="N1164" s="15"/>
      <c r="O1164" s="15"/>
      <c r="P1164" s="15"/>
    </row>
    <row r="1165" spans="1:16" x14ac:dyDescent="0.25">
      <c r="A1165" s="15"/>
      <c r="B1165" s="15"/>
      <c r="C1165" s="15"/>
      <c r="D1165" s="15"/>
      <c r="E1165" s="15"/>
      <c r="F1165" s="15"/>
      <c r="G1165" s="15"/>
      <c r="H1165" s="15"/>
      <c r="I1165" s="15"/>
      <c r="J1165" s="15"/>
      <c r="K1165" s="15"/>
      <c r="L1165" s="15"/>
      <c r="M1165" s="15"/>
      <c r="N1165" s="15"/>
      <c r="O1165" s="15"/>
      <c r="P1165" s="15"/>
    </row>
    <row r="1166" spans="1:16" x14ac:dyDescent="0.25">
      <c r="A1166" s="15"/>
      <c r="B1166" s="15"/>
      <c r="C1166" s="15"/>
      <c r="D1166" s="15"/>
      <c r="E1166" s="15"/>
      <c r="F1166" s="15"/>
      <c r="G1166" s="15"/>
      <c r="H1166" s="15"/>
      <c r="I1166" s="15"/>
      <c r="J1166" s="15"/>
      <c r="K1166" s="15"/>
      <c r="L1166" s="15"/>
      <c r="M1166" s="15"/>
      <c r="N1166" s="15"/>
      <c r="O1166" s="15"/>
      <c r="P1166" s="15"/>
    </row>
    <row r="1167" spans="1:16" x14ac:dyDescent="0.25">
      <c r="A1167" s="15"/>
      <c r="B1167" s="15"/>
      <c r="C1167" s="15"/>
      <c r="D1167" s="15"/>
      <c r="E1167" s="15"/>
      <c r="F1167" s="15"/>
      <c r="G1167" s="15"/>
      <c r="H1167" s="15"/>
      <c r="I1167" s="15"/>
      <c r="J1167" s="15"/>
      <c r="K1167" s="15"/>
      <c r="L1167" s="15"/>
      <c r="M1167" s="15"/>
      <c r="N1167" s="15"/>
      <c r="O1167" s="15"/>
      <c r="P1167" s="15"/>
    </row>
    <row r="1168" spans="1:16" x14ac:dyDescent="0.25">
      <c r="A1168" s="15"/>
      <c r="B1168" s="15"/>
      <c r="C1168" s="15"/>
      <c r="D1168" s="15"/>
      <c r="E1168" s="15"/>
      <c r="F1168" s="15"/>
      <c r="G1168" s="15"/>
      <c r="H1168" s="15"/>
      <c r="I1168" s="15"/>
      <c r="J1168" s="15"/>
      <c r="K1168" s="15"/>
      <c r="L1168" s="15"/>
      <c r="M1168" s="15"/>
      <c r="N1168" s="15"/>
      <c r="O1168" s="15"/>
      <c r="P1168" s="15"/>
    </row>
    <row r="1169" spans="1:16" x14ac:dyDescent="0.25">
      <c r="A1169" s="15"/>
      <c r="B1169" s="15"/>
      <c r="C1169" s="15"/>
      <c r="D1169" s="15"/>
      <c r="E1169" s="15"/>
      <c r="F1169" s="15"/>
      <c r="G1169" s="15"/>
      <c r="H1169" s="15"/>
      <c r="I1169" s="15"/>
      <c r="J1169" s="15"/>
      <c r="K1169" s="15"/>
      <c r="L1169" s="15"/>
      <c r="M1169" s="15"/>
      <c r="N1169" s="15"/>
      <c r="O1169" s="15"/>
      <c r="P1169" s="15"/>
    </row>
    <row r="1170" spans="1:16" x14ac:dyDescent="0.25">
      <c r="A1170" s="15"/>
      <c r="B1170" s="15"/>
      <c r="C1170" s="15"/>
      <c r="D1170" s="15"/>
      <c r="E1170" s="15"/>
      <c r="F1170" s="15"/>
      <c r="G1170" s="15"/>
      <c r="H1170" s="15"/>
      <c r="I1170" s="15"/>
      <c r="J1170" s="15"/>
      <c r="K1170" s="15"/>
      <c r="L1170" s="15"/>
      <c r="M1170" s="15"/>
      <c r="N1170" s="15"/>
      <c r="O1170" s="15"/>
      <c r="P1170" s="15"/>
    </row>
    <row r="1171" spans="1:16" x14ac:dyDescent="0.25">
      <c r="A1171" s="15"/>
      <c r="B1171" s="15"/>
      <c r="C1171" s="15"/>
      <c r="D1171" s="15"/>
      <c r="E1171" s="15"/>
      <c r="F1171" s="15"/>
      <c r="G1171" s="15"/>
      <c r="H1171" s="15"/>
      <c r="I1171" s="15"/>
      <c r="J1171" s="15"/>
      <c r="K1171" s="15"/>
      <c r="L1171" s="15"/>
      <c r="M1171" s="15"/>
      <c r="N1171" s="15"/>
      <c r="O1171" s="15"/>
      <c r="P1171" s="15"/>
    </row>
    <row r="1172" spans="1:16" x14ac:dyDescent="0.25">
      <c r="A1172" s="15"/>
      <c r="B1172" s="15"/>
      <c r="C1172" s="15"/>
      <c r="D1172" s="15"/>
      <c r="E1172" s="15"/>
      <c r="F1172" s="15"/>
      <c r="G1172" s="15"/>
      <c r="H1172" s="15"/>
      <c r="I1172" s="15"/>
      <c r="J1172" s="15"/>
      <c r="K1172" s="15"/>
      <c r="L1172" s="15"/>
      <c r="M1172" s="15"/>
      <c r="N1172" s="15"/>
      <c r="O1172" s="15"/>
      <c r="P1172" s="15"/>
    </row>
    <row r="1173" spans="1:16" x14ac:dyDescent="0.25">
      <c r="A1173" s="15"/>
      <c r="B1173" s="15"/>
      <c r="C1173" s="15"/>
      <c r="D1173" s="15"/>
      <c r="E1173" s="15"/>
      <c r="F1173" s="15"/>
      <c r="G1173" s="15"/>
      <c r="H1173" s="15"/>
      <c r="I1173" s="15"/>
      <c r="J1173" s="15"/>
      <c r="K1173" s="15"/>
      <c r="L1173" s="15"/>
      <c r="M1173" s="15"/>
      <c r="N1173" s="15"/>
      <c r="O1173" s="15"/>
      <c r="P1173" s="15"/>
    </row>
    <row r="1174" spans="1:16" x14ac:dyDescent="0.25">
      <c r="A1174" s="15"/>
      <c r="B1174" s="15"/>
      <c r="C1174" s="15"/>
      <c r="D1174" s="15"/>
      <c r="E1174" s="15"/>
      <c r="F1174" s="15"/>
      <c r="G1174" s="15"/>
      <c r="H1174" s="15"/>
      <c r="I1174" s="15"/>
      <c r="J1174" s="15"/>
      <c r="K1174" s="15"/>
      <c r="L1174" s="15"/>
      <c r="M1174" s="15"/>
      <c r="N1174" s="15"/>
      <c r="O1174" s="15"/>
      <c r="P1174" s="15"/>
    </row>
    <row r="1175" spans="1:16" x14ac:dyDescent="0.25">
      <c r="A1175" s="15"/>
      <c r="B1175" s="15"/>
      <c r="C1175" s="15"/>
      <c r="D1175" s="15"/>
      <c r="E1175" s="15"/>
      <c r="F1175" s="15"/>
      <c r="G1175" s="15"/>
      <c r="H1175" s="15"/>
      <c r="I1175" s="15"/>
      <c r="J1175" s="15"/>
      <c r="K1175" s="15"/>
      <c r="L1175" s="15"/>
      <c r="M1175" s="15"/>
      <c r="N1175" s="15"/>
      <c r="O1175" s="15"/>
      <c r="P1175" s="15"/>
    </row>
    <row r="1176" spans="1:16" x14ac:dyDescent="0.25">
      <c r="A1176" s="15"/>
      <c r="B1176" s="15"/>
      <c r="C1176" s="15"/>
      <c r="D1176" s="15"/>
      <c r="E1176" s="15"/>
      <c r="F1176" s="15"/>
      <c r="G1176" s="15"/>
      <c r="H1176" s="15"/>
      <c r="I1176" s="15"/>
      <c r="J1176" s="15"/>
      <c r="K1176" s="15"/>
      <c r="L1176" s="15"/>
      <c r="M1176" s="15"/>
      <c r="N1176" s="15"/>
      <c r="O1176" s="15"/>
      <c r="P1176" s="15"/>
    </row>
    <row r="1177" spans="1:16" x14ac:dyDescent="0.25">
      <c r="A1177" s="15"/>
      <c r="B1177" s="15"/>
      <c r="C1177" s="15"/>
      <c r="D1177" s="15"/>
      <c r="E1177" s="15"/>
      <c r="F1177" s="15"/>
      <c r="G1177" s="15"/>
      <c r="H1177" s="15"/>
      <c r="I1177" s="15"/>
      <c r="J1177" s="15"/>
      <c r="K1177" s="15"/>
      <c r="L1177" s="15"/>
      <c r="M1177" s="15"/>
      <c r="N1177" s="15"/>
      <c r="O1177" s="15"/>
      <c r="P1177" s="15"/>
    </row>
    <row r="1178" spans="1:16" x14ac:dyDescent="0.25">
      <c r="A1178" s="15"/>
      <c r="B1178" s="15"/>
      <c r="C1178" s="15"/>
      <c r="D1178" s="15"/>
      <c r="E1178" s="15"/>
      <c r="F1178" s="15"/>
      <c r="G1178" s="15"/>
      <c r="H1178" s="15"/>
      <c r="I1178" s="15"/>
      <c r="J1178" s="15"/>
      <c r="K1178" s="15"/>
      <c r="L1178" s="15"/>
      <c r="M1178" s="15"/>
      <c r="N1178" s="15"/>
      <c r="O1178" s="15"/>
      <c r="P1178" s="15"/>
    </row>
    <row r="1179" spans="1:16" x14ac:dyDescent="0.25">
      <c r="A1179" s="15"/>
      <c r="B1179" s="15"/>
      <c r="C1179" s="15"/>
      <c r="D1179" s="15"/>
      <c r="E1179" s="15"/>
      <c r="F1179" s="15"/>
      <c r="G1179" s="15"/>
      <c r="H1179" s="15"/>
      <c r="I1179" s="15"/>
      <c r="J1179" s="15"/>
      <c r="K1179" s="15"/>
      <c r="L1179" s="15"/>
      <c r="M1179" s="15"/>
      <c r="N1179" s="15"/>
      <c r="O1179" s="15"/>
      <c r="P1179" s="15"/>
    </row>
    <row r="1180" spans="1:16" x14ac:dyDescent="0.25">
      <c r="A1180" s="15"/>
      <c r="B1180" s="15"/>
      <c r="C1180" s="15"/>
      <c r="D1180" s="15"/>
      <c r="E1180" s="15"/>
      <c r="F1180" s="15"/>
      <c r="G1180" s="15"/>
      <c r="H1180" s="15"/>
      <c r="I1180" s="15"/>
      <c r="J1180" s="15"/>
      <c r="K1180" s="15"/>
      <c r="L1180" s="15"/>
      <c r="M1180" s="15"/>
      <c r="N1180" s="15"/>
      <c r="O1180" s="15"/>
      <c r="P1180" s="15"/>
    </row>
    <row r="1181" spans="1:16" x14ac:dyDescent="0.25">
      <c r="A1181" s="15"/>
      <c r="B1181" s="15"/>
      <c r="C1181" s="15"/>
      <c r="D1181" s="15"/>
      <c r="E1181" s="15"/>
      <c r="F1181" s="15"/>
      <c r="G1181" s="15"/>
      <c r="H1181" s="15"/>
      <c r="I1181" s="15"/>
      <c r="J1181" s="15"/>
      <c r="K1181" s="15"/>
      <c r="L1181" s="15"/>
      <c r="M1181" s="15"/>
      <c r="N1181" s="15"/>
      <c r="O1181" s="15"/>
      <c r="P1181" s="15"/>
    </row>
    <row r="1182" spans="1:16" x14ac:dyDescent="0.25">
      <c r="A1182" s="15"/>
      <c r="B1182" s="15"/>
      <c r="C1182" s="15"/>
      <c r="D1182" s="15"/>
      <c r="E1182" s="15"/>
      <c r="F1182" s="15"/>
      <c r="G1182" s="15"/>
      <c r="H1182" s="15"/>
      <c r="I1182" s="15"/>
      <c r="J1182" s="15"/>
      <c r="K1182" s="15"/>
      <c r="L1182" s="15"/>
      <c r="M1182" s="15"/>
      <c r="N1182" s="15"/>
      <c r="O1182" s="15"/>
      <c r="P1182" s="15"/>
    </row>
    <row r="1183" spans="1:16" x14ac:dyDescent="0.25">
      <c r="A1183" s="15"/>
      <c r="B1183" s="15"/>
      <c r="C1183" s="15"/>
      <c r="D1183" s="15"/>
      <c r="E1183" s="15"/>
      <c r="F1183" s="15"/>
      <c r="G1183" s="15"/>
      <c r="H1183" s="15"/>
      <c r="I1183" s="15"/>
      <c r="J1183" s="15"/>
      <c r="K1183" s="15"/>
      <c r="L1183" s="15"/>
      <c r="M1183" s="15"/>
      <c r="N1183" s="15"/>
      <c r="O1183" s="15"/>
      <c r="P1183" s="15"/>
    </row>
    <row r="1184" spans="1:16" x14ac:dyDescent="0.25">
      <c r="A1184" s="15"/>
      <c r="B1184" s="15"/>
      <c r="C1184" s="15"/>
      <c r="D1184" s="15"/>
      <c r="E1184" s="15"/>
      <c r="F1184" s="15"/>
      <c r="G1184" s="15"/>
      <c r="H1184" s="15"/>
      <c r="I1184" s="15"/>
      <c r="J1184" s="15"/>
      <c r="K1184" s="15"/>
      <c r="L1184" s="15"/>
      <c r="M1184" s="15"/>
      <c r="N1184" s="15"/>
      <c r="O1184" s="15"/>
      <c r="P1184" s="15"/>
    </row>
    <row r="1185" spans="1:16" x14ac:dyDescent="0.25">
      <c r="A1185" s="15"/>
      <c r="B1185" s="15"/>
      <c r="C1185" s="15"/>
      <c r="D1185" s="15"/>
      <c r="E1185" s="15"/>
      <c r="F1185" s="15"/>
      <c r="G1185" s="15"/>
      <c r="H1185" s="15"/>
      <c r="I1185" s="15"/>
      <c r="J1185" s="15"/>
      <c r="K1185" s="15"/>
      <c r="L1185" s="15"/>
      <c r="M1185" s="15"/>
      <c r="N1185" s="15"/>
      <c r="O1185" s="15"/>
      <c r="P1185" s="15"/>
    </row>
    <row r="1186" spans="1:16" x14ac:dyDescent="0.25">
      <c r="A1186" s="15"/>
      <c r="B1186" s="15"/>
      <c r="C1186" s="15"/>
      <c r="D1186" s="15"/>
      <c r="E1186" s="15"/>
      <c r="F1186" s="15"/>
      <c r="G1186" s="15"/>
      <c r="H1186" s="15"/>
      <c r="I1186" s="15"/>
      <c r="J1186" s="15"/>
      <c r="K1186" s="15"/>
      <c r="L1186" s="15"/>
      <c r="M1186" s="15"/>
      <c r="N1186" s="15"/>
      <c r="O1186" s="15"/>
      <c r="P1186" s="15"/>
    </row>
    <row r="1187" spans="1:16" x14ac:dyDescent="0.25">
      <c r="A1187" s="15"/>
      <c r="B1187" s="15"/>
      <c r="C1187" s="15"/>
      <c r="D1187" s="15"/>
      <c r="E1187" s="15"/>
      <c r="F1187" s="15"/>
      <c r="G1187" s="15"/>
      <c r="H1187" s="15"/>
      <c r="I1187" s="15"/>
      <c r="J1187" s="15"/>
      <c r="K1187" s="15"/>
      <c r="L1187" s="15"/>
      <c r="M1187" s="15"/>
      <c r="N1187" s="15"/>
      <c r="O1187" s="15"/>
      <c r="P1187" s="15"/>
    </row>
    <row r="1188" spans="1:16" x14ac:dyDescent="0.25">
      <c r="A1188" s="15"/>
      <c r="B1188" s="15"/>
      <c r="C1188" s="15"/>
      <c r="D1188" s="15"/>
      <c r="E1188" s="15"/>
      <c r="F1188" s="15"/>
      <c r="G1188" s="15"/>
      <c r="H1188" s="15"/>
      <c r="I1188" s="15"/>
      <c r="J1188" s="15"/>
      <c r="K1188" s="15"/>
      <c r="L1188" s="15"/>
      <c r="M1188" s="15"/>
      <c r="N1188" s="15"/>
      <c r="O1188" s="15"/>
      <c r="P1188" s="15"/>
    </row>
    <row r="1189" spans="1:16" x14ac:dyDescent="0.25">
      <c r="A1189" s="15"/>
      <c r="B1189" s="15"/>
      <c r="C1189" s="15"/>
      <c r="D1189" s="15"/>
      <c r="E1189" s="15"/>
      <c r="F1189" s="15"/>
      <c r="G1189" s="15"/>
      <c r="H1189" s="15"/>
      <c r="I1189" s="15"/>
      <c r="J1189" s="15"/>
      <c r="K1189" s="15"/>
      <c r="L1189" s="15"/>
      <c r="M1189" s="15"/>
      <c r="N1189" s="15"/>
      <c r="O1189" s="15"/>
      <c r="P1189" s="15"/>
    </row>
    <row r="1190" spans="1:16" x14ac:dyDescent="0.25">
      <c r="A1190" s="15"/>
      <c r="B1190" s="15"/>
      <c r="C1190" s="15"/>
      <c r="D1190" s="15"/>
      <c r="E1190" s="15"/>
      <c r="F1190" s="15"/>
      <c r="G1190" s="15"/>
      <c r="H1190" s="15"/>
      <c r="I1190" s="15"/>
      <c r="J1190" s="15"/>
      <c r="K1190" s="15"/>
      <c r="L1190" s="15"/>
      <c r="M1190" s="15"/>
      <c r="N1190" s="15"/>
      <c r="O1190" s="15"/>
      <c r="P1190" s="15"/>
    </row>
    <row r="1191" spans="1:16" x14ac:dyDescent="0.25">
      <c r="A1191" s="15"/>
      <c r="B1191" s="15"/>
      <c r="C1191" s="15"/>
      <c r="D1191" s="15"/>
      <c r="E1191" s="15"/>
      <c r="F1191" s="15"/>
      <c r="G1191" s="15"/>
      <c r="H1191" s="15"/>
      <c r="I1191" s="15"/>
      <c r="J1191" s="15"/>
      <c r="K1191" s="15"/>
      <c r="L1191" s="15"/>
      <c r="M1191" s="15"/>
      <c r="N1191" s="15"/>
      <c r="O1191" s="15"/>
      <c r="P1191" s="15"/>
    </row>
    <row r="1192" spans="1:16" x14ac:dyDescent="0.25">
      <c r="A1192" s="15"/>
      <c r="B1192" s="15"/>
      <c r="C1192" s="15"/>
      <c r="D1192" s="15"/>
      <c r="E1192" s="15"/>
      <c r="F1192" s="15"/>
      <c r="G1192" s="15"/>
      <c r="H1192" s="15"/>
      <c r="I1192" s="15"/>
      <c r="J1192" s="15"/>
      <c r="K1192" s="15"/>
      <c r="L1192" s="15"/>
      <c r="M1192" s="15"/>
      <c r="N1192" s="15"/>
      <c r="O1192" s="15"/>
      <c r="P1192" s="15"/>
    </row>
    <row r="1193" spans="1:16" x14ac:dyDescent="0.25">
      <c r="A1193" s="15"/>
      <c r="B1193" s="15"/>
      <c r="C1193" s="15"/>
      <c r="D1193" s="15"/>
      <c r="E1193" s="15"/>
      <c r="F1193" s="15"/>
      <c r="G1193" s="15"/>
      <c r="H1193" s="15"/>
      <c r="I1193" s="15"/>
      <c r="J1193" s="15"/>
      <c r="K1193" s="15"/>
      <c r="L1193" s="15"/>
      <c r="M1193" s="15"/>
      <c r="N1193" s="15"/>
      <c r="O1193" s="15"/>
      <c r="P1193" s="15"/>
    </row>
    <row r="1194" spans="1:16" x14ac:dyDescent="0.25">
      <c r="A1194" s="15"/>
      <c r="B1194" s="15"/>
      <c r="C1194" s="15"/>
      <c r="D1194" s="15"/>
      <c r="E1194" s="15"/>
      <c r="F1194" s="15"/>
      <c r="G1194" s="15"/>
      <c r="H1194" s="15"/>
      <c r="I1194" s="15"/>
      <c r="J1194" s="15"/>
      <c r="K1194" s="15"/>
      <c r="L1194" s="15"/>
      <c r="M1194" s="15"/>
      <c r="N1194" s="15"/>
      <c r="O1194" s="15"/>
      <c r="P1194" s="15"/>
    </row>
    <row r="1195" spans="1:16" x14ac:dyDescent="0.25">
      <c r="A1195" s="15"/>
      <c r="B1195" s="15"/>
      <c r="C1195" s="15"/>
      <c r="D1195" s="15"/>
      <c r="E1195" s="15"/>
      <c r="F1195" s="15"/>
      <c r="G1195" s="15"/>
      <c r="H1195" s="15"/>
      <c r="I1195" s="15"/>
      <c r="J1195" s="15"/>
      <c r="K1195" s="15"/>
      <c r="L1195" s="15"/>
      <c r="M1195" s="15"/>
      <c r="N1195" s="15"/>
      <c r="O1195" s="15"/>
      <c r="P1195" s="15"/>
    </row>
    <row r="1196" spans="1:16" x14ac:dyDescent="0.25">
      <c r="A1196" s="15"/>
      <c r="B1196" s="15"/>
      <c r="C1196" s="15"/>
      <c r="D1196" s="15"/>
      <c r="E1196" s="15"/>
      <c r="F1196" s="15"/>
      <c r="G1196" s="15"/>
      <c r="H1196" s="15"/>
      <c r="I1196" s="15"/>
      <c r="J1196" s="15"/>
      <c r="K1196" s="15"/>
      <c r="L1196" s="15"/>
      <c r="M1196" s="15"/>
      <c r="N1196" s="15"/>
      <c r="O1196" s="15"/>
      <c r="P1196" s="15"/>
    </row>
    <row r="1197" spans="1:16" x14ac:dyDescent="0.25">
      <c r="A1197" s="15"/>
      <c r="B1197" s="15"/>
      <c r="C1197" s="15"/>
      <c r="D1197" s="15"/>
      <c r="E1197" s="15"/>
      <c r="F1197" s="15"/>
      <c r="G1197" s="15"/>
      <c r="H1197" s="15"/>
      <c r="I1197" s="15"/>
      <c r="J1197" s="15"/>
      <c r="K1197" s="15"/>
      <c r="L1197" s="15"/>
      <c r="M1197" s="15"/>
      <c r="N1197" s="15"/>
      <c r="O1197" s="15"/>
      <c r="P1197" s="15"/>
    </row>
    <row r="1198" spans="1:16" x14ac:dyDescent="0.25">
      <c r="A1198" s="15"/>
      <c r="B1198" s="15"/>
      <c r="C1198" s="15"/>
      <c r="D1198" s="15"/>
      <c r="E1198" s="15"/>
      <c r="F1198" s="15"/>
      <c r="G1198" s="15"/>
      <c r="H1198" s="15"/>
      <c r="I1198" s="15"/>
      <c r="J1198" s="15"/>
      <c r="K1198" s="15"/>
      <c r="L1198" s="15"/>
      <c r="M1198" s="15"/>
      <c r="N1198" s="15"/>
      <c r="O1198" s="15"/>
      <c r="P1198" s="15"/>
    </row>
    <row r="1199" spans="1:16" x14ac:dyDescent="0.25">
      <c r="A1199" s="15"/>
      <c r="B1199" s="15"/>
      <c r="C1199" s="15"/>
      <c r="D1199" s="15"/>
      <c r="E1199" s="15"/>
      <c r="F1199" s="15"/>
      <c r="G1199" s="15"/>
      <c r="H1199" s="15"/>
      <c r="I1199" s="15"/>
      <c r="J1199" s="15"/>
      <c r="K1199" s="15"/>
      <c r="L1199" s="15"/>
      <c r="M1199" s="15"/>
      <c r="N1199" s="15"/>
      <c r="O1199" s="15"/>
      <c r="P1199" s="15"/>
    </row>
    <row r="1200" spans="1:16" x14ac:dyDescent="0.25">
      <c r="A1200" s="15"/>
      <c r="B1200" s="15"/>
      <c r="C1200" s="15"/>
      <c r="D1200" s="15"/>
      <c r="E1200" s="15"/>
      <c r="F1200" s="15"/>
      <c r="G1200" s="15"/>
      <c r="H1200" s="15"/>
      <c r="I1200" s="15"/>
      <c r="J1200" s="15"/>
      <c r="K1200" s="15"/>
      <c r="L1200" s="15"/>
      <c r="M1200" s="15"/>
      <c r="N1200" s="15"/>
      <c r="O1200" s="15"/>
      <c r="P1200" s="15"/>
    </row>
    <row r="1201" spans="1:16" x14ac:dyDescent="0.25">
      <c r="A1201" s="15"/>
      <c r="B1201" s="15"/>
      <c r="C1201" s="15"/>
      <c r="D1201" s="15"/>
      <c r="E1201" s="15"/>
      <c r="F1201" s="15"/>
      <c r="G1201" s="15"/>
      <c r="H1201" s="15"/>
      <c r="I1201" s="15"/>
      <c r="J1201" s="15"/>
      <c r="K1201" s="15"/>
      <c r="L1201" s="15"/>
      <c r="M1201" s="15"/>
      <c r="N1201" s="15"/>
      <c r="O1201" s="15"/>
      <c r="P1201" s="15"/>
    </row>
    <row r="1202" spans="1:16" x14ac:dyDescent="0.25">
      <c r="A1202" s="15"/>
      <c r="B1202" s="15"/>
      <c r="C1202" s="15"/>
      <c r="D1202" s="15"/>
      <c r="E1202" s="15"/>
      <c r="F1202" s="15"/>
      <c r="G1202" s="15"/>
      <c r="H1202" s="15"/>
      <c r="I1202" s="15"/>
      <c r="J1202" s="15"/>
      <c r="K1202" s="15"/>
      <c r="L1202" s="15"/>
      <c r="M1202" s="15"/>
      <c r="N1202" s="15"/>
      <c r="O1202" s="15"/>
      <c r="P1202" s="15"/>
    </row>
    <row r="1203" spans="1:16" x14ac:dyDescent="0.25">
      <c r="A1203" s="15"/>
      <c r="B1203" s="15"/>
      <c r="C1203" s="15"/>
      <c r="D1203" s="15"/>
      <c r="E1203" s="15"/>
      <c r="F1203" s="15"/>
      <c r="G1203" s="15"/>
      <c r="H1203" s="15"/>
      <c r="I1203" s="15"/>
      <c r="J1203" s="15"/>
      <c r="K1203" s="15"/>
      <c r="L1203" s="15"/>
      <c r="M1203" s="15"/>
      <c r="N1203" s="15"/>
      <c r="O1203" s="15"/>
      <c r="P1203" s="15"/>
    </row>
    <row r="1204" spans="1:16" x14ac:dyDescent="0.25">
      <c r="A1204" s="15"/>
      <c r="B1204" s="15"/>
      <c r="C1204" s="15"/>
      <c r="D1204" s="15"/>
      <c r="E1204" s="15"/>
      <c r="F1204" s="15"/>
      <c r="G1204" s="15"/>
      <c r="H1204" s="15"/>
      <c r="I1204" s="15"/>
      <c r="J1204" s="15"/>
      <c r="K1204" s="15"/>
      <c r="L1204" s="15"/>
      <c r="M1204" s="15"/>
      <c r="N1204" s="15"/>
      <c r="O1204" s="15"/>
      <c r="P1204" s="15"/>
    </row>
    <row r="1205" spans="1:16" x14ac:dyDescent="0.25">
      <c r="A1205" s="15"/>
      <c r="B1205" s="15"/>
      <c r="C1205" s="15"/>
      <c r="D1205" s="15"/>
      <c r="E1205" s="15"/>
      <c r="F1205" s="15"/>
      <c r="G1205" s="15"/>
      <c r="H1205" s="15"/>
      <c r="I1205" s="15"/>
      <c r="J1205" s="15"/>
      <c r="K1205" s="15"/>
      <c r="L1205" s="15"/>
      <c r="M1205" s="15"/>
      <c r="N1205" s="15"/>
      <c r="O1205" s="15"/>
      <c r="P1205" s="15"/>
    </row>
    <row r="1206" spans="1:16" x14ac:dyDescent="0.25">
      <c r="A1206" s="15"/>
      <c r="B1206" s="15"/>
      <c r="C1206" s="15"/>
      <c r="D1206" s="15"/>
      <c r="E1206" s="15"/>
      <c r="F1206" s="15"/>
      <c r="G1206" s="15"/>
      <c r="H1206" s="15"/>
      <c r="I1206" s="15"/>
      <c r="J1206" s="15"/>
      <c r="K1206" s="15"/>
      <c r="L1206" s="15"/>
      <c r="M1206" s="15"/>
      <c r="N1206" s="15"/>
      <c r="O1206" s="15"/>
      <c r="P1206" s="15"/>
    </row>
    <row r="1207" spans="1:16" x14ac:dyDescent="0.25">
      <c r="A1207" s="15"/>
      <c r="B1207" s="15"/>
      <c r="C1207" s="15"/>
      <c r="D1207" s="15"/>
      <c r="E1207" s="15"/>
      <c r="F1207" s="15"/>
      <c r="G1207" s="15"/>
      <c r="H1207" s="15"/>
      <c r="I1207" s="15"/>
      <c r="J1207" s="15"/>
      <c r="K1207" s="15"/>
      <c r="L1207" s="15"/>
      <c r="M1207" s="15"/>
      <c r="N1207" s="15"/>
      <c r="O1207" s="15"/>
      <c r="P1207" s="15"/>
    </row>
    <row r="1208" spans="1:16" x14ac:dyDescent="0.25">
      <c r="A1208" s="15"/>
      <c r="B1208" s="15"/>
      <c r="C1208" s="15"/>
      <c r="D1208" s="15"/>
      <c r="E1208" s="15"/>
      <c r="F1208" s="15"/>
      <c r="G1208" s="15"/>
      <c r="H1208" s="15"/>
      <c r="I1208" s="15"/>
      <c r="J1208" s="15"/>
      <c r="K1208" s="15"/>
      <c r="L1208" s="15"/>
      <c r="M1208" s="15"/>
      <c r="N1208" s="15"/>
      <c r="O1208" s="15"/>
      <c r="P1208" s="15"/>
    </row>
    <row r="1209" spans="1:16" x14ac:dyDescent="0.25">
      <c r="A1209" s="15"/>
      <c r="B1209" s="15"/>
      <c r="C1209" s="15"/>
      <c r="D1209" s="15"/>
      <c r="E1209" s="15"/>
      <c r="F1209" s="15"/>
      <c r="G1209" s="15"/>
      <c r="H1209" s="15"/>
      <c r="I1209" s="15"/>
      <c r="J1209" s="15"/>
      <c r="K1209" s="15"/>
      <c r="L1209" s="15"/>
      <c r="M1209" s="15"/>
      <c r="N1209" s="15"/>
      <c r="O1209" s="15"/>
      <c r="P1209" s="15"/>
    </row>
    <row r="1210" spans="1:16" x14ac:dyDescent="0.25">
      <c r="A1210" s="15"/>
      <c r="B1210" s="15"/>
      <c r="C1210" s="15"/>
      <c r="D1210" s="15"/>
      <c r="E1210" s="15"/>
      <c r="F1210" s="15"/>
      <c r="G1210" s="15"/>
      <c r="H1210" s="15"/>
      <c r="I1210" s="15"/>
      <c r="J1210" s="15"/>
      <c r="K1210" s="15"/>
      <c r="L1210" s="15"/>
      <c r="M1210" s="15"/>
      <c r="N1210" s="15"/>
      <c r="O1210" s="15"/>
      <c r="P1210" s="15"/>
    </row>
    <row r="1211" spans="1:16" x14ac:dyDescent="0.25">
      <c r="A1211" s="15"/>
      <c r="B1211" s="15"/>
      <c r="C1211" s="15"/>
      <c r="D1211" s="15"/>
      <c r="E1211" s="15"/>
      <c r="F1211" s="15"/>
      <c r="G1211" s="15"/>
      <c r="H1211" s="15"/>
      <c r="I1211" s="15"/>
      <c r="J1211" s="15"/>
      <c r="K1211" s="15"/>
      <c r="L1211" s="15"/>
      <c r="M1211" s="15"/>
      <c r="N1211" s="15"/>
      <c r="O1211" s="15"/>
      <c r="P1211" s="15"/>
    </row>
    <row r="1212" spans="1:16" x14ac:dyDescent="0.25">
      <c r="A1212" s="15"/>
      <c r="B1212" s="15"/>
      <c r="C1212" s="15"/>
      <c r="D1212" s="15"/>
      <c r="E1212" s="15"/>
      <c r="F1212" s="15"/>
      <c r="G1212" s="15"/>
      <c r="H1212" s="15"/>
      <c r="I1212" s="15"/>
      <c r="J1212" s="15"/>
      <c r="K1212" s="15"/>
      <c r="L1212" s="15"/>
      <c r="M1212" s="15"/>
      <c r="N1212" s="15"/>
      <c r="O1212" s="15"/>
      <c r="P1212" s="15"/>
    </row>
    <row r="1213" spans="1:16" x14ac:dyDescent="0.25">
      <c r="A1213" s="15"/>
      <c r="B1213" s="15"/>
      <c r="C1213" s="15"/>
      <c r="D1213" s="15"/>
      <c r="E1213" s="15"/>
      <c r="F1213" s="15"/>
      <c r="G1213" s="15"/>
      <c r="H1213" s="15"/>
      <c r="I1213" s="15"/>
      <c r="J1213" s="15"/>
      <c r="K1213" s="15"/>
      <c r="L1213" s="15"/>
      <c r="M1213" s="15"/>
      <c r="N1213" s="15"/>
      <c r="O1213" s="15"/>
      <c r="P1213" s="15"/>
    </row>
    <row r="1214" spans="1:16" x14ac:dyDescent="0.25">
      <c r="A1214" s="15"/>
      <c r="B1214" s="15"/>
      <c r="C1214" s="15"/>
      <c r="D1214" s="15"/>
      <c r="E1214" s="15"/>
      <c r="F1214" s="15"/>
      <c r="G1214" s="15"/>
      <c r="H1214" s="15"/>
      <c r="I1214" s="15"/>
      <c r="J1214" s="15"/>
      <c r="K1214" s="15"/>
      <c r="L1214" s="15"/>
      <c r="M1214" s="15"/>
      <c r="N1214" s="15"/>
      <c r="O1214" s="15"/>
      <c r="P1214" s="15"/>
    </row>
    <row r="1215" spans="1:16" x14ac:dyDescent="0.25">
      <c r="A1215" s="15"/>
      <c r="B1215" s="15"/>
      <c r="C1215" s="15"/>
      <c r="D1215" s="15"/>
      <c r="E1215" s="15"/>
      <c r="F1215" s="15"/>
      <c r="G1215" s="15"/>
      <c r="H1215" s="15"/>
      <c r="I1215" s="15"/>
      <c r="J1215" s="15"/>
      <c r="K1215" s="15"/>
      <c r="L1215" s="15"/>
      <c r="M1215" s="15"/>
      <c r="N1215" s="15"/>
      <c r="O1215" s="15"/>
      <c r="P1215" s="15"/>
    </row>
    <row r="1216" spans="1:16" x14ac:dyDescent="0.25">
      <c r="A1216" s="15"/>
      <c r="B1216" s="15"/>
      <c r="C1216" s="15"/>
      <c r="D1216" s="15"/>
      <c r="E1216" s="15"/>
      <c r="F1216" s="15"/>
      <c r="G1216" s="15"/>
      <c r="H1216" s="15"/>
      <c r="I1216" s="15"/>
      <c r="J1216" s="15"/>
      <c r="K1216" s="15"/>
      <c r="L1216" s="15"/>
      <c r="M1216" s="15"/>
      <c r="N1216" s="15"/>
      <c r="O1216" s="15"/>
      <c r="P1216" s="15"/>
    </row>
    <row r="1217" spans="1:16" x14ac:dyDescent="0.25">
      <c r="A1217" s="15"/>
      <c r="B1217" s="15"/>
      <c r="C1217" s="15"/>
      <c r="D1217" s="15"/>
      <c r="E1217" s="15"/>
      <c r="F1217" s="15"/>
      <c r="G1217" s="15"/>
      <c r="H1217" s="15"/>
      <c r="I1217" s="15"/>
      <c r="J1217" s="15"/>
      <c r="K1217" s="15"/>
      <c r="L1217" s="15"/>
      <c r="M1217" s="15"/>
      <c r="N1217" s="15"/>
      <c r="O1217" s="15"/>
      <c r="P1217" s="15"/>
    </row>
    <row r="1218" spans="1:16" x14ac:dyDescent="0.25">
      <c r="A1218" s="15"/>
      <c r="B1218" s="15"/>
      <c r="C1218" s="15"/>
      <c r="D1218" s="15"/>
      <c r="E1218" s="15"/>
      <c r="F1218" s="15"/>
      <c r="G1218" s="15"/>
      <c r="H1218" s="15"/>
      <c r="I1218" s="15"/>
      <c r="J1218" s="15"/>
      <c r="K1218" s="15"/>
      <c r="L1218" s="15"/>
      <c r="M1218" s="15"/>
      <c r="N1218" s="15"/>
      <c r="O1218" s="15"/>
      <c r="P1218" s="15"/>
    </row>
    <row r="1219" spans="1:16" x14ac:dyDescent="0.25">
      <c r="A1219" s="15"/>
      <c r="B1219" s="15"/>
      <c r="C1219" s="15"/>
      <c r="D1219" s="15"/>
      <c r="E1219" s="15"/>
      <c r="F1219" s="15"/>
      <c r="G1219" s="15"/>
      <c r="H1219" s="15"/>
      <c r="I1219" s="15"/>
      <c r="J1219" s="15"/>
      <c r="K1219" s="15"/>
      <c r="L1219" s="15"/>
      <c r="M1219" s="15"/>
      <c r="N1219" s="15"/>
      <c r="O1219" s="15"/>
      <c r="P1219" s="15"/>
    </row>
    <row r="1220" spans="1:16" x14ac:dyDescent="0.25">
      <c r="A1220" s="15"/>
      <c r="B1220" s="15"/>
      <c r="C1220" s="15"/>
      <c r="D1220" s="15"/>
      <c r="E1220" s="15"/>
      <c r="F1220" s="15"/>
      <c r="G1220" s="15"/>
      <c r="H1220" s="15"/>
      <c r="I1220" s="15"/>
      <c r="J1220" s="15"/>
      <c r="K1220" s="15"/>
      <c r="L1220" s="15"/>
      <c r="M1220" s="15"/>
      <c r="N1220" s="15"/>
      <c r="O1220" s="15"/>
      <c r="P1220" s="15"/>
    </row>
    <row r="1221" spans="1:16" x14ac:dyDescent="0.25">
      <c r="A1221" s="15"/>
      <c r="B1221" s="15"/>
      <c r="C1221" s="15"/>
      <c r="D1221" s="15"/>
      <c r="E1221" s="15"/>
      <c r="F1221" s="15"/>
      <c r="G1221" s="15"/>
      <c r="H1221" s="15"/>
      <c r="I1221" s="15"/>
      <c r="J1221" s="15"/>
      <c r="K1221" s="15"/>
      <c r="L1221" s="15"/>
      <c r="M1221" s="15"/>
      <c r="N1221" s="15"/>
      <c r="O1221" s="15"/>
      <c r="P1221" s="15"/>
    </row>
    <row r="1222" spans="1:16" x14ac:dyDescent="0.25">
      <c r="A1222" s="15"/>
      <c r="B1222" s="15"/>
      <c r="C1222" s="15"/>
      <c r="D1222" s="15"/>
      <c r="E1222" s="15"/>
      <c r="F1222" s="15"/>
      <c r="G1222" s="15"/>
      <c r="H1222" s="15"/>
      <c r="I1222" s="15"/>
      <c r="J1222" s="15"/>
      <c r="K1222" s="15"/>
      <c r="L1222" s="15"/>
      <c r="M1222" s="15"/>
      <c r="N1222" s="15"/>
      <c r="O1222" s="15"/>
      <c r="P1222" s="15"/>
    </row>
    <row r="1223" spans="1:16" x14ac:dyDescent="0.25">
      <c r="A1223" s="15"/>
      <c r="B1223" s="15"/>
      <c r="C1223" s="15"/>
      <c r="D1223" s="15"/>
      <c r="E1223" s="15"/>
      <c r="F1223" s="15"/>
      <c r="G1223" s="15"/>
      <c r="H1223" s="15"/>
      <c r="I1223" s="15"/>
      <c r="J1223" s="15"/>
      <c r="K1223" s="15"/>
      <c r="L1223" s="15"/>
      <c r="M1223" s="15"/>
      <c r="N1223" s="15"/>
      <c r="O1223" s="15"/>
      <c r="P1223" s="15"/>
    </row>
    <row r="1224" spans="1:16" x14ac:dyDescent="0.25">
      <c r="A1224" s="15"/>
      <c r="B1224" s="15"/>
      <c r="C1224" s="15"/>
      <c r="D1224" s="15"/>
      <c r="E1224" s="15"/>
      <c r="F1224" s="15"/>
      <c r="G1224" s="15"/>
      <c r="H1224" s="15"/>
      <c r="I1224" s="15"/>
      <c r="J1224" s="15"/>
      <c r="K1224" s="15"/>
      <c r="L1224" s="15"/>
      <c r="M1224" s="15"/>
      <c r="N1224" s="15"/>
      <c r="O1224" s="15"/>
      <c r="P1224" s="15"/>
    </row>
    <row r="1225" spans="1:16" x14ac:dyDescent="0.25">
      <c r="A1225" s="15"/>
      <c r="B1225" s="15"/>
      <c r="C1225" s="15"/>
      <c r="D1225" s="15"/>
      <c r="E1225" s="15"/>
      <c r="F1225" s="15"/>
      <c r="G1225" s="15"/>
      <c r="H1225" s="15"/>
      <c r="I1225" s="15"/>
      <c r="J1225" s="15"/>
      <c r="K1225" s="15"/>
      <c r="L1225" s="15"/>
      <c r="M1225" s="15"/>
      <c r="N1225" s="15"/>
      <c r="O1225" s="15"/>
      <c r="P1225" s="15"/>
    </row>
    <row r="1226" spans="1:16" x14ac:dyDescent="0.25">
      <c r="A1226" s="15"/>
      <c r="B1226" s="15"/>
      <c r="C1226" s="15"/>
      <c r="D1226" s="15"/>
      <c r="E1226" s="15"/>
      <c r="F1226" s="15"/>
      <c r="G1226" s="15"/>
      <c r="H1226" s="15"/>
      <c r="I1226" s="15"/>
      <c r="J1226" s="15"/>
      <c r="K1226" s="15"/>
      <c r="L1226" s="15"/>
      <c r="M1226" s="15"/>
      <c r="N1226" s="15"/>
      <c r="O1226" s="15"/>
      <c r="P1226" s="15"/>
    </row>
    <row r="1227" spans="1:16" x14ac:dyDescent="0.25">
      <c r="A1227" s="15"/>
      <c r="B1227" s="15"/>
      <c r="C1227" s="15"/>
      <c r="D1227" s="15"/>
      <c r="E1227" s="15"/>
      <c r="F1227" s="15"/>
      <c r="G1227" s="15"/>
      <c r="H1227" s="15"/>
      <c r="I1227" s="15"/>
      <c r="J1227" s="15"/>
      <c r="K1227" s="15"/>
      <c r="L1227" s="15"/>
      <c r="M1227" s="15"/>
      <c r="N1227" s="15"/>
      <c r="O1227" s="15"/>
      <c r="P1227" s="15"/>
    </row>
    <row r="1228" spans="1:16" x14ac:dyDescent="0.25">
      <c r="A1228" s="15"/>
      <c r="B1228" s="15"/>
      <c r="C1228" s="15"/>
      <c r="D1228" s="15"/>
      <c r="E1228" s="15"/>
      <c r="F1228" s="15"/>
      <c r="G1228" s="15"/>
      <c r="H1228" s="15"/>
      <c r="I1228" s="15"/>
      <c r="J1228" s="15"/>
      <c r="K1228" s="15"/>
      <c r="L1228" s="15"/>
      <c r="M1228" s="15"/>
      <c r="N1228" s="15"/>
      <c r="O1228" s="15"/>
      <c r="P1228" s="15"/>
    </row>
    <row r="1229" spans="1:16" x14ac:dyDescent="0.25">
      <c r="A1229" s="15"/>
      <c r="B1229" s="15"/>
      <c r="C1229" s="15"/>
      <c r="D1229" s="15"/>
      <c r="E1229" s="15"/>
      <c r="F1229" s="15"/>
      <c r="G1229" s="15"/>
      <c r="H1229" s="15"/>
      <c r="I1229" s="15"/>
      <c r="J1229" s="15"/>
      <c r="K1229" s="15"/>
      <c r="L1229" s="15"/>
      <c r="M1229" s="15"/>
      <c r="N1229" s="15"/>
      <c r="O1229" s="15"/>
      <c r="P1229" s="15"/>
    </row>
    <row r="1230" spans="1:16" x14ac:dyDescent="0.25">
      <c r="A1230" s="15"/>
      <c r="B1230" s="15"/>
      <c r="C1230" s="15"/>
      <c r="D1230" s="15"/>
      <c r="E1230" s="15"/>
      <c r="F1230" s="15"/>
      <c r="G1230" s="15"/>
      <c r="H1230" s="15"/>
      <c r="I1230" s="15"/>
      <c r="J1230" s="15"/>
      <c r="K1230" s="15"/>
      <c r="L1230" s="15"/>
      <c r="M1230" s="15"/>
      <c r="N1230" s="15"/>
      <c r="O1230" s="15"/>
      <c r="P1230" s="15"/>
    </row>
    <row r="1231" spans="1:16" x14ac:dyDescent="0.25">
      <c r="A1231" s="15"/>
      <c r="B1231" s="15"/>
      <c r="C1231" s="15"/>
      <c r="D1231" s="15"/>
      <c r="E1231" s="15"/>
      <c r="F1231" s="15"/>
      <c r="G1231" s="15"/>
      <c r="H1231" s="15"/>
      <c r="I1231" s="15"/>
      <c r="J1231" s="15"/>
      <c r="K1231" s="15"/>
      <c r="L1231" s="15"/>
      <c r="M1231" s="15"/>
      <c r="N1231" s="15"/>
      <c r="O1231" s="15"/>
      <c r="P1231" s="15"/>
    </row>
    <row r="1232" spans="1:16" x14ac:dyDescent="0.25">
      <c r="A1232" s="15"/>
      <c r="B1232" s="15"/>
      <c r="C1232" s="15"/>
      <c r="D1232" s="15"/>
      <c r="E1232" s="15"/>
      <c r="F1232" s="15"/>
      <c r="G1232" s="15"/>
      <c r="H1232" s="15"/>
      <c r="I1232" s="15"/>
      <c r="J1232" s="15"/>
      <c r="K1232" s="15"/>
      <c r="L1232" s="15"/>
      <c r="M1232" s="15"/>
      <c r="N1232" s="15"/>
      <c r="O1232" s="15"/>
      <c r="P1232" s="15"/>
    </row>
    <row r="1233" spans="1:16" x14ac:dyDescent="0.25">
      <c r="A1233" s="15"/>
      <c r="B1233" s="15"/>
      <c r="C1233" s="15"/>
      <c r="D1233" s="15"/>
      <c r="E1233" s="15"/>
      <c r="F1233" s="15"/>
      <c r="G1233" s="15"/>
      <c r="H1233" s="15"/>
      <c r="I1233" s="15"/>
      <c r="J1233" s="15"/>
      <c r="K1233" s="15"/>
      <c r="L1233" s="15"/>
      <c r="M1233" s="15"/>
      <c r="N1233" s="15"/>
      <c r="O1233" s="15"/>
      <c r="P1233" s="15"/>
    </row>
    <row r="1234" spans="1:16" x14ac:dyDescent="0.25">
      <c r="A1234" s="15"/>
      <c r="B1234" s="15"/>
      <c r="C1234" s="15"/>
      <c r="D1234" s="15"/>
      <c r="E1234" s="15"/>
      <c r="F1234" s="15"/>
      <c r="G1234" s="15"/>
      <c r="H1234" s="15"/>
      <c r="I1234" s="15"/>
      <c r="J1234" s="15"/>
      <c r="K1234" s="15"/>
      <c r="L1234" s="15"/>
      <c r="M1234" s="15"/>
      <c r="N1234" s="15"/>
      <c r="O1234" s="15"/>
      <c r="P1234" s="15"/>
    </row>
    <row r="1235" spans="1:16" x14ac:dyDescent="0.25">
      <c r="A1235" s="15"/>
      <c r="B1235" s="15"/>
      <c r="C1235" s="15"/>
      <c r="D1235" s="15"/>
      <c r="E1235" s="15"/>
      <c r="F1235" s="15"/>
      <c r="G1235" s="15"/>
      <c r="H1235" s="15"/>
      <c r="I1235" s="15"/>
      <c r="J1235" s="15"/>
      <c r="K1235" s="15"/>
      <c r="L1235" s="15"/>
      <c r="M1235" s="15"/>
      <c r="N1235" s="15"/>
      <c r="O1235" s="15"/>
      <c r="P1235" s="15"/>
    </row>
    <row r="1236" spans="1:16" x14ac:dyDescent="0.25">
      <c r="A1236" s="15"/>
      <c r="B1236" s="15"/>
      <c r="C1236" s="15"/>
      <c r="D1236" s="15"/>
      <c r="E1236" s="15"/>
      <c r="F1236" s="15"/>
      <c r="G1236" s="15"/>
      <c r="H1236" s="15"/>
      <c r="I1236" s="15"/>
      <c r="J1236" s="15"/>
      <c r="K1236" s="15"/>
      <c r="L1236" s="15"/>
      <c r="M1236" s="15"/>
      <c r="N1236" s="15"/>
      <c r="O1236" s="15"/>
      <c r="P1236" s="15"/>
    </row>
    <row r="1237" spans="1:16" x14ac:dyDescent="0.25">
      <c r="A1237" s="15"/>
      <c r="B1237" s="15"/>
      <c r="C1237" s="15"/>
      <c r="D1237" s="15"/>
      <c r="E1237" s="15"/>
      <c r="F1237" s="15"/>
      <c r="G1237" s="15"/>
      <c r="H1237" s="15"/>
      <c r="I1237" s="15"/>
      <c r="J1237" s="15"/>
      <c r="K1237" s="15"/>
      <c r="L1237" s="15"/>
      <c r="M1237" s="15"/>
      <c r="N1237" s="15"/>
      <c r="O1237" s="15"/>
      <c r="P1237" s="15"/>
    </row>
    <row r="1238" spans="1:16" x14ac:dyDescent="0.25">
      <c r="A1238" s="15"/>
      <c r="B1238" s="15"/>
      <c r="C1238" s="15"/>
      <c r="D1238" s="15"/>
      <c r="E1238" s="15"/>
      <c r="F1238" s="15"/>
      <c r="G1238" s="15"/>
      <c r="H1238" s="15"/>
      <c r="I1238" s="15"/>
      <c r="J1238" s="15"/>
      <c r="K1238" s="15"/>
      <c r="L1238" s="15"/>
      <c r="M1238" s="15"/>
      <c r="N1238" s="15"/>
      <c r="O1238" s="15"/>
      <c r="P1238" s="15"/>
    </row>
    <row r="1239" spans="1:16" x14ac:dyDescent="0.25">
      <c r="A1239" s="15"/>
      <c r="B1239" s="15"/>
      <c r="C1239" s="15"/>
      <c r="D1239" s="15"/>
      <c r="E1239" s="15"/>
      <c r="F1239" s="15"/>
      <c r="G1239" s="15"/>
      <c r="H1239" s="15"/>
      <c r="I1239" s="15"/>
      <c r="J1239" s="15"/>
      <c r="K1239" s="15"/>
      <c r="L1239" s="15"/>
      <c r="M1239" s="15"/>
      <c r="N1239" s="15"/>
      <c r="O1239" s="15"/>
      <c r="P1239" s="15"/>
    </row>
    <row r="1240" spans="1:16" x14ac:dyDescent="0.25">
      <c r="A1240" s="15"/>
      <c r="B1240" s="15"/>
      <c r="C1240" s="15"/>
      <c r="D1240" s="15"/>
      <c r="E1240" s="15"/>
      <c r="F1240" s="15"/>
      <c r="G1240" s="15"/>
      <c r="H1240" s="15"/>
      <c r="I1240" s="15"/>
      <c r="J1240" s="15"/>
      <c r="K1240" s="15"/>
      <c r="L1240" s="15"/>
      <c r="M1240" s="15"/>
      <c r="N1240" s="15"/>
      <c r="O1240" s="15"/>
      <c r="P1240" s="15"/>
    </row>
    <row r="1241" spans="1:16" x14ac:dyDescent="0.25">
      <c r="A1241" s="15"/>
      <c r="B1241" s="15"/>
      <c r="C1241" s="15"/>
      <c r="D1241" s="15"/>
      <c r="E1241" s="15"/>
      <c r="F1241" s="15"/>
      <c r="G1241" s="15"/>
      <c r="H1241" s="15"/>
      <c r="I1241" s="15"/>
      <c r="J1241" s="15"/>
      <c r="K1241" s="15"/>
      <c r="L1241" s="15"/>
      <c r="M1241" s="15"/>
      <c r="N1241" s="15"/>
      <c r="O1241" s="15"/>
      <c r="P1241" s="15"/>
    </row>
    <row r="1242" spans="1:16" x14ac:dyDescent="0.25">
      <c r="A1242" s="15"/>
      <c r="B1242" s="15"/>
      <c r="C1242" s="15"/>
      <c r="D1242" s="15"/>
      <c r="E1242" s="15"/>
      <c r="F1242" s="15"/>
      <c r="G1242" s="15"/>
      <c r="H1242" s="15"/>
      <c r="I1242" s="15"/>
      <c r="J1242" s="15"/>
      <c r="K1242" s="15"/>
      <c r="L1242" s="15"/>
      <c r="M1242" s="15"/>
      <c r="N1242" s="15"/>
      <c r="O1242" s="15"/>
      <c r="P1242" s="15"/>
    </row>
    <row r="1243" spans="1:16" x14ac:dyDescent="0.25">
      <c r="A1243" s="15"/>
      <c r="B1243" s="15"/>
      <c r="C1243" s="15"/>
      <c r="D1243" s="15"/>
      <c r="E1243" s="15"/>
      <c r="F1243" s="15"/>
      <c r="G1243" s="15"/>
      <c r="H1243" s="15"/>
      <c r="I1243" s="15"/>
      <c r="J1243" s="15"/>
      <c r="K1243" s="15"/>
      <c r="L1243" s="15"/>
      <c r="M1243" s="15"/>
      <c r="N1243" s="15"/>
      <c r="O1243" s="15"/>
      <c r="P1243" s="15"/>
    </row>
    <row r="1244" spans="1:16" x14ac:dyDescent="0.25">
      <c r="A1244" s="15"/>
      <c r="B1244" s="15"/>
      <c r="C1244" s="15"/>
      <c r="D1244" s="15"/>
      <c r="E1244" s="15"/>
      <c r="F1244" s="15"/>
      <c r="G1244" s="15"/>
      <c r="H1244" s="15"/>
      <c r="I1244" s="15"/>
      <c r="J1244" s="15"/>
      <c r="K1244" s="15"/>
      <c r="L1244" s="15"/>
      <c r="M1244" s="15"/>
      <c r="N1244" s="15"/>
      <c r="O1244" s="15"/>
      <c r="P1244" s="15"/>
    </row>
    <row r="1245" spans="1:16" x14ac:dyDescent="0.25">
      <c r="A1245" s="15"/>
      <c r="B1245" s="15"/>
      <c r="C1245" s="15"/>
      <c r="D1245" s="15"/>
      <c r="E1245" s="15"/>
      <c r="F1245" s="15"/>
      <c r="G1245" s="15"/>
      <c r="H1245" s="15"/>
      <c r="I1245" s="15"/>
      <c r="J1245" s="15"/>
      <c r="K1245" s="15"/>
      <c r="L1245" s="15"/>
      <c r="M1245" s="15"/>
      <c r="N1245" s="15"/>
      <c r="O1245" s="15"/>
      <c r="P1245" s="15"/>
    </row>
    <row r="1246" spans="1:16" x14ac:dyDescent="0.25">
      <c r="A1246" s="15"/>
      <c r="B1246" s="15"/>
      <c r="C1246" s="15"/>
      <c r="D1246" s="15"/>
      <c r="E1246" s="15"/>
      <c r="F1246" s="15"/>
      <c r="G1246" s="15"/>
      <c r="H1246" s="15"/>
      <c r="I1246" s="15"/>
      <c r="J1246" s="15"/>
      <c r="K1246" s="15"/>
      <c r="L1246" s="15"/>
      <c r="M1246" s="15"/>
      <c r="N1246" s="15"/>
      <c r="O1246" s="15"/>
      <c r="P1246" s="15"/>
    </row>
    <row r="1247" spans="1:16" x14ac:dyDescent="0.25">
      <c r="A1247" s="15"/>
      <c r="B1247" s="15"/>
      <c r="C1247" s="15"/>
      <c r="D1247" s="15"/>
      <c r="E1247" s="15"/>
      <c r="F1247" s="15"/>
      <c r="G1247" s="15"/>
      <c r="H1247" s="15"/>
      <c r="I1247" s="15"/>
      <c r="J1247" s="15"/>
      <c r="K1247" s="15"/>
      <c r="L1247" s="15"/>
      <c r="M1247" s="15"/>
      <c r="N1247" s="15"/>
      <c r="O1247" s="15"/>
      <c r="P1247" s="15"/>
    </row>
    <row r="1248" spans="1:16" x14ac:dyDescent="0.25">
      <c r="A1248" s="15"/>
      <c r="B1248" s="15"/>
      <c r="C1248" s="15"/>
      <c r="D1248" s="15"/>
      <c r="E1248" s="15"/>
      <c r="F1248" s="15"/>
      <c r="G1248" s="15"/>
      <c r="H1248" s="15"/>
      <c r="I1248" s="15"/>
      <c r="J1248" s="15"/>
      <c r="K1248" s="15"/>
      <c r="L1248" s="15"/>
      <c r="M1248" s="15"/>
      <c r="N1248" s="15"/>
      <c r="O1248" s="15"/>
      <c r="P1248" s="15"/>
    </row>
    <row r="1249" spans="1:16" x14ac:dyDescent="0.25">
      <c r="A1249" s="15"/>
      <c r="B1249" s="15"/>
      <c r="C1249" s="15"/>
      <c r="D1249" s="15"/>
      <c r="E1249" s="15"/>
      <c r="F1249" s="15"/>
      <c r="G1249" s="15"/>
      <c r="H1249" s="15"/>
      <c r="I1249" s="15"/>
      <c r="J1249" s="15"/>
      <c r="K1249" s="15"/>
      <c r="L1249" s="15"/>
      <c r="M1249" s="15"/>
      <c r="N1249" s="15"/>
      <c r="O1249" s="15"/>
      <c r="P1249" s="15"/>
    </row>
    <row r="1250" spans="1:16" x14ac:dyDescent="0.25">
      <c r="A1250" s="15"/>
      <c r="B1250" s="15"/>
      <c r="C1250" s="15"/>
      <c r="D1250" s="15"/>
      <c r="E1250" s="15"/>
      <c r="F1250" s="15"/>
      <c r="G1250" s="15"/>
      <c r="H1250" s="15"/>
      <c r="I1250" s="15"/>
      <c r="J1250" s="15"/>
      <c r="K1250" s="15"/>
      <c r="L1250" s="15"/>
      <c r="M1250" s="15"/>
      <c r="N1250" s="15"/>
      <c r="O1250" s="15"/>
      <c r="P1250" s="15"/>
    </row>
    <row r="1251" spans="1:16" x14ac:dyDescent="0.25">
      <c r="A1251" s="15"/>
      <c r="B1251" s="15"/>
      <c r="C1251" s="15"/>
      <c r="D1251" s="15"/>
      <c r="E1251" s="15"/>
      <c r="F1251" s="15"/>
      <c r="G1251" s="15"/>
      <c r="H1251" s="15"/>
      <c r="I1251" s="15"/>
      <c r="J1251" s="15"/>
      <c r="K1251" s="15"/>
      <c r="L1251" s="15"/>
      <c r="M1251" s="15"/>
      <c r="N1251" s="15"/>
      <c r="O1251" s="15"/>
      <c r="P1251" s="15"/>
    </row>
    <row r="1252" spans="1:16" x14ac:dyDescent="0.25">
      <c r="A1252" s="15"/>
      <c r="B1252" s="15"/>
      <c r="C1252" s="15"/>
      <c r="D1252" s="15"/>
      <c r="E1252" s="15"/>
      <c r="F1252" s="15"/>
      <c r="G1252" s="15"/>
      <c r="H1252" s="15"/>
      <c r="I1252" s="15"/>
      <c r="J1252" s="15"/>
      <c r="K1252" s="15"/>
      <c r="L1252" s="15"/>
      <c r="M1252" s="15"/>
      <c r="N1252" s="15"/>
      <c r="O1252" s="15"/>
      <c r="P1252" s="15"/>
    </row>
    <row r="1253" spans="1:16" x14ac:dyDescent="0.25">
      <c r="A1253" s="15"/>
      <c r="B1253" s="15"/>
      <c r="C1253" s="15"/>
      <c r="D1253" s="15"/>
      <c r="E1253" s="15"/>
      <c r="F1253" s="15"/>
      <c r="G1253" s="15"/>
      <c r="H1253" s="15"/>
      <c r="I1253" s="15"/>
      <c r="J1253" s="15"/>
      <c r="K1253" s="15"/>
      <c r="L1253" s="15"/>
      <c r="M1253" s="15"/>
      <c r="N1253" s="15"/>
      <c r="O1253" s="15"/>
      <c r="P1253" s="15"/>
    </row>
    <row r="1254" spans="1:16" x14ac:dyDescent="0.25">
      <c r="A1254" s="15"/>
      <c r="B1254" s="15"/>
      <c r="C1254" s="15"/>
      <c r="D1254" s="15"/>
      <c r="E1254" s="15"/>
      <c r="F1254" s="15"/>
      <c r="G1254" s="15"/>
      <c r="H1254" s="15"/>
      <c r="I1254" s="15"/>
      <c r="J1254" s="15"/>
      <c r="K1254" s="15"/>
      <c r="L1254" s="15"/>
      <c r="M1254" s="15"/>
      <c r="N1254" s="15"/>
      <c r="O1254" s="15"/>
      <c r="P1254" s="15"/>
    </row>
    <row r="1255" spans="1:16" x14ac:dyDescent="0.25">
      <c r="A1255" s="15"/>
      <c r="B1255" s="15"/>
      <c r="C1255" s="15"/>
      <c r="D1255" s="15"/>
      <c r="E1255" s="15"/>
      <c r="F1255" s="15"/>
      <c r="G1255" s="15"/>
      <c r="H1255" s="15"/>
      <c r="I1255" s="15"/>
      <c r="J1255" s="15"/>
      <c r="K1255" s="15"/>
      <c r="L1255" s="15"/>
      <c r="M1255" s="15"/>
      <c r="N1255" s="15"/>
      <c r="O1255" s="15"/>
      <c r="P1255" s="15"/>
    </row>
    <row r="1256" spans="1:16" x14ac:dyDescent="0.25">
      <c r="A1256" s="15"/>
      <c r="B1256" s="15"/>
      <c r="C1256" s="15"/>
      <c r="D1256" s="15"/>
      <c r="E1256" s="15"/>
      <c r="F1256" s="15"/>
      <c r="G1256" s="15"/>
      <c r="H1256" s="15"/>
      <c r="I1256" s="15"/>
      <c r="J1256" s="15"/>
      <c r="K1256" s="15"/>
      <c r="L1256" s="15"/>
      <c r="M1256" s="15"/>
      <c r="N1256" s="15"/>
      <c r="O1256" s="15"/>
      <c r="P1256" s="15"/>
    </row>
    <row r="1257" spans="1:16" x14ac:dyDescent="0.25">
      <c r="A1257" s="15"/>
      <c r="B1257" s="15"/>
      <c r="C1257" s="15"/>
      <c r="D1257" s="15"/>
      <c r="E1257" s="15"/>
      <c r="F1257" s="15"/>
      <c r="G1257" s="15"/>
      <c r="H1257" s="15"/>
      <c r="I1257" s="15"/>
      <c r="J1257" s="15"/>
      <c r="K1257" s="15"/>
      <c r="L1257" s="15"/>
      <c r="M1257" s="15"/>
      <c r="N1257" s="15"/>
      <c r="O1257" s="15"/>
      <c r="P1257" s="15"/>
    </row>
    <row r="1258" spans="1:16" x14ac:dyDescent="0.25">
      <c r="A1258" s="15"/>
      <c r="B1258" s="15"/>
      <c r="C1258" s="15"/>
      <c r="D1258" s="15"/>
      <c r="E1258" s="15"/>
      <c r="F1258" s="15"/>
      <c r="G1258" s="15"/>
      <c r="H1258" s="15"/>
      <c r="I1258" s="15"/>
      <c r="J1258" s="15"/>
      <c r="K1258" s="15"/>
      <c r="L1258" s="15"/>
      <c r="M1258" s="15"/>
      <c r="N1258" s="15"/>
      <c r="O1258" s="15"/>
      <c r="P1258" s="15"/>
    </row>
    <row r="1259" spans="1:16" x14ac:dyDescent="0.25">
      <c r="A1259" s="15"/>
      <c r="B1259" s="15"/>
      <c r="C1259" s="15"/>
      <c r="D1259" s="15"/>
      <c r="E1259" s="15"/>
      <c r="F1259" s="15"/>
      <c r="G1259" s="15"/>
      <c r="H1259" s="15"/>
      <c r="I1259" s="15"/>
      <c r="J1259" s="15"/>
      <c r="K1259" s="15"/>
      <c r="L1259" s="15"/>
      <c r="M1259" s="15"/>
      <c r="N1259" s="15"/>
      <c r="O1259" s="15"/>
      <c r="P1259" s="15"/>
    </row>
    <row r="1260" spans="1:16" x14ac:dyDescent="0.25">
      <c r="A1260" s="15"/>
      <c r="B1260" s="15"/>
      <c r="C1260" s="15"/>
      <c r="D1260" s="15"/>
      <c r="E1260" s="15"/>
      <c r="F1260" s="15"/>
      <c r="G1260" s="15"/>
      <c r="H1260" s="15"/>
      <c r="I1260" s="15"/>
      <c r="J1260" s="15"/>
      <c r="K1260" s="15"/>
      <c r="L1260" s="15"/>
      <c r="M1260" s="15"/>
      <c r="N1260" s="15"/>
      <c r="O1260" s="15"/>
      <c r="P1260" s="15"/>
    </row>
    <row r="1261" spans="1:16" x14ac:dyDescent="0.25">
      <c r="A1261" s="15"/>
      <c r="B1261" s="15"/>
      <c r="C1261" s="15"/>
      <c r="D1261" s="15"/>
      <c r="E1261" s="15"/>
      <c r="F1261" s="15"/>
      <c r="G1261" s="15"/>
      <c r="H1261" s="15"/>
      <c r="I1261" s="15"/>
      <c r="J1261" s="15"/>
      <c r="K1261" s="15"/>
      <c r="L1261" s="15"/>
      <c r="M1261" s="15"/>
      <c r="N1261" s="15"/>
      <c r="O1261" s="15"/>
      <c r="P1261" s="15"/>
    </row>
    <row r="1262" spans="1:16" x14ac:dyDescent="0.25">
      <c r="A1262" s="15"/>
      <c r="B1262" s="15"/>
      <c r="C1262" s="15"/>
      <c r="D1262" s="15"/>
      <c r="E1262" s="15"/>
      <c r="F1262" s="15"/>
      <c r="G1262" s="15"/>
      <c r="H1262" s="15"/>
      <c r="I1262" s="15"/>
      <c r="J1262" s="15"/>
      <c r="K1262" s="15"/>
      <c r="L1262" s="15"/>
      <c r="M1262" s="15"/>
      <c r="N1262" s="15"/>
      <c r="O1262" s="15"/>
      <c r="P1262" s="15"/>
    </row>
    <row r="1263" spans="1:16" x14ac:dyDescent="0.25">
      <c r="A1263" s="15"/>
      <c r="B1263" s="15"/>
      <c r="C1263" s="15"/>
      <c r="D1263" s="15"/>
      <c r="E1263" s="15"/>
      <c r="F1263" s="15"/>
      <c r="G1263" s="15"/>
      <c r="H1263" s="15"/>
      <c r="I1263" s="15"/>
      <c r="J1263" s="15"/>
      <c r="K1263" s="15"/>
      <c r="L1263" s="15"/>
      <c r="M1263" s="15"/>
      <c r="N1263" s="15"/>
      <c r="O1263" s="15"/>
      <c r="P1263" s="15"/>
    </row>
    <row r="1264" spans="1:16" x14ac:dyDescent="0.25">
      <c r="A1264" s="15"/>
      <c r="B1264" s="15"/>
      <c r="C1264" s="15"/>
      <c r="D1264" s="15"/>
      <c r="E1264" s="15"/>
      <c r="F1264" s="15"/>
      <c r="G1264" s="15"/>
      <c r="H1264" s="15"/>
      <c r="I1264" s="15"/>
      <c r="J1264" s="15"/>
      <c r="K1264" s="15"/>
      <c r="L1264" s="15"/>
      <c r="M1264" s="15"/>
      <c r="N1264" s="15"/>
      <c r="O1264" s="15"/>
      <c r="P1264" s="15"/>
    </row>
    <row r="1265" spans="1:16" x14ac:dyDescent="0.25">
      <c r="A1265" s="15"/>
      <c r="B1265" s="15"/>
      <c r="C1265" s="15"/>
      <c r="D1265" s="15"/>
      <c r="E1265" s="15"/>
      <c r="F1265" s="15"/>
      <c r="G1265" s="15"/>
      <c r="H1265" s="15"/>
      <c r="I1265" s="15"/>
      <c r="J1265" s="15"/>
      <c r="K1265" s="15"/>
      <c r="L1265" s="15"/>
      <c r="M1265" s="15"/>
      <c r="N1265" s="15"/>
      <c r="O1265" s="15"/>
      <c r="P1265" s="15"/>
    </row>
    <row r="1266" spans="1:16" x14ac:dyDescent="0.25">
      <c r="A1266" s="15"/>
      <c r="B1266" s="15"/>
      <c r="C1266" s="15"/>
      <c r="D1266" s="15"/>
      <c r="E1266" s="15"/>
      <c r="F1266" s="15"/>
      <c r="G1266" s="15"/>
      <c r="H1266" s="15"/>
      <c r="I1266" s="15"/>
      <c r="J1266" s="15"/>
      <c r="K1266" s="15"/>
      <c r="L1266" s="15"/>
      <c r="M1266" s="15"/>
      <c r="N1266" s="15"/>
      <c r="O1266" s="15"/>
      <c r="P1266" s="15"/>
    </row>
    <row r="1267" spans="1:16" x14ac:dyDescent="0.25">
      <c r="A1267" s="15"/>
      <c r="B1267" s="15"/>
      <c r="C1267" s="15"/>
      <c r="D1267" s="15"/>
      <c r="E1267" s="15"/>
      <c r="F1267" s="15"/>
      <c r="G1267" s="15"/>
      <c r="H1267" s="15"/>
      <c r="I1267" s="15"/>
      <c r="J1267" s="15"/>
      <c r="K1267" s="15"/>
      <c r="L1267" s="15"/>
      <c r="M1267" s="15"/>
      <c r="N1267" s="15"/>
      <c r="O1267" s="15"/>
      <c r="P1267" s="15"/>
    </row>
    <row r="1268" spans="1:16" x14ac:dyDescent="0.25">
      <c r="A1268" s="15"/>
      <c r="B1268" s="15"/>
      <c r="C1268" s="15"/>
      <c r="D1268" s="15"/>
      <c r="E1268" s="15"/>
      <c r="F1268" s="15"/>
      <c r="G1268" s="15"/>
      <c r="H1268" s="15"/>
      <c r="I1268" s="15"/>
      <c r="J1268" s="15"/>
      <c r="K1268" s="15"/>
      <c r="L1268" s="15"/>
      <c r="M1268" s="15"/>
      <c r="N1268" s="15"/>
      <c r="O1268" s="15"/>
      <c r="P1268" s="15"/>
    </row>
    <row r="1269" spans="1:16" x14ac:dyDescent="0.25">
      <c r="A1269" s="15"/>
      <c r="B1269" s="15"/>
      <c r="C1269" s="15"/>
      <c r="D1269" s="15"/>
      <c r="E1269" s="15"/>
      <c r="F1269" s="15"/>
      <c r="G1269" s="15"/>
      <c r="H1269" s="15"/>
      <c r="I1269" s="15"/>
      <c r="J1269" s="15"/>
      <c r="K1269" s="15"/>
      <c r="L1269" s="15"/>
      <c r="M1269" s="15"/>
      <c r="N1269" s="15"/>
      <c r="O1269" s="15"/>
      <c r="P1269" s="15"/>
    </row>
    <row r="1270" spans="1:16" x14ac:dyDescent="0.25">
      <c r="A1270" s="15"/>
      <c r="B1270" s="15"/>
      <c r="C1270" s="15"/>
      <c r="D1270" s="15"/>
      <c r="E1270" s="15"/>
      <c r="F1270" s="15"/>
      <c r="G1270" s="15"/>
      <c r="H1270" s="15"/>
      <c r="I1270" s="15"/>
      <c r="J1270" s="15"/>
      <c r="K1270" s="15"/>
      <c r="L1270" s="15"/>
      <c r="M1270" s="15"/>
      <c r="N1270" s="15"/>
      <c r="O1270" s="15"/>
      <c r="P1270" s="15"/>
    </row>
    <row r="1271" spans="1:16" x14ac:dyDescent="0.25">
      <c r="A1271" s="15"/>
      <c r="B1271" s="15"/>
      <c r="C1271" s="15"/>
      <c r="D1271" s="15"/>
      <c r="E1271" s="15"/>
      <c r="F1271" s="15"/>
      <c r="G1271" s="15"/>
      <c r="H1271" s="15"/>
      <c r="I1271" s="15"/>
      <c r="J1271" s="15"/>
      <c r="K1271" s="15"/>
      <c r="L1271" s="15"/>
      <c r="M1271" s="15"/>
      <c r="N1271" s="15"/>
      <c r="O1271" s="15"/>
      <c r="P1271" s="15"/>
    </row>
    <row r="1272" spans="1:16" x14ac:dyDescent="0.25">
      <c r="A1272" s="15"/>
      <c r="B1272" s="15"/>
      <c r="C1272" s="15"/>
      <c r="D1272" s="15"/>
      <c r="E1272" s="15"/>
      <c r="F1272" s="15"/>
      <c r="G1272" s="15"/>
      <c r="H1272" s="15"/>
      <c r="I1272" s="15"/>
      <c r="J1272" s="15"/>
      <c r="K1272" s="15"/>
      <c r="L1272" s="15"/>
      <c r="M1272" s="15"/>
      <c r="N1272" s="15"/>
      <c r="O1272" s="15"/>
      <c r="P1272" s="15"/>
    </row>
    <row r="1273" spans="1:16" x14ac:dyDescent="0.25">
      <c r="A1273" s="15"/>
      <c r="B1273" s="15"/>
      <c r="C1273" s="15"/>
      <c r="D1273" s="15"/>
      <c r="E1273" s="15"/>
      <c r="F1273" s="15"/>
      <c r="G1273" s="15"/>
      <c r="H1273" s="15"/>
      <c r="I1273" s="15"/>
      <c r="J1273" s="15"/>
      <c r="K1273" s="15"/>
      <c r="L1273" s="15"/>
      <c r="M1273" s="15"/>
      <c r="N1273" s="15"/>
      <c r="O1273" s="15"/>
      <c r="P1273" s="15"/>
    </row>
    <row r="1274" spans="1:16" x14ac:dyDescent="0.25">
      <c r="A1274" s="15"/>
      <c r="B1274" s="15"/>
      <c r="C1274" s="15"/>
      <c r="D1274" s="15"/>
      <c r="E1274" s="15"/>
      <c r="F1274" s="15"/>
      <c r="G1274" s="15"/>
      <c r="H1274" s="15"/>
      <c r="I1274" s="15"/>
      <c r="J1274" s="15"/>
      <c r="K1274" s="15"/>
      <c r="L1274" s="15"/>
      <c r="M1274" s="15"/>
      <c r="N1274" s="15"/>
      <c r="O1274" s="15"/>
      <c r="P1274" s="15"/>
    </row>
    <row r="1275" spans="1:16" x14ac:dyDescent="0.25">
      <c r="A1275" s="15"/>
      <c r="B1275" s="15"/>
      <c r="C1275" s="15"/>
      <c r="D1275" s="15"/>
      <c r="E1275" s="15"/>
      <c r="F1275" s="15"/>
      <c r="G1275" s="15"/>
      <c r="H1275" s="15"/>
      <c r="I1275" s="15"/>
      <c r="J1275" s="15"/>
      <c r="K1275" s="15"/>
      <c r="L1275" s="15"/>
      <c r="M1275" s="15"/>
      <c r="N1275" s="15"/>
      <c r="O1275" s="15"/>
      <c r="P1275" s="15"/>
    </row>
    <row r="1276" spans="1:16" x14ac:dyDescent="0.25">
      <c r="A1276" s="15"/>
      <c r="B1276" s="15"/>
      <c r="C1276" s="15"/>
      <c r="D1276" s="15"/>
      <c r="E1276" s="15"/>
      <c r="F1276" s="15"/>
      <c r="G1276" s="15"/>
      <c r="H1276" s="15"/>
      <c r="I1276" s="15"/>
      <c r="J1276" s="15"/>
      <c r="K1276" s="15"/>
      <c r="L1276" s="15"/>
      <c r="M1276" s="15"/>
      <c r="N1276" s="15"/>
      <c r="O1276" s="15"/>
      <c r="P1276" s="15"/>
    </row>
    <row r="1277" spans="1:16" x14ac:dyDescent="0.25">
      <c r="A1277" s="15"/>
      <c r="B1277" s="15"/>
      <c r="C1277" s="15"/>
      <c r="D1277" s="15"/>
      <c r="E1277" s="15"/>
      <c r="F1277" s="15"/>
      <c r="G1277" s="15"/>
      <c r="H1277" s="15"/>
      <c r="I1277" s="15"/>
      <c r="J1277" s="15"/>
      <c r="K1277" s="15"/>
      <c r="L1277" s="15"/>
      <c r="M1277" s="15"/>
      <c r="N1277" s="15"/>
      <c r="O1277" s="15"/>
      <c r="P1277" s="15"/>
    </row>
    <row r="1278" spans="1:16" x14ac:dyDescent="0.25">
      <c r="A1278" s="15"/>
      <c r="B1278" s="15"/>
      <c r="C1278" s="15"/>
      <c r="D1278" s="15"/>
      <c r="E1278" s="15"/>
      <c r="F1278" s="15"/>
      <c r="G1278" s="15"/>
      <c r="H1278" s="15"/>
      <c r="I1278" s="15"/>
      <c r="J1278" s="15"/>
      <c r="K1278" s="15"/>
      <c r="L1278" s="15"/>
      <c r="M1278" s="15"/>
      <c r="N1278" s="15"/>
      <c r="O1278" s="15"/>
      <c r="P1278" s="15"/>
    </row>
    <row r="1279" spans="1:16" x14ac:dyDescent="0.25">
      <c r="A1279" s="15"/>
      <c r="B1279" s="15"/>
      <c r="C1279" s="15"/>
      <c r="D1279" s="15"/>
      <c r="E1279" s="15"/>
      <c r="F1279" s="15"/>
      <c r="G1279" s="15"/>
      <c r="H1279" s="15"/>
      <c r="I1279" s="15"/>
      <c r="J1279" s="15"/>
      <c r="K1279" s="15"/>
      <c r="L1279" s="15"/>
      <c r="M1279" s="15"/>
      <c r="N1279" s="15"/>
      <c r="O1279" s="15"/>
      <c r="P1279" s="15"/>
    </row>
    <row r="1280" spans="1:16" x14ac:dyDescent="0.25">
      <c r="A1280" s="15"/>
      <c r="B1280" s="15"/>
      <c r="C1280" s="15"/>
      <c r="D1280" s="15"/>
      <c r="E1280" s="15"/>
      <c r="F1280" s="15"/>
      <c r="G1280" s="15"/>
      <c r="H1280" s="15"/>
      <c r="I1280" s="15"/>
      <c r="J1280" s="15"/>
      <c r="K1280" s="15"/>
      <c r="L1280" s="15"/>
      <c r="M1280" s="15"/>
      <c r="N1280" s="15"/>
      <c r="O1280" s="15"/>
      <c r="P1280" s="15"/>
    </row>
    <row r="1281" spans="1:16" x14ac:dyDescent="0.25">
      <c r="A1281" s="15"/>
      <c r="B1281" s="15"/>
      <c r="C1281" s="15"/>
      <c r="D1281" s="15"/>
      <c r="E1281" s="15"/>
      <c r="F1281" s="15"/>
      <c r="G1281" s="15"/>
      <c r="H1281" s="15"/>
      <c r="I1281" s="15"/>
      <c r="J1281" s="15"/>
      <c r="K1281" s="15"/>
      <c r="L1281" s="15"/>
      <c r="M1281" s="15"/>
      <c r="N1281" s="15"/>
      <c r="O1281" s="15"/>
      <c r="P1281" s="15"/>
    </row>
    <row r="1282" spans="1:16" x14ac:dyDescent="0.25">
      <c r="A1282" s="15"/>
      <c r="B1282" s="15"/>
      <c r="C1282" s="15"/>
      <c r="D1282" s="15"/>
      <c r="E1282" s="15"/>
      <c r="F1282" s="15"/>
      <c r="G1282" s="15"/>
      <c r="H1282" s="15"/>
      <c r="I1282" s="15"/>
      <c r="J1282" s="15"/>
      <c r="K1282" s="15"/>
      <c r="L1282" s="15"/>
      <c r="M1282" s="15"/>
      <c r="N1282" s="15"/>
      <c r="O1282" s="15"/>
      <c r="P1282" s="15"/>
    </row>
    <row r="1283" spans="1:16" x14ac:dyDescent="0.25">
      <c r="A1283" s="15"/>
      <c r="B1283" s="15"/>
      <c r="C1283" s="15"/>
      <c r="D1283" s="15"/>
      <c r="E1283" s="15"/>
      <c r="F1283" s="15"/>
      <c r="G1283" s="15"/>
      <c r="H1283" s="15"/>
      <c r="I1283" s="15"/>
      <c r="J1283" s="15"/>
      <c r="K1283" s="15"/>
      <c r="L1283" s="15"/>
      <c r="M1283" s="15"/>
      <c r="N1283" s="15"/>
      <c r="O1283" s="15"/>
      <c r="P1283" s="15"/>
    </row>
    <row r="1284" spans="1:16" x14ac:dyDescent="0.25">
      <c r="A1284" s="15"/>
      <c r="B1284" s="15"/>
      <c r="C1284" s="15"/>
      <c r="D1284" s="15"/>
      <c r="E1284" s="15"/>
      <c r="F1284" s="15"/>
      <c r="G1284" s="15"/>
      <c r="H1284" s="15"/>
      <c r="I1284" s="15"/>
      <c r="J1284" s="15"/>
      <c r="K1284" s="15"/>
      <c r="L1284" s="15"/>
      <c r="M1284" s="15"/>
      <c r="N1284" s="15"/>
      <c r="O1284" s="15"/>
      <c r="P1284" s="15"/>
    </row>
    <row r="1285" spans="1:16" x14ac:dyDescent="0.25">
      <c r="A1285" s="15"/>
      <c r="B1285" s="15"/>
      <c r="C1285" s="15"/>
      <c r="D1285" s="15"/>
      <c r="E1285" s="15"/>
      <c r="F1285" s="15"/>
      <c r="G1285" s="15"/>
      <c r="H1285" s="15"/>
      <c r="I1285" s="15"/>
      <c r="J1285" s="15"/>
      <c r="K1285" s="15"/>
      <c r="L1285" s="15"/>
      <c r="M1285" s="15"/>
      <c r="N1285" s="15"/>
      <c r="O1285" s="15"/>
      <c r="P1285" s="15"/>
    </row>
    <row r="1286" spans="1:16" x14ac:dyDescent="0.25">
      <c r="A1286" s="15"/>
      <c r="B1286" s="15"/>
      <c r="C1286" s="15"/>
      <c r="D1286" s="15"/>
      <c r="E1286" s="15"/>
      <c r="F1286" s="15"/>
      <c r="G1286" s="15"/>
      <c r="H1286" s="15"/>
      <c r="I1286" s="15"/>
      <c r="J1286" s="15"/>
      <c r="K1286" s="15"/>
      <c r="L1286" s="15"/>
      <c r="M1286" s="15"/>
      <c r="N1286" s="15"/>
      <c r="O1286" s="15"/>
      <c r="P1286" s="15"/>
    </row>
    <row r="1287" spans="1:16" x14ac:dyDescent="0.25">
      <c r="A1287" s="15"/>
      <c r="B1287" s="15"/>
      <c r="C1287" s="15"/>
      <c r="D1287" s="15"/>
      <c r="E1287" s="15"/>
      <c r="F1287" s="15"/>
      <c r="G1287" s="15"/>
      <c r="H1287" s="15"/>
      <c r="I1287" s="15"/>
      <c r="J1287" s="15"/>
      <c r="K1287" s="15"/>
      <c r="L1287" s="15"/>
      <c r="M1287" s="15"/>
      <c r="N1287" s="15"/>
      <c r="O1287" s="15"/>
      <c r="P1287" s="15"/>
    </row>
    <row r="1288" spans="1:16" x14ac:dyDescent="0.25">
      <c r="A1288" s="15"/>
      <c r="B1288" s="15"/>
      <c r="C1288" s="15"/>
      <c r="D1288" s="15"/>
      <c r="E1288" s="15"/>
      <c r="F1288" s="15"/>
      <c r="G1288" s="15"/>
      <c r="H1288" s="15"/>
      <c r="I1288" s="15"/>
      <c r="J1288" s="15"/>
      <c r="K1288" s="15"/>
      <c r="L1288" s="15"/>
      <c r="M1288" s="15"/>
      <c r="N1288" s="15"/>
      <c r="O1288" s="15"/>
      <c r="P1288" s="15"/>
    </row>
    <row r="1289" spans="1:16" x14ac:dyDescent="0.25">
      <c r="A1289" s="15"/>
      <c r="B1289" s="15"/>
      <c r="C1289" s="15"/>
      <c r="D1289" s="15"/>
      <c r="E1289" s="15"/>
      <c r="F1289" s="15"/>
      <c r="G1289" s="15"/>
      <c r="H1289" s="15"/>
      <c r="I1289" s="15"/>
      <c r="J1289" s="15"/>
      <c r="K1289" s="15"/>
      <c r="L1289" s="15"/>
      <c r="M1289" s="15"/>
      <c r="N1289" s="15"/>
      <c r="O1289" s="15"/>
      <c r="P1289" s="15"/>
    </row>
    <row r="1290" spans="1:16" x14ac:dyDescent="0.25">
      <c r="A1290" s="15"/>
      <c r="B1290" s="15"/>
      <c r="C1290" s="15"/>
      <c r="D1290" s="15"/>
      <c r="E1290" s="15"/>
      <c r="F1290" s="15"/>
      <c r="G1290" s="15"/>
      <c r="H1290" s="15"/>
      <c r="I1290" s="15"/>
      <c r="J1290" s="15"/>
      <c r="K1290" s="15"/>
      <c r="L1290" s="15"/>
      <c r="M1290" s="15"/>
      <c r="N1290" s="15"/>
      <c r="O1290" s="15"/>
      <c r="P1290" s="15"/>
    </row>
    <row r="1291" spans="1:16" x14ac:dyDescent="0.25">
      <c r="A1291" s="15"/>
      <c r="B1291" s="15"/>
      <c r="C1291" s="15"/>
      <c r="D1291" s="15"/>
      <c r="E1291" s="15"/>
      <c r="F1291" s="15"/>
      <c r="G1291" s="15"/>
      <c r="H1291" s="15"/>
      <c r="I1291" s="15"/>
      <c r="J1291" s="15"/>
      <c r="K1291" s="15"/>
      <c r="L1291" s="15"/>
      <c r="M1291" s="15"/>
      <c r="N1291" s="15"/>
      <c r="O1291" s="15"/>
      <c r="P1291" s="15"/>
    </row>
    <row r="1292" spans="1:16" x14ac:dyDescent="0.25">
      <c r="A1292" s="15"/>
      <c r="B1292" s="15"/>
      <c r="C1292" s="15"/>
      <c r="D1292" s="15"/>
      <c r="E1292" s="15"/>
      <c r="F1292" s="15"/>
      <c r="G1292" s="15"/>
      <c r="H1292" s="15"/>
      <c r="I1292" s="15"/>
      <c r="J1292" s="15"/>
      <c r="K1292" s="15"/>
      <c r="L1292" s="15"/>
      <c r="M1292" s="15"/>
      <c r="N1292" s="15"/>
      <c r="O1292" s="15"/>
      <c r="P1292" s="15"/>
    </row>
    <row r="1293" spans="1:16" x14ac:dyDescent="0.25">
      <c r="A1293" s="15"/>
      <c r="B1293" s="15"/>
      <c r="C1293" s="15"/>
      <c r="D1293" s="15"/>
      <c r="E1293" s="15"/>
      <c r="F1293" s="15"/>
      <c r="G1293" s="15"/>
      <c r="H1293" s="15"/>
      <c r="I1293" s="15"/>
      <c r="J1293" s="15"/>
      <c r="K1293" s="15"/>
      <c r="L1293" s="15"/>
      <c r="M1293" s="15"/>
      <c r="N1293" s="15"/>
      <c r="O1293" s="15"/>
      <c r="P1293" s="15"/>
    </row>
    <row r="1294" spans="1:16" x14ac:dyDescent="0.25">
      <c r="A1294" s="15"/>
      <c r="B1294" s="15"/>
      <c r="C1294" s="15"/>
      <c r="D1294" s="15"/>
      <c r="E1294" s="15"/>
      <c r="F1294" s="15"/>
      <c r="G1294" s="15"/>
      <c r="H1294" s="15"/>
      <c r="I1294" s="15"/>
      <c r="J1294" s="15"/>
      <c r="K1294" s="15"/>
      <c r="L1294" s="15"/>
      <c r="M1294" s="15"/>
      <c r="N1294" s="15"/>
      <c r="O1294" s="15"/>
      <c r="P1294" s="15"/>
    </row>
    <row r="1295" spans="1:16" x14ac:dyDescent="0.25">
      <c r="A1295" s="15"/>
      <c r="B1295" s="15"/>
      <c r="C1295" s="15"/>
      <c r="D1295" s="15"/>
      <c r="E1295" s="15"/>
      <c r="F1295" s="15"/>
      <c r="G1295" s="15"/>
      <c r="H1295" s="15"/>
      <c r="I1295" s="15"/>
      <c r="J1295" s="15"/>
      <c r="K1295" s="15"/>
      <c r="L1295" s="15"/>
      <c r="M1295" s="15"/>
      <c r="N1295" s="15"/>
      <c r="O1295" s="15"/>
      <c r="P1295" s="15"/>
    </row>
    <row r="1296" spans="1:16" x14ac:dyDescent="0.25">
      <c r="A1296" s="15"/>
      <c r="B1296" s="15"/>
      <c r="C1296" s="15"/>
      <c r="D1296" s="15"/>
      <c r="E1296" s="15"/>
      <c r="F1296" s="15"/>
      <c r="G1296" s="15"/>
      <c r="H1296" s="15"/>
      <c r="I1296" s="15"/>
      <c r="J1296" s="15"/>
      <c r="K1296" s="15"/>
      <c r="L1296" s="15"/>
      <c r="M1296" s="15"/>
      <c r="N1296" s="15"/>
      <c r="O1296" s="15"/>
      <c r="P1296" s="15"/>
    </row>
    <row r="1297" spans="1:16" x14ac:dyDescent="0.25">
      <c r="A1297" s="15"/>
      <c r="B1297" s="15"/>
      <c r="C1297" s="15"/>
      <c r="D1297" s="15"/>
      <c r="E1297" s="15"/>
      <c r="F1297" s="15"/>
      <c r="G1297" s="15"/>
      <c r="H1297" s="15"/>
      <c r="I1297" s="15"/>
      <c r="J1297" s="15"/>
      <c r="K1297" s="15"/>
      <c r="L1297" s="15"/>
      <c r="M1297" s="15"/>
      <c r="N1297" s="15"/>
      <c r="O1297" s="15"/>
      <c r="P1297" s="15"/>
    </row>
    <row r="1298" spans="1:16" x14ac:dyDescent="0.25">
      <c r="A1298" s="15"/>
      <c r="B1298" s="15"/>
      <c r="C1298" s="15"/>
      <c r="D1298" s="15"/>
      <c r="E1298" s="15"/>
      <c r="F1298" s="15"/>
      <c r="G1298" s="15"/>
      <c r="H1298" s="15"/>
      <c r="I1298" s="15"/>
      <c r="J1298" s="15"/>
      <c r="K1298" s="15"/>
      <c r="L1298" s="15"/>
      <c r="M1298" s="15"/>
      <c r="N1298" s="15"/>
      <c r="O1298" s="15"/>
      <c r="P1298" s="15"/>
    </row>
    <row r="1299" spans="1:16" x14ac:dyDescent="0.25">
      <c r="A1299" s="15"/>
      <c r="B1299" s="15"/>
      <c r="C1299" s="15"/>
      <c r="D1299" s="15"/>
      <c r="E1299" s="15"/>
      <c r="F1299" s="15"/>
      <c r="G1299" s="15"/>
      <c r="H1299" s="15"/>
      <c r="I1299" s="15"/>
      <c r="J1299" s="15"/>
      <c r="K1299" s="15"/>
      <c r="L1299" s="15"/>
      <c r="M1299" s="15"/>
      <c r="N1299" s="15"/>
      <c r="O1299" s="15"/>
      <c r="P1299" s="15"/>
    </row>
    <row r="1300" spans="1:16" x14ac:dyDescent="0.25">
      <c r="A1300" s="15"/>
      <c r="B1300" s="15"/>
      <c r="C1300" s="15"/>
      <c r="D1300" s="15"/>
      <c r="E1300" s="15"/>
      <c r="F1300" s="15"/>
      <c r="G1300" s="15"/>
      <c r="H1300" s="15"/>
      <c r="I1300" s="15"/>
      <c r="J1300" s="15"/>
      <c r="K1300" s="15"/>
      <c r="L1300" s="15"/>
      <c r="M1300" s="15"/>
      <c r="N1300" s="15"/>
      <c r="O1300" s="15"/>
      <c r="P1300" s="15"/>
    </row>
    <row r="1301" spans="1:16" x14ac:dyDescent="0.25">
      <c r="A1301" s="15"/>
      <c r="B1301" s="15"/>
      <c r="C1301" s="15"/>
      <c r="D1301" s="15"/>
      <c r="E1301" s="15"/>
      <c r="F1301" s="15"/>
      <c r="G1301" s="15"/>
      <c r="H1301" s="15"/>
      <c r="I1301" s="15"/>
      <c r="J1301" s="15"/>
      <c r="K1301" s="15"/>
      <c r="L1301" s="15"/>
      <c r="M1301" s="15"/>
      <c r="N1301" s="15"/>
      <c r="O1301" s="15"/>
      <c r="P1301" s="15"/>
    </row>
    <row r="1302" spans="1:16" x14ac:dyDescent="0.25">
      <c r="A1302" s="15"/>
      <c r="B1302" s="15"/>
      <c r="C1302" s="15"/>
      <c r="D1302" s="15"/>
      <c r="E1302" s="15"/>
      <c r="F1302" s="15"/>
      <c r="G1302" s="15"/>
      <c r="H1302" s="15"/>
      <c r="I1302" s="15"/>
      <c r="J1302" s="15"/>
      <c r="K1302" s="15"/>
      <c r="L1302" s="15"/>
      <c r="M1302" s="15"/>
      <c r="N1302" s="15"/>
      <c r="O1302" s="15"/>
      <c r="P1302" s="15"/>
    </row>
    <row r="1303" spans="1:16" x14ac:dyDescent="0.25">
      <c r="A1303" s="15"/>
      <c r="B1303" s="15"/>
      <c r="C1303" s="15"/>
      <c r="D1303" s="15"/>
      <c r="E1303" s="15"/>
      <c r="F1303" s="15"/>
      <c r="G1303" s="15"/>
      <c r="H1303" s="15"/>
      <c r="I1303" s="15"/>
      <c r="J1303" s="15"/>
      <c r="K1303" s="15"/>
      <c r="L1303" s="15"/>
      <c r="M1303" s="15"/>
      <c r="N1303" s="15"/>
      <c r="O1303" s="15"/>
      <c r="P1303" s="15"/>
    </row>
    <row r="1304" spans="1:16" x14ac:dyDescent="0.25">
      <c r="A1304" s="15"/>
      <c r="B1304" s="15"/>
      <c r="C1304" s="15"/>
      <c r="D1304" s="15"/>
      <c r="E1304" s="15"/>
      <c r="F1304" s="15"/>
      <c r="G1304" s="15"/>
      <c r="H1304" s="15"/>
      <c r="I1304" s="15"/>
      <c r="J1304" s="15"/>
      <c r="K1304" s="15"/>
      <c r="L1304" s="15"/>
      <c r="M1304" s="15"/>
      <c r="N1304" s="15"/>
      <c r="O1304" s="15"/>
      <c r="P1304" s="15"/>
    </row>
    <row r="1305" spans="1:16" x14ac:dyDescent="0.25">
      <c r="A1305" s="15"/>
      <c r="B1305" s="15"/>
      <c r="C1305" s="15"/>
      <c r="D1305" s="15"/>
      <c r="E1305" s="15"/>
      <c r="F1305" s="15"/>
      <c r="G1305" s="15"/>
      <c r="H1305" s="15"/>
      <c r="I1305" s="15"/>
      <c r="J1305" s="15"/>
      <c r="K1305" s="15"/>
      <c r="L1305" s="15"/>
      <c r="M1305" s="15"/>
      <c r="N1305" s="15"/>
      <c r="O1305" s="15"/>
      <c r="P1305" s="15"/>
    </row>
    <row r="1306" spans="1:16" x14ac:dyDescent="0.25">
      <c r="A1306" s="15"/>
      <c r="B1306" s="15"/>
      <c r="C1306" s="15"/>
      <c r="D1306" s="15"/>
      <c r="E1306" s="15"/>
      <c r="F1306" s="15"/>
      <c r="G1306" s="15"/>
      <c r="H1306" s="15"/>
      <c r="I1306" s="15"/>
      <c r="J1306" s="15"/>
      <c r="K1306" s="15"/>
      <c r="L1306" s="15"/>
      <c r="M1306" s="15"/>
      <c r="N1306" s="15"/>
      <c r="O1306" s="15"/>
      <c r="P1306" s="15"/>
    </row>
    <row r="1307" spans="1:16" x14ac:dyDescent="0.25">
      <c r="A1307" s="15"/>
      <c r="B1307" s="15"/>
      <c r="C1307" s="15"/>
      <c r="D1307" s="15"/>
      <c r="E1307" s="15"/>
      <c r="F1307" s="15"/>
      <c r="G1307" s="15"/>
      <c r="H1307" s="15"/>
      <c r="I1307" s="15"/>
      <c r="J1307" s="15"/>
      <c r="K1307" s="15"/>
      <c r="L1307" s="15"/>
      <c r="M1307" s="15"/>
      <c r="N1307" s="15"/>
      <c r="O1307" s="15"/>
      <c r="P1307" s="15"/>
    </row>
    <row r="1308" spans="1:16" x14ac:dyDescent="0.25">
      <c r="A1308" s="15"/>
      <c r="B1308" s="15"/>
      <c r="C1308" s="15"/>
      <c r="D1308" s="15"/>
      <c r="E1308" s="15"/>
      <c r="F1308" s="15"/>
      <c r="G1308" s="15"/>
      <c r="H1308" s="15"/>
      <c r="I1308" s="15"/>
      <c r="J1308" s="15"/>
      <c r="K1308" s="15"/>
      <c r="L1308" s="15"/>
      <c r="M1308" s="15"/>
      <c r="N1308" s="15"/>
      <c r="O1308" s="15"/>
      <c r="P1308" s="15"/>
    </row>
    <row r="1309" spans="1:16" x14ac:dyDescent="0.25">
      <c r="A1309" s="15"/>
      <c r="B1309" s="15"/>
      <c r="C1309" s="15"/>
      <c r="D1309" s="15"/>
      <c r="E1309" s="15"/>
      <c r="F1309" s="15"/>
      <c r="G1309" s="15"/>
      <c r="H1309" s="15"/>
      <c r="I1309" s="15"/>
      <c r="J1309" s="15"/>
      <c r="K1309" s="15"/>
      <c r="L1309" s="15"/>
      <c r="M1309" s="15"/>
      <c r="N1309" s="15"/>
      <c r="O1309" s="15"/>
      <c r="P1309" s="15"/>
    </row>
    <row r="1310" spans="1:16" x14ac:dyDescent="0.25">
      <c r="A1310" s="15"/>
      <c r="B1310" s="15"/>
      <c r="C1310" s="15"/>
      <c r="D1310" s="15"/>
      <c r="E1310" s="15"/>
      <c r="F1310" s="15"/>
      <c r="G1310" s="15"/>
      <c r="H1310" s="15"/>
      <c r="I1310" s="15"/>
      <c r="J1310" s="15"/>
      <c r="K1310" s="15"/>
      <c r="L1310" s="15"/>
      <c r="M1310" s="15"/>
      <c r="N1310" s="15"/>
      <c r="O1310" s="15"/>
      <c r="P1310" s="15"/>
    </row>
    <row r="1311" spans="1:16" x14ac:dyDescent="0.25">
      <c r="A1311" s="15"/>
      <c r="B1311" s="15"/>
      <c r="C1311" s="15"/>
      <c r="D1311" s="15"/>
      <c r="E1311" s="15"/>
      <c r="F1311" s="15"/>
      <c r="G1311" s="15"/>
      <c r="H1311" s="15"/>
      <c r="I1311" s="15"/>
      <c r="J1311" s="15"/>
      <c r="K1311" s="15"/>
      <c r="L1311" s="15"/>
      <c r="M1311" s="15"/>
      <c r="N1311" s="15"/>
      <c r="O1311" s="15"/>
      <c r="P1311" s="15"/>
    </row>
    <row r="1312" spans="1:16" x14ac:dyDescent="0.25">
      <c r="A1312" s="15"/>
      <c r="B1312" s="15"/>
      <c r="C1312" s="15"/>
      <c r="D1312" s="15"/>
      <c r="E1312" s="15"/>
      <c r="F1312" s="15"/>
      <c r="G1312" s="15"/>
      <c r="H1312" s="15"/>
      <c r="I1312" s="15"/>
      <c r="J1312" s="15"/>
      <c r="K1312" s="15"/>
      <c r="L1312" s="15"/>
      <c r="M1312" s="15"/>
      <c r="N1312" s="15"/>
      <c r="O1312" s="15"/>
      <c r="P1312" s="15"/>
    </row>
    <row r="1313" spans="1:16" x14ac:dyDescent="0.25">
      <c r="A1313" s="15"/>
      <c r="B1313" s="15"/>
      <c r="C1313" s="15"/>
      <c r="D1313" s="15"/>
      <c r="E1313" s="15"/>
      <c r="F1313" s="15"/>
      <c r="G1313" s="15"/>
      <c r="H1313" s="15"/>
      <c r="I1313" s="15"/>
      <c r="J1313" s="15"/>
      <c r="K1313" s="15"/>
      <c r="L1313" s="15"/>
      <c r="M1313" s="15"/>
      <c r="N1313" s="15"/>
      <c r="O1313" s="15"/>
      <c r="P1313" s="15"/>
    </row>
    <row r="1314" spans="1:16" x14ac:dyDescent="0.25">
      <c r="A1314" s="15"/>
      <c r="B1314" s="15"/>
      <c r="C1314" s="15"/>
      <c r="D1314" s="15"/>
      <c r="E1314" s="15"/>
      <c r="F1314" s="15"/>
      <c r="G1314" s="15"/>
      <c r="H1314" s="15"/>
      <c r="I1314" s="15"/>
      <c r="J1314" s="15"/>
      <c r="K1314" s="15"/>
      <c r="L1314" s="15"/>
      <c r="M1314" s="15"/>
      <c r="N1314" s="15"/>
      <c r="O1314" s="15"/>
      <c r="P1314" s="15"/>
    </row>
    <row r="1315" spans="1:16" x14ac:dyDescent="0.25">
      <c r="A1315" s="15"/>
      <c r="B1315" s="15"/>
      <c r="C1315" s="15"/>
      <c r="D1315" s="15"/>
      <c r="E1315" s="15"/>
      <c r="F1315" s="15"/>
      <c r="G1315" s="15"/>
      <c r="H1315" s="15"/>
      <c r="I1315" s="15"/>
      <c r="J1315" s="15"/>
      <c r="K1315" s="15"/>
      <c r="L1315" s="15"/>
      <c r="M1315" s="15"/>
      <c r="N1315" s="15"/>
      <c r="O1315" s="15"/>
      <c r="P1315" s="15"/>
    </row>
    <row r="1316" spans="1:16" x14ac:dyDescent="0.25">
      <c r="A1316" s="15"/>
      <c r="B1316" s="15"/>
      <c r="C1316" s="15"/>
      <c r="D1316" s="15"/>
      <c r="E1316" s="15"/>
      <c r="F1316" s="15"/>
      <c r="G1316" s="15"/>
      <c r="H1316" s="15"/>
      <c r="I1316" s="15"/>
      <c r="J1316" s="15"/>
      <c r="K1316" s="15"/>
      <c r="L1316" s="15"/>
      <c r="M1316" s="15"/>
      <c r="N1316" s="15"/>
      <c r="O1316" s="15"/>
      <c r="P1316" s="15"/>
    </row>
    <row r="1317" spans="1:16" x14ac:dyDescent="0.25">
      <c r="A1317" s="15"/>
      <c r="B1317" s="15"/>
      <c r="C1317" s="15"/>
      <c r="D1317" s="15"/>
      <c r="E1317" s="15"/>
      <c r="F1317" s="15"/>
      <c r="G1317" s="15"/>
      <c r="H1317" s="15"/>
      <c r="I1317" s="15"/>
      <c r="J1317" s="15"/>
      <c r="K1317" s="15"/>
      <c r="L1317" s="15"/>
      <c r="M1317" s="15"/>
      <c r="N1317" s="15"/>
      <c r="O1317" s="15"/>
      <c r="P1317" s="15"/>
    </row>
    <row r="1318" spans="1:16" x14ac:dyDescent="0.25">
      <c r="A1318" s="15"/>
      <c r="B1318" s="15"/>
      <c r="C1318" s="15"/>
      <c r="D1318" s="15"/>
      <c r="E1318" s="15"/>
      <c r="F1318" s="15"/>
      <c r="G1318" s="15"/>
      <c r="H1318" s="15"/>
      <c r="I1318" s="15"/>
      <c r="J1318" s="15"/>
      <c r="K1318" s="15"/>
      <c r="L1318" s="15"/>
      <c r="M1318" s="15"/>
      <c r="N1318" s="15"/>
      <c r="O1318" s="15"/>
      <c r="P1318" s="15"/>
    </row>
    <row r="1319" spans="1:16" x14ac:dyDescent="0.25">
      <c r="A1319" s="15"/>
      <c r="B1319" s="15"/>
      <c r="C1319" s="15"/>
      <c r="D1319" s="15"/>
      <c r="E1319" s="15"/>
      <c r="F1319" s="15"/>
      <c r="G1319" s="15"/>
      <c r="H1319" s="15"/>
      <c r="I1319" s="15"/>
      <c r="J1319" s="15"/>
      <c r="K1319" s="15"/>
      <c r="L1319" s="15"/>
      <c r="M1319" s="15"/>
      <c r="N1319" s="15"/>
      <c r="O1319" s="15"/>
      <c r="P1319" s="15"/>
    </row>
    <row r="1320" spans="1:16" x14ac:dyDescent="0.25">
      <c r="A1320" s="15"/>
      <c r="B1320" s="15"/>
      <c r="C1320" s="15"/>
      <c r="D1320" s="15"/>
      <c r="E1320" s="15"/>
      <c r="F1320" s="15"/>
      <c r="G1320" s="15"/>
      <c r="H1320" s="15"/>
      <c r="I1320" s="15"/>
      <c r="J1320" s="15"/>
      <c r="K1320" s="15"/>
      <c r="L1320" s="15"/>
      <c r="M1320" s="15"/>
      <c r="N1320" s="15"/>
      <c r="O1320" s="15"/>
      <c r="P1320" s="15"/>
    </row>
    <row r="1321" spans="1:16" x14ac:dyDescent="0.25">
      <c r="A1321" s="15"/>
      <c r="B1321" s="15"/>
      <c r="C1321" s="15"/>
      <c r="D1321" s="15"/>
      <c r="E1321" s="15"/>
      <c r="F1321" s="15"/>
      <c r="G1321" s="15"/>
      <c r="H1321" s="15"/>
      <c r="I1321" s="15"/>
      <c r="J1321" s="15"/>
      <c r="K1321" s="15"/>
      <c r="L1321" s="15"/>
      <c r="M1321" s="15"/>
      <c r="N1321" s="15"/>
      <c r="O1321" s="15"/>
      <c r="P1321" s="15"/>
    </row>
    <row r="1322" spans="1:16" x14ac:dyDescent="0.25">
      <c r="A1322" s="15"/>
      <c r="B1322" s="15"/>
      <c r="C1322" s="15"/>
      <c r="D1322" s="15"/>
      <c r="E1322" s="15"/>
      <c r="F1322" s="15"/>
      <c r="G1322" s="15"/>
      <c r="H1322" s="15"/>
      <c r="I1322" s="15"/>
      <c r="J1322" s="15"/>
      <c r="K1322" s="15"/>
      <c r="L1322" s="15"/>
      <c r="M1322" s="15"/>
      <c r="N1322" s="15"/>
      <c r="O1322" s="15"/>
      <c r="P1322" s="15"/>
    </row>
    <row r="1323" spans="1:16" x14ac:dyDescent="0.25">
      <c r="A1323" s="15"/>
      <c r="B1323" s="15"/>
      <c r="C1323" s="15"/>
      <c r="D1323" s="15"/>
      <c r="E1323" s="15"/>
      <c r="F1323" s="15"/>
      <c r="G1323" s="15"/>
      <c r="H1323" s="15"/>
      <c r="I1323" s="15"/>
      <c r="J1323" s="15"/>
      <c r="K1323" s="15"/>
      <c r="L1323" s="15"/>
      <c r="M1323" s="15"/>
      <c r="N1323" s="15"/>
      <c r="O1323" s="15"/>
      <c r="P1323" s="15"/>
    </row>
    <row r="1324" spans="1:16" x14ac:dyDescent="0.25">
      <c r="A1324" s="15"/>
      <c r="B1324" s="15"/>
      <c r="C1324" s="15"/>
      <c r="D1324" s="15"/>
      <c r="E1324" s="15"/>
      <c r="F1324" s="15"/>
      <c r="G1324" s="15"/>
      <c r="H1324" s="15"/>
      <c r="I1324" s="15"/>
      <c r="J1324" s="15"/>
      <c r="K1324" s="15"/>
      <c r="L1324" s="15"/>
      <c r="M1324" s="15"/>
      <c r="N1324" s="15"/>
      <c r="O1324" s="15"/>
      <c r="P1324" s="15"/>
    </row>
    <row r="1325" spans="1:16" x14ac:dyDescent="0.25">
      <c r="A1325" s="15"/>
      <c r="B1325" s="15"/>
      <c r="C1325" s="15"/>
      <c r="D1325" s="15"/>
      <c r="E1325" s="15"/>
      <c r="F1325" s="15"/>
      <c r="G1325" s="15"/>
      <c r="H1325" s="15"/>
      <c r="I1325" s="15"/>
      <c r="J1325" s="15"/>
      <c r="K1325" s="15"/>
      <c r="L1325" s="15"/>
      <c r="M1325" s="15"/>
      <c r="N1325" s="15"/>
      <c r="O1325" s="15"/>
      <c r="P1325" s="15"/>
    </row>
    <row r="1326" spans="1:16" x14ac:dyDescent="0.25">
      <c r="A1326" s="15"/>
      <c r="B1326" s="15"/>
      <c r="C1326" s="15"/>
      <c r="D1326" s="15"/>
      <c r="E1326" s="15"/>
      <c r="F1326" s="15"/>
      <c r="G1326" s="15"/>
      <c r="H1326" s="15"/>
      <c r="I1326" s="15"/>
      <c r="J1326" s="15"/>
      <c r="K1326" s="15"/>
      <c r="L1326" s="15"/>
      <c r="M1326" s="15"/>
      <c r="N1326" s="15"/>
      <c r="O1326" s="15"/>
      <c r="P1326" s="15"/>
    </row>
    <row r="1327" spans="1:16" x14ac:dyDescent="0.25">
      <c r="A1327" s="15"/>
      <c r="B1327" s="15"/>
      <c r="C1327" s="15"/>
      <c r="D1327" s="15"/>
      <c r="E1327" s="15"/>
      <c r="F1327" s="15"/>
      <c r="G1327" s="15"/>
      <c r="H1327" s="15"/>
      <c r="I1327" s="15"/>
      <c r="J1327" s="15"/>
      <c r="K1327" s="15"/>
      <c r="L1327" s="15"/>
      <c r="M1327" s="15"/>
      <c r="N1327" s="15"/>
      <c r="O1327" s="15"/>
      <c r="P1327" s="15"/>
    </row>
    <row r="1328" spans="1:16" x14ac:dyDescent="0.25">
      <c r="A1328" s="15"/>
      <c r="B1328" s="15"/>
      <c r="C1328" s="15"/>
      <c r="D1328" s="15"/>
      <c r="E1328" s="15"/>
      <c r="F1328" s="15"/>
      <c r="G1328" s="15"/>
      <c r="H1328" s="15"/>
      <c r="I1328" s="15"/>
      <c r="J1328" s="15"/>
      <c r="K1328" s="15"/>
      <c r="L1328" s="15"/>
      <c r="M1328" s="15"/>
      <c r="N1328" s="15"/>
      <c r="O1328" s="15"/>
      <c r="P1328" s="15"/>
    </row>
    <row r="1329" spans="1:16" x14ac:dyDescent="0.25">
      <c r="A1329" s="15"/>
      <c r="B1329" s="15"/>
      <c r="C1329" s="15"/>
      <c r="D1329" s="15"/>
      <c r="E1329" s="15"/>
      <c r="F1329" s="15"/>
      <c r="G1329" s="15"/>
      <c r="H1329" s="15"/>
      <c r="I1329" s="15"/>
      <c r="J1329" s="15"/>
      <c r="K1329" s="15"/>
      <c r="L1329" s="15"/>
      <c r="M1329" s="15"/>
      <c r="N1329" s="15"/>
      <c r="O1329" s="15"/>
      <c r="P1329" s="15"/>
    </row>
    <row r="1330" spans="1:16" x14ac:dyDescent="0.25">
      <c r="A1330" s="15"/>
      <c r="B1330" s="15"/>
      <c r="C1330" s="15"/>
      <c r="D1330" s="15"/>
      <c r="E1330" s="15"/>
      <c r="F1330" s="15"/>
      <c r="G1330" s="15"/>
      <c r="H1330" s="15"/>
      <c r="I1330" s="15"/>
      <c r="J1330" s="15"/>
      <c r="K1330" s="15"/>
      <c r="L1330" s="15"/>
      <c r="M1330" s="15"/>
      <c r="N1330" s="15"/>
      <c r="O1330" s="15"/>
      <c r="P1330" s="15"/>
    </row>
    <row r="1331" spans="1:16" x14ac:dyDescent="0.25">
      <c r="A1331" s="15"/>
      <c r="B1331" s="15"/>
      <c r="C1331" s="15"/>
      <c r="D1331" s="15"/>
      <c r="E1331" s="15"/>
      <c r="F1331" s="15"/>
      <c r="G1331" s="15"/>
      <c r="H1331" s="15"/>
      <c r="I1331" s="15"/>
      <c r="J1331" s="15"/>
      <c r="K1331" s="15"/>
      <c r="L1331" s="15"/>
      <c r="M1331" s="15"/>
      <c r="N1331" s="15"/>
      <c r="O1331" s="15"/>
      <c r="P1331" s="15"/>
    </row>
    <row r="1332" spans="1:16" x14ac:dyDescent="0.25">
      <c r="A1332" s="15"/>
      <c r="B1332" s="15"/>
      <c r="C1332" s="15"/>
      <c r="D1332" s="15"/>
      <c r="E1332" s="15"/>
      <c r="F1332" s="15"/>
      <c r="G1332" s="15"/>
      <c r="H1332" s="15"/>
      <c r="I1332" s="15"/>
      <c r="J1332" s="15"/>
      <c r="K1332" s="15"/>
      <c r="L1332" s="15"/>
      <c r="M1332" s="15"/>
      <c r="N1332" s="15"/>
      <c r="O1332" s="15"/>
      <c r="P1332" s="15"/>
    </row>
    <row r="1333" spans="1:16" x14ac:dyDescent="0.25">
      <c r="A1333" s="15"/>
      <c r="B1333" s="15"/>
      <c r="C1333" s="15"/>
      <c r="D1333" s="15"/>
      <c r="E1333" s="15"/>
      <c r="F1333" s="15"/>
      <c r="G1333" s="15"/>
      <c r="H1333" s="15"/>
      <c r="I1333" s="15"/>
      <c r="J1333" s="15"/>
      <c r="K1333" s="15"/>
      <c r="L1333" s="15"/>
      <c r="M1333" s="15"/>
      <c r="N1333" s="15"/>
      <c r="O1333" s="15"/>
      <c r="P1333" s="15"/>
    </row>
    <row r="1334" spans="1:16" x14ac:dyDescent="0.25">
      <c r="A1334" s="15"/>
      <c r="B1334" s="15"/>
      <c r="C1334" s="15"/>
      <c r="D1334" s="15"/>
      <c r="E1334" s="15"/>
      <c r="F1334" s="15"/>
      <c r="G1334" s="15"/>
      <c r="H1334" s="15"/>
      <c r="I1334" s="15"/>
      <c r="J1334" s="15"/>
      <c r="K1334" s="15"/>
      <c r="L1334" s="15"/>
      <c r="M1334" s="15"/>
      <c r="N1334" s="15"/>
      <c r="O1334" s="15"/>
      <c r="P1334" s="15"/>
    </row>
    <row r="1335" spans="1:16" x14ac:dyDescent="0.25">
      <c r="A1335" s="15"/>
      <c r="B1335" s="15"/>
      <c r="C1335" s="15"/>
      <c r="D1335" s="15"/>
      <c r="E1335" s="15"/>
      <c r="F1335" s="15"/>
      <c r="G1335" s="15"/>
      <c r="H1335" s="15"/>
      <c r="I1335" s="15"/>
      <c r="J1335" s="15"/>
      <c r="K1335" s="15"/>
      <c r="L1335" s="15"/>
      <c r="M1335" s="15"/>
      <c r="N1335" s="15"/>
      <c r="O1335" s="15"/>
      <c r="P1335" s="15"/>
    </row>
    <row r="1336" spans="1:16" x14ac:dyDescent="0.25">
      <c r="A1336" s="15"/>
      <c r="B1336" s="15"/>
      <c r="C1336" s="15"/>
      <c r="D1336" s="15"/>
      <c r="E1336" s="15"/>
      <c r="F1336" s="15"/>
      <c r="G1336" s="15"/>
      <c r="H1336" s="15"/>
      <c r="I1336" s="15"/>
      <c r="J1336" s="15"/>
      <c r="K1336" s="15"/>
      <c r="L1336" s="15"/>
      <c r="M1336" s="15"/>
      <c r="N1336" s="15"/>
      <c r="O1336" s="15"/>
      <c r="P1336" s="15"/>
    </row>
    <row r="1337" spans="1:16" x14ac:dyDescent="0.25">
      <c r="A1337" s="15"/>
      <c r="B1337" s="15"/>
      <c r="C1337" s="15"/>
      <c r="D1337" s="15"/>
      <c r="E1337" s="15"/>
      <c r="F1337" s="15"/>
      <c r="G1337" s="15"/>
      <c r="H1337" s="15"/>
      <c r="I1337" s="15"/>
      <c r="J1337" s="15"/>
      <c r="K1337" s="15"/>
      <c r="L1337" s="15"/>
      <c r="M1337" s="15"/>
      <c r="N1337" s="15"/>
      <c r="O1337" s="15"/>
      <c r="P1337" s="15"/>
    </row>
    <row r="1338" spans="1:16" x14ac:dyDescent="0.25">
      <c r="A1338" s="15"/>
      <c r="B1338" s="15"/>
      <c r="C1338" s="15"/>
      <c r="D1338" s="15"/>
      <c r="E1338" s="15"/>
      <c r="F1338" s="15"/>
      <c r="G1338" s="15"/>
      <c r="H1338" s="15"/>
      <c r="I1338" s="15"/>
      <c r="J1338" s="15"/>
      <c r="K1338" s="15"/>
      <c r="L1338" s="15"/>
      <c r="M1338" s="15"/>
      <c r="N1338" s="15"/>
      <c r="O1338" s="15"/>
      <c r="P1338" s="15"/>
    </row>
    <row r="1339" spans="1:16" x14ac:dyDescent="0.25">
      <c r="A1339" s="15"/>
      <c r="B1339" s="15"/>
      <c r="C1339" s="15"/>
      <c r="D1339" s="15"/>
      <c r="E1339" s="15"/>
      <c r="F1339" s="15"/>
      <c r="G1339" s="15"/>
      <c r="H1339" s="15"/>
      <c r="I1339" s="15"/>
      <c r="J1339" s="15"/>
      <c r="K1339" s="15"/>
      <c r="L1339" s="15"/>
      <c r="M1339" s="15"/>
      <c r="N1339" s="15"/>
      <c r="O1339" s="15"/>
      <c r="P1339" s="15"/>
    </row>
    <row r="1340" spans="1:16" x14ac:dyDescent="0.25">
      <c r="A1340" s="15"/>
      <c r="B1340" s="15"/>
      <c r="C1340" s="15"/>
      <c r="D1340" s="15"/>
      <c r="E1340" s="15"/>
      <c r="F1340" s="15"/>
      <c r="G1340" s="15"/>
      <c r="H1340" s="15"/>
      <c r="I1340" s="15"/>
      <c r="J1340" s="15"/>
      <c r="K1340" s="15"/>
      <c r="L1340" s="15"/>
      <c r="M1340" s="15"/>
      <c r="N1340" s="15"/>
      <c r="O1340" s="15"/>
      <c r="P1340" s="15"/>
    </row>
    <row r="1341" spans="1:16" x14ac:dyDescent="0.25">
      <c r="A1341" s="15"/>
      <c r="B1341" s="15"/>
      <c r="C1341" s="15"/>
      <c r="D1341" s="15"/>
      <c r="E1341" s="15"/>
      <c r="F1341" s="15"/>
      <c r="G1341" s="15"/>
      <c r="H1341" s="15"/>
      <c r="I1341" s="15"/>
      <c r="J1341" s="15"/>
      <c r="K1341" s="15"/>
      <c r="L1341" s="15"/>
      <c r="M1341" s="15"/>
      <c r="N1341" s="15"/>
      <c r="O1341" s="15"/>
      <c r="P1341" s="15"/>
    </row>
    <row r="1342" spans="1:16" x14ac:dyDescent="0.25">
      <c r="A1342" s="15"/>
      <c r="B1342" s="15"/>
      <c r="C1342" s="15"/>
      <c r="D1342" s="15"/>
      <c r="E1342" s="15"/>
      <c r="F1342" s="15"/>
      <c r="G1342" s="15"/>
      <c r="H1342" s="15"/>
      <c r="I1342" s="15"/>
      <c r="J1342" s="15"/>
      <c r="K1342" s="15"/>
      <c r="L1342" s="15"/>
      <c r="M1342" s="15"/>
      <c r="N1342" s="15"/>
      <c r="O1342" s="15"/>
      <c r="P1342" s="15"/>
    </row>
    <row r="1343" spans="1:16" x14ac:dyDescent="0.25">
      <c r="A1343" s="15"/>
      <c r="B1343" s="15"/>
      <c r="C1343" s="15"/>
      <c r="D1343" s="15"/>
      <c r="E1343" s="15"/>
      <c r="F1343" s="15"/>
      <c r="G1343" s="15"/>
      <c r="H1343" s="15"/>
      <c r="I1343" s="15"/>
      <c r="J1343" s="15"/>
      <c r="K1343" s="15"/>
      <c r="L1343" s="15"/>
      <c r="M1343" s="15"/>
      <c r="N1343" s="15"/>
      <c r="O1343" s="15"/>
      <c r="P1343" s="15"/>
    </row>
    <row r="1344" spans="1:16" x14ac:dyDescent="0.25">
      <c r="A1344" s="15"/>
      <c r="B1344" s="15"/>
      <c r="C1344" s="15"/>
      <c r="D1344" s="15"/>
      <c r="E1344" s="15"/>
      <c r="F1344" s="15"/>
      <c r="G1344" s="15"/>
      <c r="H1344" s="15"/>
      <c r="I1344" s="15"/>
      <c r="J1344" s="15"/>
      <c r="K1344" s="15"/>
      <c r="L1344" s="15"/>
      <c r="M1344" s="15"/>
      <c r="N1344" s="15"/>
      <c r="O1344" s="15"/>
      <c r="P1344" s="15"/>
    </row>
    <row r="1345" spans="1:16" x14ac:dyDescent="0.25">
      <c r="A1345" s="15"/>
      <c r="B1345" s="15"/>
      <c r="C1345" s="15"/>
      <c r="D1345" s="15"/>
      <c r="E1345" s="15"/>
      <c r="F1345" s="15"/>
      <c r="G1345" s="15"/>
      <c r="H1345" s="15"/>
      <c r="I1345" s="15"/>
      <c r="J1345" s="15"/>
      <c r="K1345" s="15"/>
      <c r="L1345" s="15"/>
      <c r="M1345" s="15"/>
      <c r="N1345" s="15"/>
      <c r="O1345" s="15"/>
      <c r="P1345" s="15"/>
    </row>
    <row r="1346" spans="1:16" x14ac:dyDescent="0.25">
      <c r="A1346" s="15"/>
      <c r="B1346" s="15"/>
      <c r="C1346" s="15"/>
      <c r="D1346" s="15"/>
      <c r="E1346" s="15"/>
      <c r="F1346" s="15"/>
      <c r="G1346" s="15"/>
      <c r="H1346" s="15"/>
      <c r="I1346" s="15"/>
      <c r="J1346" s="15"/>
      <c r="K1346" s="15"/>
      <c r="L1346" s="15"/>
      <c r="M1346" s="15"/>
      <c r="N1346" s="15"/>
      <c r="O1346" s="15"/>
      <c r="P1346" s="15"/>
    </row>
    <row r="1347" spans="1:16" x14ac:dyDescent="0.25">
      <c r="A1347" s="15"/>
      <c r="B1347" s="15"/>
      <c r="C1347" s="15"/>
      <c r="D1347" s="15"/>
      <c r="E1347" s="15"/>
      <c r="F1347" s="15"/>
      <c r="G1347" s="15"/>
      <c r="H1347" s="15"/>
      <c r="I1347" s="15"/>
      <c r="J1347" s="15"/>
      <c r="K1347" s="15"/>
      <c r="L1347" s="15"/>
      <c r="M1347" s="15"/>
      <c r="N1347" s="15"/>
      <c r="O1347" s="15"/>
      <c r="P1347" s="15"/>
    </row>
    <row r="1348" spans="1:16" x14ac:dyDescent="0.25">
      <c r="A1348" s="15"/>
      <c r="B1348" s="15"/>
      <c r="C1348" s="15"/>
      <c r="D1348" s="15"/>
      <c r="E1348" s="15"/>
      <c r="F1348" s="15"/>
      <c r="G1348" s="15"/>
      <c r="H1348" s="15"/>
      <c r="I1348" s="15"/>
      <c r="J1348" s="15"/>
      <c r="K1348" s="15"/>
      <c r="L1348" s="15"/>
      <c r="M1348" s="15"/>
      <c r="N1348" s="15"/>
      <c r="O1348" s="15"/>
      <c r="P1348" s="15"/>
    </row>
    <row r="1349" spans="1:16" x14ac:dyDescent="0.25">
      <c r="A1349" s="15"/>
      <c r="B1349" s="15"/>
      <c r="C1349" s="15"/>
      <c r="D1349" s="15"/>
      <c r="E1349" s="15"/>
      <c r="F1349" s="15"/>
      <c r="G1349" s="15"/>
      <c r="H1349" s="15"/>
      <c r="I1349" s="15"/>
      <c r="J1349" s="15"/>
      <c r="K1349" s="15"/>
      <c r="L1349" s="15"/>
      <c r="M1349" s="15"/>
      <c r="N1349" s="15"/>
      <c r="O1349" s="15"/>
      <c r="P1349" s="15"/>
    </row>
    <row r="1350" spans="1:16" x14ac:dyDescent="0.25">
      <c r="A1350" s="15"/>
      <c r="B1350" s="15"/>
      <c r="C1350" s="15"/>
      <c r="D1350" s="15"/>
      <c r="E1350" s="15"/>
      <c r="F1350" s="15"/>
      <c r="G1350" s="15"/>
      <c r="H1350" s="15"/>
      <c r="I1350" s="15"/>
      <c r="J1350" s="15"/>
      <c r="K1350" s="15"/>
      <c r="L1350" s="15"/>
      <c r="M1350" s="15"/>
      <c r="N1350" s="15"/>
      <c r="O1350" s="15"/>
      <c r="P1350" s="15"/>
    </row>
    <row r="1351" spans="1:16" x14ac:dyDescent="0.25">
      <c r="A1351" s="15"/>
      <c r="B1351" s="15"/>
      <c r="C1351" s="15"/>
      <c r="D1351" s="15"/>
      <c r="E1351" s="15"/>
      <c r="F1351" s="15"/>
      <c r="G1351" s="15"/>
      <c r="H1351" s="15"/>
      <c r="I1351" s="15"/>
      <c r="J1351" s="15"/>
      <c r="K1351" s="15"/>
      <c r="L1351" s="15"/>
      <c r="M1351" s="15"/>
      <c r="N1351" s="15"/>
      <c r="O1351" s="15"/>
      <c r="P1351" s="15"/>
    </row>
    <row r="1352" spans="1:16" x14ac:dyDescent="0.25">
      <c r="A1352" s="15"/>
      <c r="B1352" s="15"/>
      <c r="C1352" s="15"/>
      <c r="D1352" s="15"/>
      <c r="E1352" s="15"/>
      <c r="F1352" s="15"/>
      <c r="G1352" s="15"/>
      <c r="H1352" s="15"/>
      <c r="I1352" s="15"/>
      <c r="J1352" s="15"/>
      <c r="K1352" s="15"/>
      <c r="L1352" s="15"/>
      <c r="M1352" s="15"/>
      <c r="N1352" s="15"/>
      <c r="O1352" s="15"/>
      <c r="P1352" s="15"/>
    </row>
    <row r="1353" spans="1:16" x14ac:dyDescent="0.25">
      <c r="A1353" s="15"/>
      <c r="B1353" s="15"/>
      <c r="C1353" s="15"/>
      <c r="D1353" s="15"/>
      <c r="E1353" s="15"/>
      <c r="F1353" s="15"/>
      <c r="G1353" s="15"/>
      <c r="H1353" s="15"/>
      <c r="I1353" s="15"/>
      <c r="J1353" s="15"/>
      <c r="K1353" s="15"/>
      <c r="L1353" s="15"/>
      <c r="M1353" s="15"/>
      <c r="N1353" s="15"/>
      <c r="O1353" s="15"/>
      <c r="P1353" s="15"/>
    </row>
    <row r="1354" spans="1:16" x14ac:dyDescent="0.25">
      <c r="A1354" s="15"/>
      <c r="B1354" s="15"/>
      <c r="C1354" s="15"/>
      <c r="D1354" s="15"/>
      <c r="E1354" s="15"/>
      <c r="F1354" s="15"/>
      <c r="G1354" s="15"/>
      <c r="H1354" s="15"/>
      <c r="I1354" s="15"/>
      <c r="J1354" s="15"/>
      <c r="K1354" s="15"/>
      <c r="L1354" s="15"/>
      <c r="M1354" s="15"/>
      <c r="N1354" s="15"/>
      <c r="O1354" s="15"/>
      <c r="P1354" s="15"/>
    </row>
    <row r="1355" spans="1:16" x14ac:dyDescent="0.25">
      <c r="A1355" s="15"/>
      <c r="B1355" s="15"/>
      <c r="C1355" s="15"/>
      <c r="D1355" s="15"/>
      <c r="E1355" s="15"/>
      <c r="F1355" s="15"/>
      <c r="G1355" s="15"/>
      <c r="H1355" s="15"/>
      <c r="I1355" s="15"/>
      <c r="J1355" s="15"/>
      <c r="K1355" s="15"/>
      <c r="L1355" s="15"/>
      <c r="M1355" s="15"/>
      <c r="N1355" s="15"/>
      <c r="O1355" s="15"/>
      <c r="P1355" s="15"/>
    </row>
    <row r="1356" spans="1:16" x14ac:dyDescent="0.25">
      <c r="A1356" s="15"/>
      <c r="B1356" s="15"/>
      <c r="C1356" s="15"/>
      <c r="D1356" s="15"/>
      <c r="E1356" s="15"/>
      <c r="F1356" s="15"/>
      <c r="G1356" s="15"/>
      <c r="H1356" s="15"/>
      <c r="I1356" s="15"/>
      <c r="J1356" s="15"/>
      <c r="K1356" s="15"/>
      <c r="L1356" s="15"/>
      <c r="M1356" s="15"/>
      <c r="N1356" s="15"/>
      <c r="O1356" s="15"/>
      <c r="P1356" s="15"/>
    </row>
    <row r="1357" spans="1:16" x14ac:dyDescent="0.25">
      <c r="A1357" s="15"/>
      <c r="B1357" s="15"/>
      <c r="C1357" s="15"/>
      <c r="D1357" s="15"/>
      <c r="E1357" s="15"/>
      <c r="F1357" s="15"/>
      <c r="G1357" s="15"/>
      <c r="H1357" s="15"/>
      <c r="I1357" s="15"/>
      <c r="J1357" s="15"/>
      <c r="K1357" s="15"/>
      <c r="L1357" s="15"/>
      <c r="M1357" s="15"/>
      <c r="N1357" s="15"/>
      <c r="O1357" s="15"/>
      <c r="P1357" s="15"/>
    </row>
    <row r="1358" spans="1:16" x14ac:dyDescent="0.25">
      <c r="A1358" s="15"/>
      <c r="B1358" s="15"/>
      <c r="C1358" s="15"/>
      <c r="D1358" s="15"/>
      <c r="E1358" s="15"/>
      <c r="F1358" s="15"/>
      <c r="G1358" s="15"/>
      <c r="H1358" s="15"/>
      <c r="I1358" s="15"/>
      <c r="J1358" s="15"/>
      <c r="K1358" s="15"/>
      <c r="L1358" s="15"/>
      <c r="M1358" s="15"/>
      <c r="N1358" s="15"/>
      <c r="O1358" s="15"/>
      <c r="P1358" s="15"/>
    </row>
    <row r="1359" spans="1:16" x14ac:dyDescent="0.25">
      <c r="A1359" s="15"/>
      <c r="B1359" s="15"/>
      <c r="C1359" s="15"/>
      <c r="D1359" s="15"/>
      <c r="E1359" s="15"/>
      <c r="F1359" s="15"/>
      <c r="G1359" s="15"/>
      <c r="H1359" s="15"/>
      <c r="I1359" s="15"/>
      <c r="J1359" s="15"/>
      <c r="K1359" s="15"/>
      <c r="L1359" s="15"/>
      <c r="M1359" s="15"/>
      <c r="N1359" s="15"/>
      <c r="O1359" s="15"/>
      <c r="P1359" s="15"/>
    </row>
    <row r="1360" spans="1:16" x14ac:dyDescent="0.25">
      <c r="A1360" s="15"/>
      <c r="B1360" s="15"/>
      <c r="C1360" s="15"/>
      <c r="D1360" s="15"/>
      <c r="E1360" s="15"/>
      <c r="F1360" s="15"/>
      <c r="G1360" s="15"/>
      <c r="H1360" s="15"/>
      <c r="I1360" s="15"/>
      <c r="J1360" s="15"/>
      <c r="K1360" s="15"/>
      <c r="L1360" s="15"/>
      <c r="M1360" s="15"/>
      <c r="N1360" s="15"/>
      <c r="O1360" s="15"/>
      <c r="P1360" s="15"/>
    </row>
    <row r="1361" spans="1:16" x14ac:dyDescent="0.25">
      <c r="A1361" s="15"/>
      <c r="B1361" s="15"/>
      <c r="C1361" s="15"/>
      <c r="D1361" s="15"/>
      <c r="E1361" s="15"/>
      <c r="F1361" s="15"/>
      <c r="G1361" s="15"/>
      <c r="H1361" s="15"/>
      <c r="I1361" s="15"/>
      <c r="J1361" s="15"/>
      <c r="K1361" s="15"/>
      <c r="L1361" s="15"/>
      <c r="M1361" s="15"/>
      <c r="N1361" s="15"/>
      <c r="O1361" s="15"/>
      <c r="P1361" s="15"/>
    </row>
    <row r="1362" spans="1:16" x14ac:dyDescent="0.25">
      <c r="A1362" s="15"/>
      <c r="B1362" s="15"/>
      <c r="C1362" s="15"/>
      <c r="D1362" s="15"/>
      <c r="E1362" s="15"/>
      <c r="F1362" s="15"/>
      <c r="G1362" s="15"/>
      <c r="H1362" s="15"/>
      <c r="I1362" s="15"/>
      <c r="J1362" s="15"/>
      <c r="K1362" s="15"/>
      <c r="L1362" s="15"/>
      <c r="M1362" s="15"/>
      <c r="N1362" s="15"/>
      <c r="O1362" s="15"/>
      <c r="P1362" s="15"/>
    </row>
    <row r="1363" spans="1:16" x14ac:dyDescent="0.25">
      <c r="A1363" s="15"/>
      <c r="B1363" s="15"/>
      <c r="C1363" s="15"/>
      <c r="D1363" s="15"/>
      <c r="E1363" s="15"/>
      <c r="F1363" s="15"/>
      <c r="G1363" s="15"/>
      <c r="H1363" s="15"/>
      <c r="I1363" s="15"/>
      <c r="J1363" s="15"/>
      <c r="K1363" s="15"/>
      <c r="L1363" s="15"/>
      <c r="M1363" s="15"/>
      <c r="N1363" s="15"/>
      <c r="O1363" s="15"/>
      <c r="P1363" s="15"/>
    </row>
    <row r="1364" spans="1:16" x14ac:dyDescent="0.25">
      <c r="A1364" s="15"/>
      <c r="B1364" s="15"/>
      <c r="C1364" s="15"/>
      <c r="D1364" s="15"/>
      <c r="E1364" s="15"/>
      <c r="F1364" s="15"/>
      <c r="G1364" s="15"/>
      <c r="H1364" s="15"/>
      <c r="I1364" s="15"/>
      <c r="J1364" s="15"/>
      <c r="K1364" s="15"/>
      <c r="L1364" s="15"/>
      <c r="M1364" s="15"/>
      <c r="N1364" s="15"/>
      <c r="O1364" s="15"/>
      <c r="P1364" s="15"/>
    </row>
    <row r="1365" spans="1:16" x14ac:dyDescent="0.25">
      <c r="A1365" s="15"/>
      <c r="B1365" s="15"/>
      <c r="C1365" s="15"/>
      <c r="D1365" s="15"/>
      <c r="E1365" s="15"/>
      <c r="F1365" s="15"/>
      <c r="G1365" s="15"/>
      <c r="H1365" s="15"/>
      <c r="I1365" s="15"/>
      <c r="J1365" s="15"/>
      <c r="K1365" s="15"/>
      <c r="L1365" s="15"/>
      <c r="M1365" s="15"/>
      <c r="N1365" s="15"/>
      <c r="O1365" s="15"/>
      <c r="P1365" s="15"/>
    </row>
    <row r="1366" spans="1:16" x14ac:dyDescent="0.25">
      <c r="A1366" s="15"/>
      <c r="B1366" s="15"/>
      <c r="C1366" s="15"/>
      <c r="D1366" s="15"/>
      <c r="E1366" s="15"/>
      <c r="F1366" s="15"/>
      <c r="G1366" s="15"/>
      <c r="H1366" s="15"/>
      <c r="I1366" s="15"/>
      <c r="J1366" s="15"/>
      <c r="K1366" s="15"/>
      <c r="L1366" s="15"/>
      <c r="M1366" s="15"/>
      <c r="N1366" s="15"/>
      <c r="O1366" s="15"/>
      <c r="P1366" s="15"/>
    </row>
    <row r="1367" spans="1:16" x14ac:dyDescent="0.25">
      <c r="A1367" s="15"/>
      <c r="B1367" s="15"/>
      <c r="C1367" s="15"/>
      <c r="D1367" s="15"/>
      <c r="E1367" s="15"/>
      <c r="F1367" s="15"/>
      <c r="G1367" s="15"/>
      <c r="H1367" s="15"/>
      <c r="I1367" s="15"/>
      <c r="J1367" s="15"/>
      <c r="K1367" s="15"/>
      <c r="L1367" s="15"/>
      <c r="M1367" s="15"/>
      <c r="N1367" s="15"/>
      <c r="O1367" s="15"/>
      <c r="P1367" s="15"/>
    </row>
    <row r="1368" spans="1:16" x14ac:dyDescent="0.25">
      <c r="A1368" s="15"/>
      <c r="B1368" s="15"/>
      <c r="C1368" s="15"/>
      <c r="D1368" s="15"/>
      <c r="E1368" s="15"/>
      <c r="F1368" s="15"/>
      <c r="G1368" s="15"/>
      <c r="H1368" s="15"/>
      <c r="I1368" s="15"/>
      <c r="J1368" s="15"/>
      <c r="K1368" s="15"/>
      <c r="L1368" s="15"/>
      <c r="M1368" s="15"/>
      <c r="N1368" s="15"/>
      <c r="O1368" s="15"/>
      <c r="P1368" s="15"/>
    </row>
    <row r="1369" spans="1:16" x14ac:dyDescent="0.25">
      <c r="A1369" s="15"/>
      <c r="B1369" s="15"/>
      <c r="C1369" s="15"/>
      <c r="D1369" s="15"/>
      <c r="E1369" s="15"/>
      <c r="F1369" s="15"/>
      <c r="G1369" s="15"/>
      <c r="H1369" s="15"/>
      <c r="I1369" s="15"/>
      <c r="J1369" s="15"/>
      <c r="K1369" s="15"/>
      <c r="L1369" s="15"/>
      <c r="M1369" s="15"/>
      <c r="N1369" s="15"/>
      <c r="O1369" s="15"/>
      <c r="P1369" s="15"/>
    </row>
    <row r="1370" spans="1:16" x14ac:dyDescent="0.25">
      <c r="A1370" s="15"/>
      <c r="B1370" s="15"/>
      <c r="C1370" s="15"/>
      <c r="D1370" s="15"/>
      <c r="E1370" s="15"/>
      <c r="F1370" s="15"/>
      <c r="G1370" s="15"/>
      <c r="H1370" s="15"/>
      <c r="I1370" s="15"/>
      <c r="J1370" s="15"/>
      <c r="K1370" s="15"/>
      <c r="L1370" s="15"/>
      <c r="M1370" s="15"/>
      <c r="N1370" s="15"/>
      <c r="O1370" s="15"/>
      <c r="P1370" s="15"/>
    </row>
    <row r="1371" spans="1:16" x14ac:dyDescent="0.25">
      <c r="A1371" s="15"/>
      <c r="B1371" s="15"/>
      <c r="C1371" s="15"/>
      <c r="D1371" s="15"/>
      <c r="E1371" s="15"/>
      <c r="F1371" s="15"/>
      <c r="G1371" s="15"/>
      <c r="H1371" s="15"/>
      <c r="I1371" s="15"/>
      <c r="J1371" s="15"/>
      <c r="K1371" s="15"/>
      <c r="L1371" s="15"/>
      <c r="M1371" s="15"/>
      <c r="N1371" s="15"/>
      <c r="O1371" s="15"/>
      <c r="P1371" s="15"/>
    </row>
    <row r="1372" spans="1:16" x14ac:dyDescent="0.25">
      <c r="A1372" s="15"/>
      <c r="B1372" s="15"/>
      <c r="C1372" s="15"/>
      <c r="D1372" s="15"/>
      <c r="E1372" s="15"/>
      <c r="F1372" s="15"/>
      <c r="G1372" s="15"/>
      <c r="H1372" s="15"/>
      <c r="I1372" s="15"/>
      <c r="J1372" s="15"/>
      <c r="K1372" s="15"/>
      <c r="L1372" s="15"/>
      <c r="M1372" s="15"/>
      <c r="N1372" s="15"/>
      <c r="O1372" s="15"/>
      <c r="P1372" s="15"/>
    </row>
    <row r="1373" spans="1:16" x14ac:dyDescent="0.25">
      <c r="A1373" s="15"/>
      <c r="B1373" s="15"/>
      <c r="C1373" s="15"/>
      <c r="D1373" s="15"/>
      <c r="E1373" s="15"/>
      <c r="F1373" s="15"/>
      <c r="G1373" s="15"/>
      <c r="H1373" s="15"/>
      <c r="I1373" s="15"/>
      <c r="J1373" s="15"/>
      <c r="K1373" s="15"/>
      <c r="L1373" s="15"/>
      <c r="M1373" s="15"/>
      <c r="N1373" s="15"/>
      <c r="O1373" s="15"/>
      <c r="P1373" s="15"/>
    </row>
    <row r="1374" spans="1:16" x14ac:dyDescent="0.25">
      <c r="A1374" s="15"/>
      <c r="B1374" s="15"/>
      <c r="C1374" s="15"/>
      <c r="D1374" s="15"/>
      <c r="E1374" s="15"/>
      <c r="F1374" s="15"/>
      <c r="G1374" s="15"/>
      <c r="H1374" s="15"/>
      <c r="I1374" s="15"/>
      <c r="J1374" s="15"/>
      <c r="K1374" s="15"/>
      <c r="L1374" s="15"/>
      <c r="M1374" s="15"/>
      <c r="N1374" s="15"/>
      <c r="O1374" s="15"/>
      <c r="P1374" s="15"/>
    </row>
    <row r="1375" spans="1:16" x14ac:dyDescent="0.25">
      <c r="A1375" s="15"/>
      <c r="B1375" s="15"/>
      <c r="C1375" s="15"/>
      <c r="D1375" s="15"/>
      <c r="E1375" s="15"/>
      <c r="F1375" s="15"/>
      <c r="G1375" s="15"/>
      <c r="H1375" s="15"/>
      <c r="I1375" s="15"/>
      <c r="J1375" s="15"/>
      <c r="K1375" s="15"/>
      <c r="L1375" s="15"/>
      <c r="M1375" s="15"/>
      <c r="N1375" s="15"/>
      <c r="O1375" s="15"/>
      <c r="P1375" s="15"/>
    </row>
    <row r="1376" spans="1:16" x14ac:dyDescent="0.25">
      <c r="A1376" s="15"/>
      <c r="B1376" s="15"/>
      <c r="C1376" s="15"/>
      <c r="D1376" s="15"/>
      <c r="E1376" s="15"/>
      <c r="F1376" s="15"/>
      <c r="G1376" s="15"/>
      <c r="H1376" s="15"/>
      <c r="I1376" s="15"/>
      <c r="J1376" s="15"/>
      <c r="K1376" s="15"/>
      <c r="L1376" s="15"/>
      <c r="M1376" s="15"/>
      <c r="N1376" s="15"/>
      <c r="O1376" s="15"/>
      <c r="P1376" s="15"/>
    </row>
    <row r="1377" spans="1:16" x14ac:dyDescent="0.25">
      <c r="A1377" s="15"/>
      <c r="B1377" s="15"/>
      <c r="C1377" s="15"/>
      <c r="D1377" s="15"/>
      <c r="E1377" s="15"/>
      <c r="F1377" s="15"/>
      <c r="G1377" s="15"/>
      <c r="H1377" s="15"/>
      <c r="I1377" s="15"/>
      <c r="J1377" s="15"/>
      <c r="K1377" s="15"/>
      <c r="L1377" s="15"/>
      <c r="M1377" s="15"/>
      <c r="N1377" s="15"/>
      <c r="O1377" s="15"/>
      <c r="P1377" s="15"/>
    </row>
    <row r="1378" spans="1:16" x14ac:dyDescent="0.25">
      <c r="A1378" s="15"/>
      <c r="B1378" s="15"/>
      <c r="C1378" s="15"/>
      <c r="D1378" s="15"/>
      <c r="E1378" s="15"/>
      <c r="F1378" s="15"/>
      <c r="G1378" s="15"/>
      <c r="H1378" s="15"/>
      <c r="I1378" s="15"/>
      <c r="J1378" s="15"/>
      <c r="K1378" s="15"/>
      <c r="L1378" s="15"/>
      <c r="M1378" s="15"/>
      <c r="N1378" s="15"/>
      <c r="O1378" s="15"/>
      <c r="P1378" s="15"/>
    </row>
    <row r="1379" spans="1:16" x14ac:dyDescent="0.25">
      <c r="A1379" s="15"/>
      <c r="B1379" s="15"/>
      <c r="C1379" s="15"/>
      <c r="D1379" s="15"/>
      <c r="E1379" s="15"/>
      <c r="F1379" s="15"/>
      <c r="G1379" s="15"/>
      <c r="H1379" s="15"/>
      <c r="I1379" s="15"/>
      <c r="J1379" s="15"/>
      <c r="K1379" s="15"/>
      <c r="L1379" s="15"/>
      <c r="M1379" s="15"/>
      <c r="N1379" s="15"/>
      <c r="O1379" s="15"/>
      <c r="P1379" s="15"/>
    </row>
    <row r="1380" spans="1:16" x14ac:dyDescent="0.25">
      <c r="A1380" s="15"/>
      <c r="B1380" s="15"/>
      <c r="C1380" s="15"/>
      <c r="D1380" s="15"/>
      <c r="E1380" s="15"/>
      <c r="F1380" s="15"/>
      <c r="G1380" s="15"/>
      <c r="H1380" s="15"/>
      <c r="I1380" s="15"/>
      <c r="J1380" s="15"/>
      <c r="K1380" s="15"/>
      <c r="L1380" s="15"/>
      <c r="M1380" s="15"/>
      <c r="N1380" s="15"/>
      <c r="O1380" s="15"/>
      <c r="P1380" s="15"/>
    </row>
    <row r="1381" spans="1:16" x14ac:dyDescent="0.25">
      <c r="A1381" s="15"/>
      <c r="B1381" s="15"/>
      <c r="C1381" s="15"/>
      <c r="D1381" s="15"/>
      <c r="E1381" s="15"/>
      <c r="F1381" s="15"/>
      <c r="G1381" s="15"/>
      <c r="H1381" s="15"/>
      <c r="I1381" s="15"/>
      <c r="J1381" s="15"/>
      <c r="K1381" s="15"/>
      <c r="L1381" s="15"/>
      <c r="M1381" s="15"/>
      <c r="N1381" s="15"/>
      <c r="O1381" s="15"/>
      <c r="P1381" s="15"/>
    </row>
    <row r="1382" spans="1:16" x14ac:dyDescent="0.25">
      <c r="A1382" s="15"/>
      <c r="B1382" s="15"/>
      <c r="C1382" s="15"/>
      <c r="D1382" s="15"/>
      <c r="E1382" s="15"/>
      <c r="F1382" s="15"/>
      <c r="G1382" s="15"/>
      <c r="H1382" s="15"/>
      <c r="I1382" s="15"/>
      <c r="J1382" s="15"/>
      <c r="K1382" s="15"/>
      <c r="L1382" s="15"/>
      <c r="M1382" s="15"/>
      <c r="N1382" s="15"/>
      <c r="O1382" s="15"/>
      <c r="P1382" s="15"/>
    </row>
    <row r="1383" spans="1:16" x14ac:dyDescent="0.25">
      <c r="A1383" s="15"/>
      <c r="B1383" s="15"/>
      <c r="C1383" s="15"/>
      <c r="D1383" s="15"/>
      <c r="E1383" s="15"/>
      <c r="F1383" s="15"/>
      <c r="G1383" s="15"/>
      <c r="H1383" s="15"/>
      <c r="I1383" s="15"/>
      <c r="J1383" s="15"/>
      <c r="K1383" s="15"/>
      <c r="L1383" s="15"/>
      <c r="M1383" s="15"/>
      <c r="N1383" s="15"/>
      <c r="O1383" s="15"/>
      <c r="P1383" s="15"/>
    </row>
    <row r="1384" spans="1:16" x14ac:dyDescent="0.25">
      <c r="A1384" s="15"/>
      <c r="B1384" s="15"/>
      <c r="C1384" s="15"/>
      <c r="D1384" s="15"/>
      <c r="E1384" s="15"/>
      <c r="F1384" s="15"/>
      <c r="G1384" s="15"/>
      <c r="H1384" s="15"/>
      <c r="I1384" s="15"/>
      <c r="J1384" s="15"/>
      <c r="K1384" s="15"/>
      <c r="L1384" s="15"/>
      <c r="M1384" s="15"/>
      <c r="N1384" s="15"/>
      <c r="O1384" s="15"/>
      <c r="P1384" s="15"/>
    </row>
    <row r="1385" spans="1:16" x14ac:dyDescent="0.25">
      <c r="A1385" s="15"/>
      <c r="B1385" s="15"/>
      <c r="C1385" s="15"/>
      <c r="D1385" s="15"/>
      <c r="E1385" s="15"/>
      <c r="F1385" s="15"/>
      <c r="G1385" s="15"/>
      <c r="H1385" s="15"/>
      <c r="I1385" s="15"/>
      <c r="J1385" s="15"/>
      <c r="K1385" s="15"/>
      <c r="L1385" s="15"/>
      <c r="M1385" s="15"/>
      <c r="N1385" s="15"/>
      <c r="O1385" s="15"/>
      <c r="P1385" s="15"/>
    </row>
    <row r="1386" spans="1:16" x14ac:dyDescent="0.25">
      <c r="A1386" s="15"/>
      <c r="B1386" s="15"/>
      <c r="C1386" s="15"/>
      <c r="D1386" s="15"/>
      <c r="E1386" s="15"/>
      <c r="F1386" s="15"/>
      <c r="G1386" s="15"/>
      <c r="H1386" s="15"/>
      <c r="I1386" s="15"/>
      <c r="J1386" s="15"/>
      <c r="K1386" s="15"/>
      <c r="L1386" s="15"/>
      <c r="M1386" s="15"/>
      <c r="N1386" s="15"/>
      <c r="O1386" s="15"/>
      <c r="P1386" s="15"/>
    </row>
    <row r="1387" spans="1:16" x14ac:dyDescent="0.25">
      <c r="A1387" s="15"/>
      <c r="B1387" s="15"/>
      <c r="C1387" s="15"/>
      <c r="D1387" s="15"/>
      <c r="E1387" s="15"/>
      <c r="F1387" s="15"/>
      <c r="G1387" s="15"/>
      <c r="H1387" s="15"/>
      <c r="I1387" s="15"/>
      <c r="J1387" s="15"/>
      <c r="K1387" s="15"/>
      <c r="L1387" s="15"/>
      <c r="M1387" s="15"/>
      <c r="N1387" s="15"/>
      <c r="O1387" s="15"/>
      <c r="P1387" s="15"/>
    </row>
    <row r="1388" spans="1:16" x14ac:dyDescent="0.25">
      <c r="A1388" s="15"/>
      <c r="B1388" s="15"/>
      <c r="C1388" s="15"/>
      <c r="D1388" s="15"/>
      <c r="E1388" s="15"/>
      <c r="F1388" s="15"/>
      <c r="G1388" s="15"/>
      <c r="H1388" s="15"/>
      <c r="I1388" s="15"/>
      <c r="J1388" s="15"/>
      <c r="K1388" s="15"/>
      <c r="L1388" s="15"/>
      <c r="M1388" s="15"/>
      <c r="N1388" s="15"/>
      <c r="O1388" s="15"/>
      <c r="P1388" s="15"/>
    </row>
    <row r="1389" spans="1:16" x14ac:dyDescent="0.25">
      <c r="A1389" s="15"/>
      <c r="B1389" s="15"/>
      <c r="C1389" s="15"/>
      <c r="D1389" s="15"/>
      <c r="E1389" s="15"/>
      <c r="F1389" s="15"/>
      <c r="G1389" s="15"/>
      <c r="H1389" s="15"/>
      <c r="I1389" s="15"/>
      <c r="J1389" s="15"/>
      <c r="K1389" s="15"/>
      <c r="L1389" s="15"/>
      <c r="M1389" s="15"/>
      <c r="N1389" s="15"/>
      <c r="O1389" s="15"/>
      <c r="P1389" s="15"/>
    </row>
    <row r="1390" spans="1:16" x14ac:dyDescent="0.25">
      <c r="A1390" s="15"/>
      <c r="B1390" s="15"/>
      <c r="C1390" s="15"/>
      <c r="D1390" s="15"/>
      <c r="E1390" s="15"/>
      <c r="F1390" s="15"/>
      <c r="G1390" s="15"/>
      <c r="H1390" s="15"/>
      <c r="I1390" s="15"/>
      <c r="J1390" s="15"/>
      <c r="K1390" s="15"/>
      <c r="L1390" s="15"/>
      <c r="M1390" s="15"/>
      <c r="N1390" s="15"/>
      <c r="O1390" s="15"/>
      <c r="P1390" s="15"/>
    </row>
    <row r="1391" spans="1:16" x14ac:dyDescent="0.25">
      <c r="A1391" s="15"/>
      <c r="B1391" s="15"/>
      <c r="C1391" s="15"/>
      <c r="D1391" s="15"/>
      <c r="E1391" s="15"/>
      <c r="F1391" s="15"/>
      <c r="G1391" s="15"/>
      <c r="H1391" s="15"/>
      <c r="I1391" s="15"/>
      <c r="J1391" s="15"/>
      <c r="K1391" s="15"/>
      <c r="L1391" s="15"/>
      <c r="M1391" s="15"/>
      <c r="N1391" s="15"/>
      <c r="O1391" s="15"/>
      <c r="P1391" s="15"/>
    </row>
    <row r="1392" spans="1:16" x14ac:dyDescent="0.25">
      <c r="A1392" s="15"/>
      <c r="B1392" s="15"/>
      <c r="C1392" s="15"/>
      <c r="D1392" s="15"/>
      <c r="E1392" s="15"/>
      <c r="F1392" s="15"/>
      <c r="G1392" s="15"/>
      <c r="H1392" s="15"/>
      <c r="I1392" s="15"/>
      <c r="J1392" s="15"/>
      <c r="K1392" s="15"/>
      <c r="L1392" s="15"/>
      <c r="M1392" s="15"/>
      <c r="N1392" s="15"/>
      <c r="O1392" s="15"/>
      <c r="P1392" s="15"/>
    </row>
    <row r="1393" spans="1:16" x14ac:dyDescent="0.25">
      <c r="A1393" s="15"/>
      <c r="B1393" s="15"/>
      <c r="C1393" s="15"/>
      <c r="D1393" s="15"/>
      <c r="E1393" s="15"/>
      <c r="F1393" s="15"/>
      <c r="G1393" s="15"/>
      <c r="H1393" s="15"/>
      <c r="I1393" s="15"/>
      <c r="J1393" s="15"/>
      <c r="K1393" s="15"/>
      <c r="L1393" s="15"/>
      <c r="M1393" s="15"/>
      <c r="N1393" s="15"/>
      <c r="O1393" s="15"/>
      <c r="P1393" s="15"/>
    </row>
    <row r="1394" spans="1:16" x14ac:dyDescent="0.25">
      <c r="A1394" s="15"/>
      <c r="B1394" s="15"/>
      <c r="C1394" s="15"/>
      <c r="D1394" s="15"/>
      <c r="E1394" s="15"/>
      <c r="F1394" s="15"/>
      <c r="G1394" s="15"/>
      <c r="H1394" s="15"/>
      <c r="I1394" s="15"/>
      <c r="J1394" s="15"/>
      <c r="K1394" s="15"/>
      <c r="L1394" s="15"/>
      <c r="M1394" s="15"/>
      <c r="N1394" s="15"/>
      <c r="O1394" s="15"/>
      <c r="P1394" s="15"/>
    </row>
    <row r="1395" spans="1:16" x14ac:dyDescent="0.25">
      <c r="A1395" s="15"/>
      <c r="B1395" s="15"/>
      <c r="C1395" s="15"/>
      <c r="D1395" s="15"/>
      <c r="E1395" s="15"/>
      <c r="F1395" s="15"/>
      <c r="G1395" s="15"/>
      <c r="H1395" s="15"/>
      <c r="I1395" s="15"/>
      <c r="J1395" s="15"/>
      <c r="K1395" s="15"/>
      <c r="L1395" s="15"/>
      <c r="M1395" s="15"/>
      <c r="N1395" s="15"/>
      <c r="O1395" s="15"/>
      <c r="P1395" s="15"/>
    </row>
    <row r="1396" spans="1:16" x14ac:dyDescent="0.25">
      <c r="A1396" s="15"/>
      <c r="B1396" s="15"/>
      <c r="C1396" s="15"/>
      <c r="D1396" s="15"/>
      <c r="E1396" s="15"/>
      <c r="F1396" s="15"/>
      <c r="G1396" s="15"/>
      <c r="H1396" s="15"/>
      <c r="I1396" s="15"/>
      <c r="J1396" s="15"/>
      <c r="K1396" s="15"/>
      <c r="L1396" s="15"/>
      <c r="M1396" s="15"/>
      <c r="N1396" s="15"/>
      <c r="O1396" s="15"/>
      <c r="P1396" s="15"/>
    </row>
    <row r="1397" spans="1:16" x14ac:dyDescent="0.25">
      <c r="A1397" s="15"/>
      <c r="B1397" s="15"/>
      <c r="C1397" s="15"/>
      <c r="D1397" s="15"/>
      <c r="E1397" s="15"/>
      <c r="F1397" s="15"/>
      <c r="G1397" s="15"/>
      <c r="H1397" s="15"/>
      <c r="I1397" s="15"/>
      <c r="J1397" s="15"/>
      <c r="K1397" s="15"/>
      <c r="L1397" s="15"/>
      <c r="M1397" s="15"/>
      <c r="N1397" s="15"/>
      <c r="O1397" s="15"/>
      <c r="P1397" s="15"/>
    </row>
    <row r="1398" spans="1:16" x14ac:dyDescent="0.25">
      <c r="A1398" s="15"/>
      <c r="B1398" s="15"/>
      <c r="C1398" s="15"/>
      <c r="D1398" s="15"/>
      <c r="E1398" s="15"/>
      <c r="F1398" s="15"/>
      <c r="G1398" s="15"/>
      <c r="H1398" s="15"/>
      <c r="I1398" s="15"/>
      <c r="J1398" s="15"/>
      <c r="K1398" s="15"/>
      <c r="L1398" s="15"/>
      <c r="M1398" s="15"/>
      <c r="N1398" s="15"/>
      <c r="O1398" s="15"/>
      <c r="P1398" s="15"/>
    </row>
    <row r="1399" spans="1:16" x14ac:dyDescent="0.25">
      <c r="A1399" s="15"/>
      <c r="B1399" s="15"/>
      <c r="C1399" s="15"/>
      <c r="D1399" s="15"/>
      <c r="E1399" s="15"/>
      <c r="F1399" s="15"/>
      <c r="G1399" s="15"/>
      <c r="H1399" s="15"/>
      <c r="I1399" s="15"/>
      <c r="J1399" s="15"/>
      <c r="K1399" s="15"/>
      <c r="L1399" s="15"/>
      <c r="M1399" s="15"/>
      <c r="N1399" s="15"/>
      <c r="O1399" s="15"/>
      <c r="P1399" s="15"/>
    </row>
    <row r="1400" spans="1:16" x14ac:dyDescent="0.25">
      <c r="A1400" s="15"/>
      <c r="B1400" s="15"/>
      <c r="C1400" s="15"/>
      <c r="D1400" s="15"/>
      <c r="E1400" s="15"/>
      <c r="F1400" s="15"/>
      <c r="G1400" s="15"/>
      <c r="H1400" s="15"/>
      <c r="I1400" s="15"/>
      <c r="J1400" s="15"/>
      <c r="K1400" s="15"/>
      <c r="L1400" s="15"/>
      <c r="M1400" s="15"/>
      <c r="N1400" s="15"/>
      <c r="O1400" s="15"/>
      <c r="P1400" s="15"/>
    </row>
    <row r="1401" spans="1:16" x14ac:dyDescent="0.25">
      <c r="A1401" s="15"/>
      <c r="B1401" s="15"/>
      <c r="C1401" s="15"/>
      <c r="D1401" s="15"/>
      <c r="E1401" s="15"/>
      <c r="F1401" s="15"/>
      <c r="G1401" s="15"/>
      <c r="H1401" s="15"/>
      <c r="I1401" s="15"/>
      <c r="J1401" s="15"/>
      <c r="K1401" s="15"/>
      <c r="L1401" s="15"/>
      <c r="M1401" s="15"/>
      <c r="N1401" s="15"/>
      <c r="O1401" s="15"/>
      <c r="P1401" s="15"/>
    </row>
    <row r="1402" spans="1:16" x14ac:dyDescent="0.25">
      <c r="A1402" s="15"/>
      <c r="B1402" s="15"/>
      <c r="C1402" s="15"/>
      <c r="D1402" s="15"/>
      <c r="E1402" s="15"/>
      <c r="F1402" s="15"/>
      <c r="G1402" s="15"/>
      <c r="H1402" s="15"/>
      <c r="I1402" s="15"/>
      <c r="J1402" s="15"/>
      <c r="K1402" s="15"/>
      <c r="L1402" s="15"/>
      <c r="M1402" s="15"/>
      <c r="N1402" s="15"/>
      <c r="O1402" s="15"/>
      <c r="P1402" s="15"/>
    </row>
    <row r="1403" spans="1:16" x14ac:dyDescent="0.25">
      <c r="A1403" s="15"/>
      <c r="B1403" s="15"/>
      <c r="C1403" s="15"/>
      <c r="D1403" s="15"/>
      <c r="E1403" s="15"/>
      <c r="F1403" s="15"/>
      <c r="G1403" s="15"/>
      <c r="H1403" s="15"/>
      <c r="I1403" s="15"/>
      <c r="J1403" s="15"/>
      <c r="K1403" s="15"/>
      <c r="L1403" s="15"/>
      <c r="M1403" s="15"/>
      <c r="N1403" s="15"/>
      <c r="O1403" s="15"/>
      <c r="P1403" s="15"/>
    </row>
    <row r="1404" spans="1:16" x14ac:dyDescent="0.25">
      <c r="A1404" s="15"/>
      <c r="B1404" s="15"/>
      <c r="C1404" s="15"/>
      <c r="D1404" s="15"/>
      <c r="E1404" s="15"/>
      <c r="F1404" s="15"/>
      <c r="G1404" s="15"/>
      <c r="H1404" s="15"/>
      <c r="I1404" s="15"/>
      <c r="J1404" s="15"/>
      <c r="K1404" s="15"/>
      <c r="L1404" s="15"/>
      <c r="M1404" s="15"/>
      <c r="N1404" s="15"/>
      <c r="O1404" s="15"/>
      <c r="P1404" s="15"/>
    </row>
    <row r="1405" spans="1:16" x14ac:dyDescent="0.25">
      <c r="A1405" s="15"/>
      <c r="B1405" s="15"/>
      <c r="C1405" s="15"/>
      <c r="D1405" s="15"/>
      <c r="E1405" s="15"/>
      <c r="F1405" s="15"/>
      <c r="G1405" s="15"/>
      <c r="H1405" s="15"/>
      <c r="I1405" s="15"/>
      <c r="J1405" s="15"/>
      <c r="K1405" s="15"/>
      <c r="L1405" s="15"/>
      <c r="M1405" s="15"/>
      <c r="N1405" s="15"/>
      <c r="O1405" s="15"/>
      <c r="P1405" s="15"/>
    </row>
    <row r="1406" spans="1:16" x14ac:dyDescent="0.25">
      <c r="A1406" s="15"/>
      <c r="B1406" s="15"/>
      <c r="C1406" s="15"/>
      <c r="D1406" s="15"/>
      <c r="E1406" s="15"/>
      <c r="F1406" s="15"/>
      <c r="G1406" s="15"/>
      <c r="H1406" s="15"/>
      <c r="I1406" s="15"/>
      <c r="J1406" s="15"/>
      <c r="K1406" s="15"/>
      <c r="L1406" s="15"/>
      <c r="M1406" s="15"/>
      <c r="N1406" s="15"/>
      <c r="O1406" s="15"/>
      <c r="P1406" s="15"/>
    </row>
    <row r="1407" spans="1:16" x14ac:dyDescent="0.25">
      <c r="A1407" s="15"/>
      <c r="B1407" s="15"/>
      <c r="C1407" s="15"/>
      <c r="D1407" s="15"/>
      <c r="E1407" s="15"/>
      <c r="F1407" s="15"/>
      <c r="G1407" s="15"/>
      <c r="H1407" s="15"/>
      <c r="I1407" s="15"/>
      <c r="J1407" s="15"/>
      <c r="K1407" s="15"/>
      <c r="L1407" s="15"/>
      <c r="M1407" s="15"/>
      <c r="N1407" s="15"/>
      <c r="O1407" s="15"/>
      <c r="P1407" s="15"/>
    </row>
    <row r="1408" spans="1:16" x14ac:dyDescent="0.25">
      <c r="A1408" s="15"/>
      <c r="B1408" s="15"/>
      <c r="C1408" s="15"/>
      <c r="D1408" s="15"/>
      <c r="E1408" s="15"/>
      <c r="F1408" s="15"/>
      <c r="G1408" s="15"/>
      <c r="H1408" s="15"/>
      <c r="I1408" s="15"/>
      <c r="J1408" s="15"/>
      <c r="K1408" s="15"/>
      <c r="L1408" s="15"/>
      <c r="M1408" s="15"/>
      <c r="N1408" s="15"/>
      <c r="O1408" s="15"/>
      <c r="P1408" s="15"/>
    </row>
    <row r="1409" spans="1:16" x14ac:dyDescent="0.25">
      <c r="A1409" s="15"/>
      <c r="B1409" s="15"/>
      <c r="C1409" s="15"/>
      <c r="D1409" s="15"/>
      <c r="E1409" s="15"/>
      <c r="F1409" s="15"/>
      <c r="G1409" s="15"/>
      <c r="H1409" s="15"/>
      <c r="I1409" s="15"/>
      <c r="J1409" s="15"/>
      <c r="K1409" s="15"/>
      <c r="L1409" s="15"/>
      <c r="M1409" s="15"/>
      <c r="N1409" s="15"/>
      <c r="O1409" s="15"/>
      <c r="P1409" s="15"/>
    </row>
    <row r="1410" spans="1:16" x14ac:dyDescent="0.25">
      <c r="A1410" s="15"/>
      <c r="B1410" s="15"/>
      <c r="C1410" s="15"/>
      <c r="D1410" s="15"/>
      <c r="E1410" s="15"/>
      <c r="F1410" s="15"/>
      <c r="G1410" s="15"/>
      <c r="H1410" s="15"/>
      <c r="I1410" s="15"/>
      <c r="J1410" s="15"/>
      <c r="K1410" s="15"/>
      <c r="L1410" s="15"/>
      <c r="M1410" s="15"/>
      <c r="N1410" s="15"/>
      <c r="O1410" s="15"/>
      <c r="P1410" s="15"/>
    </row>
    <row r="1411" spans="1:16" x14ac:dyDescent="0.25">
      <c r="A1411" s="15"/>
      <c r="B1411" s="15"/>
      <c r="C1411" s="15"/>
      <c r="D1411" s="15"/>
      <c r="E1411" s="15"/>
      <c r="F1411" s="15"/>
      <c r="G1411" s="15"/>
      <c r="H1411" s="15"/>
      <c r="I1411" s="15"/>
      <c r="J1411" s="15"/>
      <c r="K1411" s="15"/>
      <c r="L1411" s="15"/>
      <c r="M1411" s="15"/>
      <c r="N1411" s="15"/>
      <c r="O1411" s="15"/>
      <c r="P1411" s="15"/>
    </row>
    <row r="1412" spans="1:16" x14ac:dyDescent="0.25">
      <c r="A1412" s="15"/>
      <c r="B1412" s="15"/>
      <c r="C1412" s="15"/>
      <c r="D1412" s="15"/>
      <c r="E1412" s="15"/>
      <c r="F1412" s="15"/>
      <c r="G1412" s="15"/>
      <c r="H1412" s="15"/>
      <c r="I1412" s="15"/>
      <c r="J1412" s="15"/>
      <c r="K1412" s="15"/>
      <c r="L1412" s="15"/>
      <c r="M1412" s="15"/>
      <c r="N1412" s="15"/>
      <c r="O1412" s="15"/>
      <c r="P1412" s="15"/>
    </row>
    <row r="1413" spans="1:16" x14ac:dyDescent="0.25">
      <c r="A1413" s="15"/>
      <c r="B1413" s="15"/>
      <c r="C1413" s="15"/>
      <c r="D1413" s="15"/>
      <c r="E1413" s="15"/>
      <c r="F1413" s="15"/>
      <c r="G1413" s="15"/>
      <c r="H1413" s="15"/>
      <c r="I1413" s="15"/>
      <c r="J1413" s="15"/>
      <c r="K1413" s="15"/>
      <c r="L1413" s="15"/>
      <c r="M1413" s="15"/>
      <c r="N1413" s="15"/>
      <c r="O1413" s="15"/>
      <c r="P1413" s="15"/>
    </row>
    <row r="1414" spans="1:16" x14ac:dyDescent="0.25">
      <c r="A1414" s="15"/>
      <c r="B1414" s="15"/>
      <c r="C1414" s="15"/>
      <c r="D1414" s="15"/>
      <c r="E1414" s="15"/>
      <c r="F1414" s="15"/>
      <c r="G1414" s="15"/>
      <c r="H1414" s="15"/>
      <c r="I1414" s="15"/>
      <c r="J1414" s="15"/>
      <c r="K1414" s="15"/>
      <c r="L1414" s="15"/>
      <c r="M1414" s="15"/>
      <c r="N1414" s="15"/>
      <c r="O1414" s="15"/>
      <c r="P1414" s="15"/>
    </row>
    <row r="1415" spans="1:16" x14ac:dyDescent="0.25">
      <c r="A1415" s="15"/>
      <c r="B1415" s="15"/>
      <c r="C1415" s="15"/>
      <c r="D1415" s="15"/>
      <c r="E1415" s="15"/>
      <c r="F1415" s="15"/>
      <c r="G1415" s="15"/>
      <c r="H1415" s="15"/>
      <c r="I1415" s="15"/>
      <c r="J1415" s="15"/>
      <c r="K1415" s="15"/>
      <c r="L1415" s="15"/>
      <c r="M1415" s="15"/>
      <c r="N1415" s="15"/>
      <c r="O1415" s="15"/>
      <c r="P1415" s="15"/>
    </row>
    <row r="1416" spans="1:16" x14ac:dyDescent="0.25">
      <c r="A1416" s="15"/>
      <c r="B1416" s="15"/>
      <c r="C1416" s="15"/>
      <c r="D1416" s="15"/>
      <c r="E1416" s="15"/>
      <c r="F1416" s="15"/>
      <c r="G1416" s="15"/>
      <c r="H1416" s="15"/>
      <c r="I1416" s="15"/>
      <c r="J1416" s="15"/>
      <c r="K1416" s="15"/>
      <c r="L1416" s="15"/>
      <c r="M1416" s="15"/>
      <c r="N1416" s="15"/>
      <c r="O1416" s="15"/>
      <c r="P1416" s="15"/>
    </row>
    <row r="1417" spans="1:16" x14ac:dyDescent="0.25">
      <c r="A1417" s="15"/>
      <c r="B1417" s="15"/>
      <c r="C1417" s="15"/>
      <c r="D1417" s="15"/>
      <c r="E1417" s="15"/>
      <c r="F1417" s="15"/>
      <c r="G1417" s="15"/>
      <c r="H1417" s="15"/>
      <c r="I1417" s="15"/>
      <c r="J1417" s="15"/>
      <c r="K1417" s="15"/>
      <c r="L1417" s="15"/>
      <c r="M1417" s="15"/>
      <c r="N1417" s="15"/>
      <c r="O1417" s="15"/>
      <c r="P1417" s="15"/>
    </row>
    <row r="1418" spans="1:16" x14ac:dyDescent="0.25">
      <c r="A1418" s="15"/>
      <c r="B1418" s="15"/>
      <c r="C1418" s="15"/>
      <c r="D1418" s="15"/>
      <c r="E1418" s="15"/>
      <c r="F1418" s="15"/>
      <c r="G1418" s="15"/>
      <c r="H1418" s="15"/>
      <c r="I1418" s="15"/>
      <c r="J1418" s="15"/>
      <c r="K1418" s="15"/>
      <c r="L1418" s="15"/>
      <c r="M1418" s="15"/>
      <c r="N1418" s="15"/>
      <c r="O1418" s="15"/>
      <c r="P1418" s="15"/>
    </row>
    <row r="1419" spans="1:16" x14ac:dyDescent="0.25">
      <c r="A1419" s="15"/>
      <c r="B1419" s="15"/>
      <c r="C1419" s="15"/>
      <c r="D1419" s="15"/>
      <c r="E1419" s="15"/>
      <c r="F1419" s="15"/>
      <c r="G1419" s="15"/>
      <c r="H1419" s="15"/>
      <c r="I1419" s="15"/>
      <c r="J1419" s="15"/>
      <c r="K1419" s="15"/>
      <c r="L1419" s="15"/>
      <c r="M1419" s="15"/>
      <c r="N1419" s="15"/>
      <c r="O1419" s="15"/>
      <c r="P1419" s="15"/>
    </row>
    <row r="1420" spans="1:16" x14ac:dyDescent="0.25">
      <c r="A1420" s="15"/>
      <c r="B1420" s="15"/>
      <c r="C1420" s="15"/>
      <c r="D1420" s="15"/>
      <c r="E1420" s="15"/>
      <c r="F1420" s="15"/>
      <c r="G1420" s="15"/>
      <c r="H1420" s="15"/>
      <c r="I1420" s="15"/>
      <c r="J1420" s="15"/>
      <c r="K1420" s="15"/>
      <c r="L1420" s="15"/>
      <c r="M1420" s="15"/>
      <c r="N1420" s="15"/>
      <c r="O1420" s="15"/>
      <c r="P1420" s="15"/>
    </row>
    <row r="1421" spans="1:16" x14ac:dyDescent="0.25">
      <c r="A1421" s="15"/>
      <c r="B1421" s="15"/>
      <c r="C1421" s="15"/>
      <c r="D1421" s="15"/>
      <c r="E1421" s="15"/>
      <c r="F1421" s="15"/>
      <c r="G1421" s="15"/>
      <c r="H1421" s="15"/>
      <c r="I1421" s="15"/>
      <c r="J1421" s="15"/>
      <c r="K1421" s="15"/>
      <c r="L1421" s="15"/>
      <c r="M1421" s="15"/>
      <c r="N1421" s="15"/>
      <c r="O1421" s="15"/>
      <c r="P1421" s="15"/>
    </row>
    <row r="1422" spans="1:16" x14ac:dyDescent="0.25">
      <c r="A1422" s="15"/>
      <c r="B1422" s="15"/>
      <c r="C1422" s="15"/>
      <c r="D1422" s="15"/>
      <c r="E1422" s="15"/>
      <c r="F1422" s="15"/>
      <c r="G1422" s="15"/>
      <c r="H1422" s="15"/>
      <c r="I1422" s="15"/>
      <c r="J1422" s="15"/>
      <c r="K1422" s="15"/>
      <c r="L1422" s="15"/>
      <c r="M1422" s="15"/>
      <c r="N1422" s="15"/>
      <c r="O1422" s="15"/>
      <c r="P1422" s="15"/>
    </row>
    <row r="1423" spans="1:16" x14ac:dyDescent="0.25">
      <c r="A1423" s="15"/>
      <c r="B1423" s="15"/>
      <c r="C1423" s="15"/>
      <c r="D1423" s="15"/>
      <c r="E1423" s="15"/>
      <c r="F1423" s="15"/>
      <c r="G1423" s="15"/>
      <c r="H1423" s="15"/>
      <c r="I1423" s="15"/>
      <c r="J1423" s="15"/>
      <c r="K1423" s="15"/>
      <c r="L1423" s="15"/>
      <c r="M1423" s="15"/>
      <c r="N1423" s="15"/>
      <c r="O1423" s="15"/>
      <c r="P1423" s="15"/>
    </row>
    <row r="1424" spans="1:16" x14ac:dyDescent="0.25">
      <c r="A1424" s="15"/>
      <c r="B1424" s="15"/>
      <c r="C1424" s="15"/>
      <c r="D1424" s="15"/>
      <c r="E1424" s="15"/>
      <c r="F1424" s="15"/>
      <c r="G1424" s="15"/>
      <c r="H1424" s="15"/>
      <c r="I1424" s="15"/>
      <c r="J1424" s="15"/>
      <c r="K1424" s="15"/>
      <c r="L1424" s="15"/>
      <c r="M1424" s="15"/>
      <c r="N1424" s="15"/>
      <c r="O1424" s="15"/>
      <c r="P1424" s="15"/>
    </row>
    <row r="1425" spans="1:16" x14ac:dyDescent="0.25">
      <c r="A1425" s="15"/>
      <c r="B1425" s="15"/>
      <c r="C1425" s="15"/>
      <c r="D1425" s="15"/>
      <c r="E1425" s="15"/>
      <c r="F1425" s="15"/>
      <c r="G1425" s="15"/>
      <c r="H1425" s="15"/>
      <c r="I1425" s="15"/>
      <c r="J1425" s="15"/>
      <c r="K1425" s="15"/>
      <c r="L1425" s="15"/>
      <c r="M1425" s="15"/>
      <c r="N1425" s="15"/>
      <c r="O1425" s="15"/>
      <c r="P1425" s="15"/>
    </row>
    <row r="1426" spans="1:16" x14ac:dyDescent="0.25">
      <c r="A1426" s="15"/>
      <c r="B1426" s="15"/>
      <c r="C1426" s="15"/>
      <c r="D1426" s="15"/>
      <c r="E1426" s="15"/>
      <c r="F1426" s="15"/>
      <c r="G1426" s="15"/>
      <c r="H1426" s="15"/>
      <c r="I1426" s="15"/>
      <c r="J1426" s="15"/>
      <c r="K1426" s="15"/>
      <c r="L1426" s="15"/>
      <c r="M1426" s="15"/>
      <c r="N1426" s="15"/>
      <c r="O1426" s="15"/>
      <c r="P1426" s="15"/>
    </row>
    <row r="1427" spans="1:16" x14ac:dyDescent="0.25">
      <c r="A1427" s="15"/>
      <c r="B1427" s="15"/>
      <c r="C1427" s="15"/>
      <c r="D1427" s="15"/>
      <c r="E1427" s="15"/>
      <c r="F1427" s="15"/>
      <c r="G1427" s="15"/>
      <c r="H1427" s="15"/>
      <c r="I1427" s="15"/>
      <c r="J1427" s="15"/>
      <c r="K1427" s="15"/>
      <c r="L1427" s="15"/>
      <c r="M1427" s="15"/>
      <c r="N1427" s="15"/>
      <c r="O1427" s="15"/>
      <c r="P1427" s="15"/>
    </row>
    <row r="1428" spans="1:16" x14ac:dyDescent="0.25">
      <c r="A1428" s="15"/>
      <c r="B1428" s="15"/>
      <c r="C1428" s="15"/>
      <c r="D1428" s="15"/>
      <c r="E1428" s="15"/>
      <c r="F1428" s="15"/>
      <c r="G1428" s="15"/>
      <c r="H1428" s="15"/>
      <c r="I1428" s="15"/>
      <c r="J1428" s="15"/>
      <c r="K1428" s="15"/>
      <c r="L1428" s="15"/>
      <c r="M1428" s="15"/>
      <c r="N1428" s="15"/>
      <c r="O1428" s="15"/>
      <c r="P1428" s="15"/>
    </row>
    <row r="1429" spans="1:16" x14ac:dyDescent="0.25">
      <c r="A1429" s="15"/>
      <c r="B1429" s="15"/>
      <c r="C1429" s="15"/>
      <c r="D1429" s="15"/>
      <c r="E1429" s="15"/>
      <c r="F1429" s="15"/>
      <c r="G1429" s="15"/>
      <c r="H1429" s="15"/>
      <c r="I1429" s="15"/>
      <c r="J1429" s="15"/>
      <c r="K1429" s="15"/>
      <c r="L1429" s="15"/>
      <c r="M1429" s="15"/>
      <c r="N1429" s="15"/>
      <c r="O1429" s="15"/>
      <c r="P1429" s="15"/>
    </row>
    <row r="1430" spans="1:16" x14ac:dyDescent="0.25">
      <c r="A1430" s="15"/>
      <c r="B1430" s="15"/>
      <c r="C1430" s="15"/>
      <c r="D1430" s="15"/>
      <c r="E1430" s="15"/>
      <c r="F1430" s="15"/>
      <c r="G1430" s="15"/>
      <c r="H1430" s="15"/>
      <c r="I1430" s="15"/>
      <c r="J1430" s="15"/>
      <c r="K1430" s="15"/>
      <c r="L1430" s="15"/>
      <c r="M1430" s="15"/>
      <c r="N1430" s="15"/>
      <c r="O1430" s="15"/>
      <c r="P1430" s="15"/>
    </row>
    <row r="1431" spans="1:16" x14ac:dyDescent="0.25">
      <c r="A1431" s="15"/>
      <c r="B1431" s="15"/>
      <c r="C1431" s="15"/>
      <c r="D1431" s="15"/>
      <c r="E1431" s="15"/>
      <c r="F1431" s="15"/>
      <c r="G1431" s="15"/>
      <c r="H1431" s="15"/>
      <c r="I1431" s="15"/>
      <c r="J1431" s="15"/>
      <c r="K1431" s="15"/>
      <c r="L1431" s="15"/>
      <c r="M1431" s="15"/>
      <c r="N1431" s="15"/>
      <c r="O1431" s="15"/>
      <c r="P1431" s="15"/>
    </row>
    <row r="1432" spans="1:16" x14ac:dyDescent="0.25">
      <c r="A1432" s="15"/>
      <c r="B1432" s="15"/>
      <c r="C1432" s="15"/>
      <c r="D1432" s="15"/>
      <c r="E1432" s="15"/>
      <c r="F1432" s="15"/>
      <c r="G1432" s="15"/>
      <c r="H1432" s="15"/>
      <c r="I1432" s="15"/>
      <c r="J1432" s="15"/>
      <c r="K1432" s="15"/>
      <c r="L1432" s="15"/>
      <c r="M1432" s="15"/>
      <c r="N1432" s="15"/>
      <c r="O1432" s="15"/>
      <c r="P1432" s="15"/>
    </row>
    <row r="1433" spans="1:16" x14ac:dyDescent="0.25">
      <c r="A1433" s="15"/>
      <c r="B1433" s="15"/>
      <c r="C1433" s="15"/>
      <c r="D1433" s="15"/>
      <c r="E1433" s="15"/>
      <c r="F1433" s="15"/>
      <c r="G1433" s="15"/>
      <c r="H1433" s="15"/>
      <c r="I1433" s="15"/>
      <c r="J1433" s="15"/>
      <c r="K1433" s="15"/>
      <c r="L1433" s="15"/>
      <c r="M1433" s="15"/>
      <c r="N1433" s="15"/>
      <c r="O1433" s="15"/>
      <c r="P1433" s="15"/>
    </row>
    <row r="1434" spans="1:16" x14ac:dyDescent="0.25">
      <c r="A1434" s="15"/>
      <c r="B1434" s="15"/>
      <c r="C1434" s="15"/>
      <c r="D1434" s="15"/>
      <c r="E1434" s="15"/>
      <c r="F1434" s="15"/>
      <c r="G1434" s="15"/>
      <c r="H1434" s="15"/>
      <c r="I1434" s="15"/>
      <c r="J1434" s="15"/>
      <c r="K1434" s="15"/>
      <c r="L1434" s="15"/>
      <c r="M1434" s="15"/>
      <c r="N1434" s="15"/>
      <c r="O1434" s="15"/>
      <c r="P1434" s="15"/>
    </row>
    <row r="1435" spans="1:16" x14ac:dyDescent="0.25">
      <c r="A1435" s="15"/>
      <c r="B1435" s="15"/>
      <c r="C1435" s="15"/>
      <c r="D1435" s="15"/>
      <c r="E1435" s="15"/>
      <c r="F1435" s="15"/>
      <c r="G1435" s="15"/>
      <c r="H1435" s="15"/>
      <c r="I1435" s="15"/>
      <c r="J1435" s="15"/>
      <c r="K1435" s="15"/>
      <c r="L1435" s="15"/>
      <c r="M1435" s="15"/>
      <c r="N1435" s="15"/>
      <c r="O1435" s="15"/>
      <c r="P1435" s="15"/>
    </row>
    <row r="1436" spans="1:16" x14ac:dyDescent="0.25">
      <c r="A1436" s="15"/>
      <c r="B1436" s="15"/>
      <c r="C1436" s="15"/>
      <c r="D1436" s="15"/>
      <c r="E1436" s="15"/>
      <c r="F1436" s="15"/>
      <c r="G1436" s="15"/>
      <c r="H1436" s="15"/>
      <c r="I1436" s="15"/>
      <c r="J1436" s="15"/>
      <c r="K1436" s="15"/>
      <c r="L1436" s="15"/>
      <c r="M1436" s="15"/>
      <c r="N1436" s="15"/>
      <c r="O1436" s="15"/>
      <c r="P1436" s="15"/>
    </row>
    <row r="1437" spans="1:16" x14ac:dyDescent="0.25">
      <c r="A1437" s="15"/>
      <c r="B1437" s="15"/>
      <c r="C1437" s="15"/>
      <c r="D1437" s="15"/>
      <c r="E1437" s="15"/>
      <c r="F1437" s="15"/>
      <c r="G1437" s="15"/>
      <c r="H1437" s="15"/>
      <c r="I1437" s="15"/>
      <c r="J1437" s="15"/>
      <c r="K1437" s="15"/>
      <c r="L1437" s="15"/>
      <c r="M1437" s="15"/>
      <c r="N1437" s="15"/>
      <c r="O1437" s="15"/>
      <c r="P1437" s="15"/>
    </row>
    <row r="1438" spans="1:16" x14ac:dyDescent="0.25">
      <c r="A1438" s="15"/>
      <c r="B1438" s="15"/>
      <c r="C1438" s="15"/>
      <c r="D1438" s="15"/>
      <c r="E1438" s="15"/>
      <c r="F1438" s="15"/>
      <c r="G1438" s="15"/>
      <c r="H1438" s="15"/>
      <c r="I1438" s="15"/>
      <c r="J1438" s="15"/>
      <c r="K1438" s="15"/>
      <c r="L1438" s="15"/>
      <c r="M1438" s="15"/>
      <c r="N1438" s="15"/>
      <c r="O1438" s="15"/>
      <c r="P1438" s="15"/>
    </row>
    <row r="1439" spans="1:16" x14ac:dyDescent="0.25">
      <c r="A1439" s="15"/>
      <c r="B1439" s="15"/>
      <c r="C1439" s="15"/>
      <c r="D1439" s="15"/>
      <c r="E1439" s="15"/>
      <c r="F1439" s="15"/>
      <c r="G1439" s="15"/>
      <c r="H1439" s="15"/>
      <c r="I1439" s="15"/>
      <c r="J1439" s="15"/>
      <c r="K1439" s="15"/>
      <c r="L1439" s="15"/>
      <c r="M1439" s="15"/>
      <c r="N1439" s="15"/>
      <c r="O1439" s="15"/>
      <c r="P1439" s="15"/>
    </row>
    <row r="1440" spans="1:16" x14ac:dyDescent="0.25">
      <c r="A1440" s="15"/>
      <c r="B1440" s="15"/>
      <c r="C1440" s="15"/>
      <c r="D1440" s="15"/>
      <c r="E1440" s="15"/>
      <c r="F1440" s="15"/>
      <c r="G1440" s="15"/>
      <c r="H1440" s="15"/>
      <c r="I1440" s="15"/>
      <c r="J1440" s="15"/>
      <c r="K1440" s="15"/>
      <c r="L1440" s="15"/>
      <c r="M1440" s="15"/>
      <c r="N1440" s="15"/>
      <c r="O1440" s="15"/>
      <c r="P1440" s="15"/>
    </row>
    <row r="1441" spans="1:16" x14ac:dyDescent="0.25">
      <c r="A1441" s="15"/>
      <c r="B1441" s="15"/>
      <c r="C1441" s="15"/>
      <c r="D1441" s="15"/>
      <c r="E1441" s="15"/>
      <c r="F1441" s="15"/>
      <c r="G1441" s="15"/>
      <c r="H1441" s="15"/>
      <c r="I1441" s="15"/>
      <c r="J1441" s="15"/>
      <c r="K1441" s="15"/>
      <c r="L1441" s="15"/>
      <c r="M1441" s="15"/>
      <c r="N1441" s="15"/>
      <c r="O1441" s="15"/>
      <c r="P1441" s="15"/>
    </row>
    <row r="1442" spans="1:16" x14ac:dyDescent="0.25">
      <c r="A1442" s="15"/>
      <c r="B1442" s="15"/>
      <c r="C1442" s="15"/>
      <c r="D1442" s="15"/>
      <c r="E1442" s="15"/>
      <c r="F1442" s="15"/>
      <c r="G1442" s="15"/>
      <c r="H1442" s="15"/>
      <c r="I1442" s="15"/>
      <c r="J1442" s="15"/>
      <c r="K1442" s="15"/>
      <c r="L1442" s="15"/>
      <c r="M1442" s="15"/>
      <c r="N1442" s="15"/>
      <c r="O1442" s="15"/>
      <c r="P1442" s="15"/>
    </row>
    <row r="1443" spans="1:16" x14ac:dyDescent="0.25">
      <c r="A1443" s="15"/>
      <c r="B1443" s="15"/>
      <c r="C1443" s="15"/>
      <c r="D1443" s="15"/>
      <c r="E1443" s="15"/>
      <c r="F1443" s="15"/>
      <c r="G1443" s="15"/>
      <c r="H1443" s="15"/>
      <c r="I1443" s="15"/>
      <c r="J1443" s="15"/>
      <c r="K1443" s="15"/>
      <c r="L1443" s="15"/>
      <c r="M1443" s="15"/>
      <c r="N1443" s="15"/>
      <c r="O1443" s="15"/>
      <c r="P1443" s="15"/>
    </row>
    <row r="1444" spans="1:16" x14ac:dyDescent="0.25">
      <c r="A1444" s="15"/>
      <c r="B1444" s="15"/>
      <c r="C1444" s="15"/>
      <c r="D1444" s="15"/>
      <c r="E1444" s="15"/>
      <c r="F1444" s="15"/>
      <c r="G1444" s="15"/>
      <c r="H1444" s="15"/>
      <c r="I1444" s="15"/>
      <c r="J1444" s="15"/>
      <c r="K1444" s="15"/>
      <c r="L1444" s="15"/>
      <c r="M1444" s="15"/>
      <c r="N1444" s="15"/>
      <c r="O1444" s="15"/>
      <c r="P1444" s="15"/>
    </row>
    <row r="1445" spans="1:16" x14ac:dyDescent="0.25">
      <c r="A1445" s="15"/>
      <c r="B1445" s="15"/>
      <c r="C1445" s="15"/>
      <c r="D1445" s="15"/>
      <c r="E1445" s="15"/>
      <c r="F1445" s="15"/>
      <c r="G1445" s="15"/>
      <c r="H1445" s="15"/>
      <c r="I1445" s="15"/>
      <c r="J1445" s="15"/>
      <c r="K1445" s="15"/>
      <c r="L1445" s="15"/>
      <c r="M1445" s="15"/>
      <c r="N1445" s="15"/>
      <c r="O1445" s="15"/>
      <c r="P1445" s="15"/>
    </row>
    <row r="1446" spans="1:16" x14ac:dyDescent="0.25">
      <c r="A1446" s="15"/>
      <c r="B1446" s="15"/>
      <c r="C1446" s="15"/>
      <c r="D1446" s="15"/>
      <c r="E1446" s="15"/>
      <c r="F1446" s="15"/>
      <c r="G1446" s="15"/>
      <c r="H1446" s="15"/>
      <c r="I1446" s="15"/>
      <c r="J1446" s="15"/>
      <c r="K1446" s="15"/>
      <c r="L1446" s="15"/>
      <c r="M1446" s="15"/>
      <c r="N1446" s="15"/>
      <c r="O1446" s="15"/>
      <c r="P1446" s="15"/>
    </row>
    <row r="1447" spans="1:16" x14ac:dyDescent="0.25">
      <c r="A1447" s="15"/>
      <c r="B1447" s="15"/>
      <c r="C1447" s="15"/>
      <c r="D1447" s="15"/>
      <c r="E1447" s="15"/>
      <c r="F1447" s="15"/>
      <c r="G1447" s="15"/>
      <c r="H1447" s="15"/>
      <c r="I1447" s="15"/>
      <c r="J1447" s="15"/>
      <c r="K1447" s="15"/>
      <c r="L1447" s="15"/>
      <c r="M1447" s="15"/>
      <c r="N1447" s="15"/>
      <c r="O1447" s="15"/>
      <c r="P1447" s="15"/>
    </row>
    <row r="1448" spans="1:16" x14ac:dyDescent="0.25">
      <c r="A1448" s="15"/>
      <c r="B1448" s="15"/>
      <c r="C1448" s="15"/>
      <c r="D1448" s="15"/>
      <c r="E1448" s="15"/>
      <c r="F1448" s="15"/>
      <c r="G1448" s="15"/>
      <c r="H1448" s="15"/>
      <c r="I1448" s="15"/>
      <c r="J1448" s="15"/>
      <c r="K1448" s="15"/>
      <c r="L1448" s="15"/>
      <c r="M1448" s="15"/>
      <c r="N1448" s="15"/>
      <c r="O1448" s="15"/>
      <c r="P1448" s="15"/>
    </row>
    <row r="1449" spans="1:16" x14ac:dyDescent="0.25">
      <c r="A1449" s="15"/>
      <c r="B1449" s="15"/>
      <c r="C1449" s="15"/>
      <c r="D1449" s="15"/>
      <c r="E1449" s="15"/>
      <c r="F1449" s="15"/>
      <c r="G1449" s="15"/>
      <c r="H1449" s="15"/>
      <c r="I1449" s="15"/>
      <c r="J1449" s="15"/>
      <c r="K1449" s="15"/>
      <c r="L1449" s="15"/>
      <c r="M1449" s="15"/>
      <c r="N1449" s="15"/>
      <c r="O1449" s="15"/>
      <c r="P1449" s="15"/>
    </row>
    <row r="1450" spans="1:16" x14ac:dyDescent="0.25">
      <c r="A1450" s="15"/>
      <c r="B1450" s="15"/>
      <c r="C1450" s="15"/>
      <c r="D1450" s="15"/>
      <c r="E1450" s="15"/>
      <c r="F1450" s="15"/>
      <c r="G1450" s="15"/>
      <c r="H1450" s="15"/>
      <c r="I1450" s="15"/>
      <c r="J1450" s="15"/>
      <c r="K1450" s="15"/>
      <c r="L1450" s="15"/>
      <c r="M1450" s="15"/>
      <c r="N1450" s="15"/>
      <c r="O1450" s="15"/>
      <c r="P1450" s="15"/>
    </row>
    <row r="1451" spans="1:16" x14ac:dyDescent="0.25">
      <c r="A1451" s="15"/>
      <c r="B1451" s="15"/>
      <c r="C1451" s="15"/>
      <c r="D1451" s="15"/>
      <c r="E1451" s="15"/>
      <c r="F1451" s="15"/>
      <c r="G1451" s="15"/>
      <c r="H1451" s="15"/>
      <c r="I1451" s="15"/>
      <c r="J1451" s="15"/>
      <c r="K1451" s="15"/>
      <c r="L1451" s="15"/>
      <c r="M1451" s="15"/>
      <c r="N1451" s="15"/>
      <c r="O1451" s="15"/>
      <c r="P1451" s="15"/>
    </row>
    <row r="1452" spans="1:16" x14ac:dyDescent="0.25">
      <c r="A1452" s="15"/>
      <c r="B1452" s="15"/>
      <c r="C1452" s="15"/>
      <c r="D1452" s="15"/>
      <c r="E1452" s="15"/>
      <c r="F1452" s="15"/>
      <c r="G1452" s="15"/>
      <c r="H1452" s="15"/>
      <c r="I1452" s="15"/>
      <c r="J1452" s="15"/>
      <c r="K1452" s="15"/>
      <c r="L1452" s="15"/>
      <c r="M1452" s="15"/>
      <c r="N1452" s="15"/>
      <c r="O1452" s="15"/>
      <c r="P1452" s="15"/>
    </row>
    <row r="1453" spans="1:16" x14ac:dyDescent="0.25">
      <c r="A1453" s="15"/>
      <c r="B1453" s="15"/>
      <c r="C1453" s="15"/>
      <c r="D1453" s="15"/>
      <c r="E1453" s="15"/>
      <c r="F1453" s="15"/>
      <c r="G1453" s="15"/>
      <c r="H1453" s="15"/>
      <c r="I1453" s="15"/>
      <c r="J1453" s="15"/>
      <c r="K1453" s="15"/>
      <c r="L1453" s="15"/>
      <c r="M1453" s="15"/>
      <c r="N1453" s="15"/>
      <c r="O1453" s="15"/>
      <c r="P1453" s="15"/>
    </row>
    <row r="1454" spans="1:16" x14ac:dyDescent="0.25">
      <c r="A1454" s="15"/>
      <c r="B1454" s="15"/>
      <c r="C1454" s="15"/>
      <c r="D1454" s="15"/>
      <c r="E1454" s="15"/>
      <c r="F1454" s="15"/>
      <c r="G1454" s="15"/>
      <c r="H1454" s="15"/>
      <c r="I1454" s="15"/>
      <c r="J1454" s="15"/>
      <c r="K1454" s="15"/>
      <c r="L1454" s="15"/>
      <c r="M1454" s="15"/>
      <c r="N1454" s="15"/>
      <c r="O1454" s="15"/>
      <c r="P1454" s="15"/>
    </row>
    <row r="1455" spans="1:16" x14ac:dyDescent="0.25">
      <c r="A1455" s="15"/>
      <c r="B1455" s="15"/>
      <c r="C1455" s="15"/>
      <c r="D1455" s="15"/>
      <c r="E1455" s="15"/>
      <c r="F1455" s="15"/>
      <c r="G1455" s="15"/>
      <c r="H1455" s="15"/>
      <c r="I1455" s="15"/>
      <c r="J1455" s="15"/>
      <c r="K1455" s="15"/>
      <c r="L1455" s="15"/>
      <c r="M1455" s="15"/>
      <c r="N1455" s="15"/>
      <c r="O1455" s="15"/>
      <c r="P1455" s="15"/>
    </row>
    <row r="1456" spans="1:16" x14ac:dyDescent="0.25">
      <c r="A1456" s="15"/>
      <c r="B1456" s="15"/>
      <c r="C1456" s="15"/>
      <c r="D1456" s="15"/>
      <c r="E1456" s="15"/>
      <c r="F1456" s="15"/>
      <c r="G1456" s="15"/>
      <c r="H1456" s="15"/>
      <c r="I1456" s="15"/>
      <c r="J1456" s="15"/>
      <c r="K1456" s="15"/>
      <c r="L1456" s="15"/>
      <c r="M1456" s="15"/>
      <c r="N1456" s="15"/>
      <c r="O1456" s="15"/>
      <c r="P1456" s="15"/>
    </row>
    <row r="1457" spans="1:16" x14ac:dyDescent="0.25">
      <c r="A1457" s="15"/>
      <c r="B1457" s="15"/>
      <c r="C1457" s="15"/>
      <c r="D1457" s="15"/>
      <c r="E1457" s="15"/>
      <c r="F1457" s="15"/>
      <c r="G1457" s="15"/>
      <c r="H1457" s="15"/>
      <c r="I1457" s="15"/>
      <c r="J1457" s="15"/>
      <c r="K1457" s="15"/>
      <c r="L1457" s="15"/>
      <c r="M1457" s="15"/>
      <c r="N1457" s="15"/>
      <c r="O1457" s="15"/>
      <c r="P1457" s="15"/>
    </row>
    <row r="1458" spans="1:16" x14ac:dyDescent="0.25">
      <c r="A1458" s="15"/>
      <c r="B1458" s="15"/>
      <c r="C1458" s="15"/>
      <c r="D1458" s="15"/>
      <c r="E1458" s="15"/>
      <c r="F1458" s="15"/>
      <c r="G1458" s="15"/>
      <c r="H1458" s="15"/>
      <c r="I1458" s="15"/>
      <c r="J1458" s="15"/>
      <c r="K1458" s="15"/>
      <c r="L1458" s="15"/>
      <c r="M1458" s="15"/>
      <c r="N1458" s="15"/>
      <c r="O1458" s="15"/>
      <c r="P1458" s="15"/>
    </row>
    <row r="1459" spans="1:16" x14ac:dyDescent="0.25">
      <c r="A1459" s="15"/>
      <c r="B1459" s="15"/>
      <c r="C1459" s="15"/>
      <c r="D1459" s="15"/>
      <c r="E1459" s="15"/>
      <c r="F1459" s="15"/>
      <c r="G1459" s="15"/>
      <c r="H1459" s="15"/>
      <c r="I1459" s="15"/>
      <c r="J1459" s="15"/>
      <c r="K1459" s="15"/>
      <c r="L1459" s="15"/>
      <c r="M1459" s="15"/>
      <c r="N1459" s="15"/>
      <c r="O1459" s="15"/>
      <c r="P1459" s="15"/>
    </row>
    <row r="1460" spans="1:16" x14ac:dyDescent="0.25">
      <c r="A1460" s="15"/>
      <c r="B1460" s="15"/>
      <c r="C1460" s="15"/>
      <c r="D1460" s="15"/>
      <c r="E1460" s="15"/>
      <c r="F1460" s="15"/>
      <c r="G1460" s="15"/>
      <c r="H1460" s="15"/>
      <c r="I1460" s="15"/>
      <c r="J1460" s="15"/>
      <c r="K1460" s="15"/>
      <c r="L1460" s="15"/>
      <c r="M1460" s="15"/>
      <c r="N1460" s="15"/>
      <c r="O1460" s="15"/>
      <c r="P1460" s="15"/>
    </row>
    <row r="1461" spans="1:16" x14ac:dyDescent="0.25">
      <c r="A1461" s="15"/>
      <c r="B1461" s="15"/>
      <c r="C1461" s="15"/>
      <c r="D1461" s="15"/>
      <c r="E1461" s="15"/>
      <c r="F1461" s="15"/>
      <c r="G1461" s="15"/>
      <c r="H1461" s="15"/>
      <c r="I1461" s="15"/>
      <c r="J1461" s="15"/>
      <c r="K1461" s="15"/>
      <c r="L1461" s="15"/>
      <c r="M1461" s="15"/>
      <c r="N1461" s="15"/>
      <c r="O1461" s="15"/>
      <c r="P1461" s="15"/>
    </row>
    <row r="1462" spans="1:16" x14ac:dyDescent="0.25">
      <c r="A1462" s="15"/>
      <c r="B1462" s="15"/>
      <c r="C1462" s="15"/>
      <c r="D1462" s="15"/>
      <c r="E1462" s="15"/>
      <c r="F1462" s="15"/>
      <c r="G1462" s="15"/>
      <c r="H1462" s="15"/>
      <c r="I1462" s="15"/>
      <c r="J1462" s="15"/>
      <c r="K1462" s="15"/>
      <c r="L1462" s="15"/>
      <c r="M1462" s="15"/>
      <c r="N1462" s="15"/>
      <c r="O1462" s="15"/>
      <c r="P1462" s="15"/>
    </row>
    <row r="1463" spans="1:16" x14ac:dyDescent="0.25">
      <c r="A1463" s="15"/>
      <c r="B1463" s="15"/>
      <c r="C1463" s="15"/>
      <c r="D1463" s="15"/>
      <c r="E1463" s="15"/>
      <c r="F1463" s="15"/>
      <c r="G1463" s="15"/>
      <c r="H1463" s="15"/>
      <c r="I1463" s="15"/>
      <c r="J1463" s="15"/>
      <c r="K1463" s="15"/>
      <c r="L1463" s="15"/>
      <c r="M1463" s="15"/>
      <c r="N1463" s="15"/>
      <c r="O1463" s="15"/>
      <c r="P1463" s="15"/>
    </row>
    <row r="1464" spans="1:16" x14ac:dyDescent="0.25">
      <c r="A1464" s="15"/>
      <c r="B1464" s="15"/>
      <c r="C1464" s="15"/>
      <c r="D1464" s="15"/>
      <c r="E1464" s="15"/>
      <c r="F1464" s="15"/>
      <c r="G1464" s="15"/>
      <c r="H1464" s="15"/>
      <c r="I1464" s="15"/>
      <c r="J1464" s="15"/>
      <c r="K1464" s="15"/>
      <c r="L1464" s="15"/>
      <c r="M1464" s="15"/>
      <c r="N1464" s="15"/>
      <c r="O1464" s="15"/>
      <c r="P1464" s="15"/>
    </row>
    <row r="1465" spans="1:16" x14ac:dyDescent="0.25">
      <c r="A1465" s="15"/>
      <c r="B1465" s="15"/>
      <c r="C1465" s="15"/>
      <c r="D1465" s="15"/>
      <c r="E1465" s="15"/>
      <c r="F1465" s="15"/>
      <c r="G1465" s="15"/>
      <c r="H1465" s="15"/>
      <c r="I1465" s="15"/>
      <c r="J1465" s="15"/>
      <c r="K1465" s="15"/>
      <c r="L1465" s="15"/>
      <c r="M1465" s="15"/>
      <c r="N1465" s="15"/>
      <c r="O1465" s="15"/>
      <c r="P1465" s="15"/>
    </row>
    <row r="1466" spans="1:16" x14ac:dyDescent="0.25">
      <c r="A1466" s="15"/>
      <c r="B1466" s="15"/>
      <c r="C1466" s="15"/>
      <c r="D1466" s="15"/>
      <c r="E1466" s="15"/>
      <c r="F1466" s="15"/>
      <c r="G1466" s="15"/>
      <c r="H1466" s="15"/>
      <c r="I1466" s="15"/>
      <c r="J1466" s="15"/>
      <c r="K1466" s="15"/>
      <c r="L1466" s="15"/>
      <c r="M1466" s="15"/>
      <c r="N1466" s="15"/>
      <c r="O1466" s="15"/>
      <c r="P1466" s="15"/>
    </row>
    <row r="1467" spans="1:16" x14ac:dyDescent="0.25">
      <c r="A1467" s="15"/>
      <c r="B1467" s="15"/>
      <c r="C1467" s="15"/>
      <c r="D1467" s="15"/>
      <c r="E1467" s="15"/>
      <c r="F1467" s="15"/>
      <c r="G1467" s="15"/>
      <c r="H1467" s="15"/>
      <c r="I1467" s="15"/>
      <c r="J1467" s="15"/>
      <c r="K1467" s="15"/>
      <c r="L1467" s="15"/>
      <c r="M1467" s="15"/>
      <c r="N1467" s="15"/>
      <c r="O1467" s="15"/>
      <c r="P1467" s="15"/>
    </row>
    <row r="1468" spans="1:16" x14ac:dyDescent="0.25">
      <c r="A1468" s="15"/>
      <c r="B1468" s="15"/>
      <c r="C1468" s="15"/>
      <c r="D1468" s="15"/>
      <c r="E1468" s="15"/>
      <c r="F1468" s="15"/>
      <c r="G1468" s="15"/>
      <c r="H1468" s="15"/>
      <c r="I1468" s="15"/>
      <c r="J1468" s="15"/>
      <c r="K1468" s="15"/>
      <c r="L1468" s="15"/>
      <c r="M1468" s="15"/>
      <c r="N1468" s="15"/>
      <c r="O1468" s="15"/>
      <c r="P1468" s="15"/>
    </row>
    <row r="1469" spans="1:16" x14ac:dyDescent="0.25">
      <c r="A1469" s="15"/>
      <c r="B1469" s="15"/>
      <c r="C1469" s="15"/>
      <c r="D1469" s="15"/>
      <c r="E1469" s="15"/>
      <c r="F1469" s="15"/>
      <c r="G1469" s="15"/>
      <c r="H1469" s="15"/>
      <c r="I1469" s="15"/>
      <c r="J1469" s="15"/>
      <c r="K1469" s="15"/>
      <c r="L1469" s="15"/>
      <c r="M1469" s="15"/>
      <c r="N1469" s="15"/>
      <c r="O1469" s="15"/>
      <c r="P1469" s="15"/>
    </row>
    <row r="1470" spans="1:16" x14ac:dyDescent="0.25">
      <c r="A1470" s="15"/>
      <c r="B1470" s="15"/>
      <c r="C1470" s="15"/>
      <c r="D1470" s="15"/>
      <c r="E1470" s="15"/>
      <c r="F1470" s="15"/>
      <c r="G1470" s="15"/>
      <c r="H1470" s="15"/>
      <c r="I1470" s="15"/>
      <c r="J1470" s="15"/>
      <c r="K1470" s="15"/>
      <c r="L1470" s="15"/>
      <c r="M1470" s="15"/>
      <c r="N1470" s="15"/>
      <c r="O1470" s="15"/>
      <c r="P1470" s="15"/>
    </row>
    <row r="1471" spans="1:16" x14ac:dyDescent="0.25">
      <c r="A1471" s="15"/>
      <c r="B1471" s="15"/>
      <c r="C1471" s="15"/>
      <c r="D1471" s="15"/>
      <c r="E1471" s="15"/>
      <c r="F1471" s="15"/>
      <c r="G1471" s="15"/>
      <c r="H1471" s="15"/>
      <c r="I1471" s="15"/>
      <c r="J1471" s="15"/>
      <c r="K1471" s="15"/>
      <c r="L1471" s="15"/>
      <c r="M1471" s="15"/>
      <c r="N1471" s="15"/>
      <c r="O1471" s="15"/>
      <c r="P1471" s="15"/>
    </row>
    <row r="1472" spans="1:16" x14ac:dyDescent="0.25">
      <c r="A1472" s="15"/>
      <c r="B1472" s="15"/>
      <c r="C1472" s="15"/>
      <c r="D1472" s="15"/>
      <c r="E1472" s="15"/>
      <c r="F1472" s="15"/>
      <c r="G1472" s="15"/>
      <c r="H1472" s="15"/>
      <c r="I1472" s="15"/>
      <c r="J1472" s="15"/>
      <c r="K1472" s="15"/>
      <c r="L1472" s="15"/>
      <c r="M1472" s="15"/>
      <c r="N1472" s="15"/>
      <c r="O1472" s="15"/>
      <c r="P1472" s="15"/>
    </row>
    <row r="1473" spans="1:16" x14ac:dyDescent="0.25">
      <c r="A1473" s="15"/>
      <c r="B1473" s="15"/>
      <c r="C1473" s="15"/>
      <c r="D1473" s="15"/>
      <c r="E1473" s="15"/>
      <c r="F1473" s="15"/>
      <c r="G1473" s="15"/>
      <c r="H1473" s="15"/>
      <c r="I1473" s="15"/>
      <c r="J1473" s="15"/>
      <c r="K1473" s="15"/>
      <c r="L1473" s="15"/>
      <c r="M1473" s="15"/>
      <c r="N1473" s="15"/>
      <c r="O1473" s="15"/>
      <c r="P1473" s="15"/>
    </row>
    <row r="1474" spans="1:16" x14ac:dyDescent="0.25">
      <c r="A1474" s="15"/>
      <c r="B1474" s="15"/>
      <c r="C1474" s="15"/>
      <c r="D1474" s="15"/>
      <c r="E1474" s="15"/>
      <c r="F1474" s="15"/>
      <c r="G1474" s="15"/>
      <c r="H1474" s="15"/>
      <c r="I1474" s="15"/>
      <c r="J1474" s="15"/>
      <c r="K1474" s="15"/>
      <c r="L1474" s="15"/>
      <c r="M1474" s="15"/>
      <c r="N1474" s="15"/>
      <c r="O1474" s="15"/>
      <c r="P1474" s="15"/>
    </row>
    <row r="1475" spans="1:16" x14ac:dyDescent="0.25">
      <c r="A1475" s="15"/>
      <c r="B1475" s="15"/>
      <c r="C1475" s="15"/>
      <c r="D1475" s="15"/>
      <c r="E1475" s="15"/>
      <c r="F1475" s="15"/>
      <c r="G1475" s="15"/>
      <c r="H1475" s="15"/>
      <c r="I1475" s="15"/>
      <c r="J1475" s="15"/>
      <c r="K1475" s="15"/>
      <c r="L1475" s="15"/>
      <c r="M1475" s="15"/>
      <c r="N1475" s="15"/>
      <c r="O1475" s="15"/>
      <c r="P1475" s="15"/>
    </row>
    <row r="1476" spans="1:16" x14ac:dyDescent="0.25">
      <c r="A1476" s="15"/>
      <c r="B1476" s="15"/>
      <c r="C1476" s="15"/>
      <c r="D1476" s="15"/>
      <c r="E1476" s="15"/>
      <c r="F1476" s="15"/>
      <c r="G1476" s="15"/>
      <c r="H1476" s="15"/>
      <c r="I1476" s="15"/>
      <c r="J1476" s="15"/>
      <c r="K1476" s="15"/>
      <c r="L1476" s="15"/>
      <c r="M1476" s="15"/>
      <c r="N1476" s="15"/>
      <c r="O1476" s="15"/>
      <c r="P1476" s="15"/>
    </row>
    <row r="1477" spans="1:16" x14ac:dyDescent="0.25">
      <c r="A1477" s="15"/>
      <c r="B1477" s="15"/>
      <c r="C1477" s="15"/>
      <c r="D1477" s="15"/>
      <c r="E1477" s="15"/>
      <c r="F1477" s="15"/>
      <c r="G1477" s="15"/>
      <c r="H1477" s="15"/>
      <c r="I1477" s="15"/>
      <c r="J1477" s="15"/>
      <c r="K1477" s="15"/>
      <c r="L1477" s="15"/>
      <c r="M1477" s="15"/>
      <c r="N1477" s="15"/>
      <c r="O1477" s="15"/>
      <c r="P1477" s="15"/>
    </row>
    <row r="1478" spans="1:16" x14ac:dyDescent="0.25">
      <c r="A1478" s="15"/>
      <c r="B1478" s="15"/>
      <c r="C1478" s="15"/>
      <c r="D1478" s="15"/>
      <c r="E1478" s="15"/>
      <c r="F1478" s="15"/>
      <c r="G1478" s="15"/>
      <c r="H1478" s="15"/>
      <c r="I1478" s="15"/>
      <c r="J1478" s="15"/>
      <c r="K1478" s="15"/>
      <c r="L1478" s="15"/>
      <c r="M1478" s="15"/>
      <c r="N1478" s="15"/>
      <c r="O1478" s="15"/>
      <c r="P1478" s="15"/>
    </row>
    <row r="1479" spans="1:16" x14ac:dyDescent="0.25">
      <c r="A1479" s="15"/>
      <c r="B1479" s="15"/>
      <c r="C1479" s="15"/>
      <c r="D1479" s="15"/>
      <c r="E1479" s="15"/>
      <c r="F1479" s="15"/>
      <c r="G1479" s="15"/>
      <c r="H1479" s="15"/>
      <c r="I1479" s="15"/>
      <c r="J1479" s="15"/>
      <c r="K1479" s="15"/>
      <c r="L1479" s="15"/>
      <c r="M1479" s="15"/>
      <c r="N1479" s="15"/>
      <c r="O1479" s="15"/>
      <c r="P1479" s="15"/>
    </row>
    <row r="1480" spans="1:16" x14ac:dyDescent="0.25">
      <c r="A1480" s="15"/>
      <c r="B1480" s="15"/>
      <c r="C1480" s="15"/>
      <c r="D1480" s="15"/>
      <c r="E1480" s="15"/>
      <c r="F1480" s="15"/>
      <c r="G1480" s="15"/>
      <c r="H1480" s="15"/>
      <c r="I1480" s="15"/>
      <c r="J1480" s="15"/>
      <c r="K1480" s="15"/>
      <c r="L1480" s="15"/>
      <c r="M1480" s="15"/>
      <c r="N1480" s="15"/>
      <c r="O1480" s="15"/>
      <c r="P1480" s="15"/>
    </row>
    <row r="1481" spans="1:16" x14ac:dyDescent="0.25">
      <c r="A1481" s="15"/>
      <c r="B1481" s="15"/>
      <c r="C1481" s="15"/>
      <c r="D1481" s="15"/>
      <c r="E1481" s="15"/>
      <c r="F1481" s="15"/>
      <c r="G1481" s="15"/>
      <c r="H1481" s="15"/>
      <c r="I1481" s="15"/>
      <c r="J1481" s="15"/>
      <c r="K1481" s="15"/>
      <c r="L1481" s="15"/>
      <c r="M1481" s="15"/>
      <c r="N1481" s="15"/>
      <c r="O1481" s="15"/>
      <c r="P1481" s="15"/>
    </row>
    <row r="1482" spans="1:16" x14ac:dyDescent="0.25">
      <c r="A1482" s="15"/>
      <c r="B1482" s="15"/>
      <c r="C1482" s="15"/>
      <c r="D1482" s="15"/>
      <c r="E1482" s="15"/>
      <c r="F1482" s="15"/>
      <c r="G1482" s="15"/>
      <c r="H1482" s="15"/>
      <c r="I1482" s="15"/>
      <c r="J1482" s="15"/>
      <c r="K1482" s="15"/>
      <c r="L1482" s="15"/>
      <c r="M1482" s="15"/>
      <c r="N1482" s="15"/>
      <c r="O1482" s="15"/>
      <c r="P1482" s="15"/>
    </row>
    <row r="1483" spans="1:16" x14ac:dyDescent="0.25">
      <c r="A1483" s="15"/>
      <c r="B1483" s="15"/>
      <c r="C1483" s="15"/>
      <c r="D1483" s="15"/>
      <c r="E1483" s="15"/>
      <c r="F1483" s="15"/>
      <c r="G1483" s="15"/>
      <c r="H1483" s="15"/>
      <c r="I1483" s="15"/>
      <c r="J1483" s="15"/>
      <c r="K1483" s="15"/>
      <c r="L1483" s="15"/>
      <c r="M1483" s="15"/>
      <c r="N1483" s="15"/>
      <c r="O1483" s="15"/>
      <c r="P1483" s="15"/>
    </row>
    <row r="1484" spans="1:16" x14ac:dyDescent="0.25">
      <c r="A1484" s="15"/>
      <c r="B1484" s="15"/>
      <c r="C1484" s="15"/>
      <c r="D1484" s="15"/>
      <c r="E1484" s="15"/>
      <c r="F1484" s="15"/>
      <c r="G1484" s="15"/>
      <c r="H1484" s="15"/>
      <c r="I1484" s="15"/>
      <c r="J1484" s="15"/>
      <c r="K1484" s="15"/>
      <c r="L1484" s="15"/>
      <c r="M1484" s="15"/>
      <c r="N1484" s="15"/>
      <c r="O1484" s="15"/>
      <c r="P1484" s="15"/>
    </row>
    <row r="1485" spans="1:16" x14ac:dyDescent="0.25">
      <c r="A1485" s="15"/>
      <c r="B1485" s="15"/>
      <c r="C1485" s="15"/>
      <c r="D1485" s="15"/>
      <c r="E1485" s="15"/>
      <c r="F1485" s="15"/>
      <c r="G1485" s="15"/>
      <c r="H1485" s="15"/>
      <c r="I1485" s="15"/>
      <c r="J1485" s="15"/>
      <c r="K1485" s="15"/>
      <c r="L1485" s="15"/>
      <c r="M1485" s="15"/>
      <c r="N1485" s="15"/>
      <c r="O1485" s="15"/>
      <c r="P1485" s="15"/>
    </row>
    <row r="1486" spans="1:16" x14ac:dyDescent="0.25">
      <c r="A1486" s="15"/>
      <c r="B1486" s="15"/>
      <c r="C1486" s="15"/>
      <c r="D1486" s="15"/>
      <c r="E1486" s="15"/>
      <c r="F1486" s="15"/>
      <c r="G1486" s="15"/>
      <c r="H1486" s="15"/>
      <c r="I1486" s="15"/>
      <c r="J1486" s="15"/>
      <c r="K1486" s="15"/>
      <c r="L1486" s="15"/>
      <c r="M1486" s="15"/>
      <c r="N1486" s="15"/>
      <c r="O1486" s="15"/>
      <c r="P1486" s="15"/>
    </row>
    <row r="1487" spans="1:16" x14ac:dyDescent="0.25">
      <c r="A1487" s="15"/>
      <c r="B1487" s="15"/>
      <c r="C1487" s="15"/>
      <c r="D1487" s="15"/>
      <c r="E1487" s="15"/>
      <c r="F1487" s="15"/>
      <c r="G1487" s="15"/>
      <c r="H1487" s="15"/>
      <c r="I1487" s="15"/>
      <c r="J1487" s="15"/>
      <c r="K1487" s="15"/>
      <c r="L1487" s="15"/>
      <c r="M1487" s="15"/>
      <c r="N1487" s="15"/>
      <c r="O1487" s="15"/>
      <c r="P1487" s="15"/>
    </row>
    <row r="1488" spans="1:16" x14ac:dyDescent="0.25">
      <c r="A1488" s="15"/>
      <c r="B1488" s="15"/>
      <c r="C1488" s="15"/>
      <c r="D1488" s="15"/>
      <c r="E1488" s="15"/>
      <c r="F1488" s="15"/>
      <c r="G1488" s="15"/>
      <c r="H1488" s="15"/>
      <c r="I1488" s="15"/>
      <c r="J1488" s="15"/>
      <c r="K1488" s="15"/>
      <c r="L1488" s="15"/>
      <c r="M1488" s="15"/>
      <c r="N1488" s="15"/>
      <c r="O1488" s="15"/>
      <c r="P1488" s="15"/>
    </row>
    <row r="1489" spans="1:16" x14ac:dyDescent="0.25">
      <c r="A1489" s="15"/>
      <c r="B1489" s="15"/>
      <c r="C1489" s="15"/>
      <c r="D1489" s="15"/>
      <c r="E1489" s="15"/>
      <c r="F1489" s="15"/>
      <c r="G1489" s="15"/>
      <c r="H1489" s="15"/>
      <c r="I1489" s="15"/>
      <c r="J1489" s="15"/>
      <c r="K1489" s="15"/>
      <c r="L1489" s="15"/>
      <c r="M1489" s="15"/>
      <c r="N1489" s="15"/>
      <c r="O1489" s="15"/>
      <c r="P1489" s="15"/>
    </row>
    <row r="1490" spans="1:16" x14ac:dyDescent="0.25">
      <c r="A1490" s="15"/>
      <c r="B1490" s="15"/>
      <c r="C1490" s="15"/>
      <c r="D1490" s="15"/>
      <c r="E1490" s="15"/>
      <c r="F1490" s="15"/>
      <c r="G1490" s="15"/>
      <c r="H1490" s="15"/>
      <c r="I1490" s="15"/>
      <c r="J1490" s="15"/>
      <c r="K1490" s="15"/>
      <c r="L1490" s="15"/>
      <c r="M1490" s="15"/>
      <c r="N1490" s="15"/>
      <c r="O1490" s="15"/>
      <c r="P1490" s="15"/>
    </row>
    <row r="1491" spans="1:16" x14ac:dyDescent="0.25">
      <c r="A1491" s="15"/>
      <c r="B1491" s="15"/>
      <c r="C1491" s="15"/>
      <c r="D1491" s="15"/>
      <c r="E1491" s="15"/>
      <c r="F1491" s="15"/>
      <c r="G1491" s="15"/>
      <c r="H1491" s="15"/>
      <c r="I1491" s="15"/>
      <c r="J1491" s="15"/>
      <c r="K1491" s="15"/>
      <c r="L1491" s="15"/>
      <c r="M1491" s="15"/>
      <c r="N1491" s="15"/>
      <c r="O1491" s="15"/>
      <c r="P1491" s="15"/>
    </row>
    <row r="1492" spans="1:16" x14ac:dyDescent="0.25">
      <c r="A1492" s="15"/>
      <c r="B1492" s="15"/>
      <c r="C1492" s="15"/>
      <c r="D1492" s="15"/>
      <c r="E1492" s="15"/>
      <c r="F1492" s="15"/>
      <c r="G1492" s="15"/>
      <c r="H1492" s="15"/>
      <c r="I1492" s="15"/>
      <c r="J1492" s="15"/>
      <c r="K1492" s="15"/>
      <c r="L1492" s="15"/>
      <c r="M1492" s="15"/>
      <c r="N1492" s="15"/>
      <c r="O1492" s="15"/>
      <c r="P1492" s="15"/>
    </row>
    <row r="1493" spans="1:16" x14ac:dyDescent="0.25">
      <c r="A1493" s="15"/>
      <c r="B1493" s="15"/>
      <c r="C1493" s="15"/>
      <c r="D1493" s="15"/>
      <c r="E1493" s="15"/>
      <c r="F1493" s="15"/>
      <c r="G1493" s="15"/>
      <c r="H1493" s="15"/>
      <c r="I1493" s="15"/>
      <c r="J1493" s="15"/>
      <c r="K1493" s="15"/>
      <c r="L1493" s="15"/>
      <c r="M1493" s="15"/>
      <c r="N1493" s="15"/>
      <c r="O1493" s="15"/>
      <c r="P1493" s="15"/>
    </row>
    <row r="1494" spans="1:16" x14ac:dyDescent="0.25">
      <c r="A1494" s="15"/>
      <c r="B1494" s="15"/>
      <c r="C1494" s="15"/>
      <c r="D1494" s="15"/>
      <c r="E1494" s="15"/>
      <c r="F1494" s="15"/>
      <c r="G1494" s="15"/>
      <c r="H1494" s="15"/>
      <c r="I1494" s="15"/>
      <c r="J1494" s="15"/>
      <c r="K1494" s="15"/>
      <c r="L1494" s="15"/>
      <c r="M1494" s="15"/>
      <c r="N1494" s="15"/>
      <c r="O1494" s="15"/>
      <c r="P1494" s="15"/>
    </row>
    <row r="1495" spans="1:16" x14ac:dyDescent="0.25">
      <c r="A1495" s="15"/>
      <c r="B1495" s="15"/>
      <c r="C1495" s="15"/>
      <c r="D1495" s="15"/>
      <c r="E1495" s="15"/>
      <c r="F1495" s="15"/>
      <c r="G1495" s="15"/>
      <c r="H1495" s="15"/>
      <c r="I1495" s="15"/>
      <c r="J1495" s="15"/>
      <c r="K1495" s="15"/>
      <c r="L1495" s="15"/>
      <c r="M1495" s="15"/>
      <c r="N1495" s="15"/>
      <c r="O1495" s="15"/>
      <c r="P1495" s="15"/>
    </row>
    <row r="1496" spans="1:16" x14ac:dyDescent="0.25">
      <c r="A1496" s="15"/>
      <c r="B1496" s="15"/>
      <c r="C1496" s="15"/>
      <c r="D1496" s="15"/>
      <c r="E1496" s="15"/>
      <c r="F1496" s="15"/>
      <c r="G1496" s="15"/>
      <c r="H1496" s="15"/>
      <c r="I1496" s="15"/>
      <c r="J1496" s="15"/>
      <c r="K1496" s="15"/>
      <c r="L1496" s="15"/>
      <c r="M1496" s="15"/>
      <c r="N1496" s="15"/>
      <c r="O1496" s="15"/>
      <c r="P1496" s="15"/>
    </row>
    <row r="1497" spans="1:16" x14ac:dyDescent="0.25">
      <c r="A1497" s="15"/>
      <c r="B1497" s="15"/>
      <c r="C1497" s="15"/>
      <c r="D1497" s="15"/>
      <c r="E1497" s="15"/>
      <c r="F1497" s="15"/>
      <c r="G1497" s="15"/>
      <c r="H1497" s="15"/>
      <c r="I1497" s="15"/>
      <c r="J1497" s="15"/>
      <c r="K1497" s="15"/>
      <c r="L1497" s="15"/>
      <c r="M1497" s="15"/>
      <c r="N1497" s="15"/>
      <c r="O1497" s="15"/>
      <c r="P1497" s="15"/>
    </row>
    <row r="1498" spans="1:16" x14ac:dyDescent="0.25">
      <c r="A1498" s="15"/>
      <c r="B1498" s="15"/>
      <c r="C1498" s="15"/>
      <c r="D1498" s="15"/>
      <c r="E1498" s="15"/>
      <c r="F1498" s="15"/>
      <c r="G1498" s="15"/>
      <c r="H1498" s="15"/>
      <c r="I1498" s="15"/>
      <c r="J1498" s="15"/>
      <c r="K1498" s="15"/>
      <c r="L1498" s="15"/>
      <c r="M1498" s="15"/>
      <c r="N1498" s="15"/>
      <c r="O1498" s="15"/>
      <c r="P1498" s="15"/>
    </row>
    <row r="1499" spans="1:16" x14ac:dyDescent="0.25">
      <c r="A1499" s="15"/>
      <c r="B1499" s="15"/>
      <c r="C1499" s="15"/>
      <c r="D1499" s="15"/>
      <c r="E1499" s="15"/>
      <c r="F1499" s="15"/>
      <c r="G1499" s="15"/>
      <c r="H1499" s="15"/>
      <c r="I1499" s="15"/>
      <c r="J1499" s="15"/>
      <c r="K1499" s="15"/>
      <c r="L1499" s="15"/>
      <c r="M1499" s="15"/>
      <c r="N1499" s="15"/>
      <c r="O1499" s="15"/>
      <c r="P1499" s="15"/>
    </row>
    <row r="1500" spans="1:16" x14ac:dyDescent="0.25">
      <c r="A1500" s="15"/>
      <c r="B1500" s="15"/>
      <c r="C1500" s="15"/>
      <c r="D1500" s="15"/>
      <c r="E1500" s="15"/>
      <c r="F1500" s="15"/>
      <c r="G1500" s="15"/>
      <c r="H1500" s="15"/>
      <c r="I1500" s="15"/>
      <c r="J1500" s="15"/>
      <c r="K1500" s="15"/>
      <c r="L1500" s="15"/>
      <c r="M1500" s="15"/>
      <c r="N1500" s="15"/>
      <c r="O1500" s="15"/>
      <c r="P1500" s="15"/>
    </row>
    <row r="1501" spans="1:16" x14ac:dyDescent="0.25">
      <c r="A1501" s="15"/>
      <c r="B1501" s="15"/>
      <c r="C1501" s="15"/>
      <c r="D1501" s="15"/>
      <c r="E1501" s="15"/>
      <c r="F1501" s="15"/>
      <c r="G1501" s="15"/>
      <c r="H1501" s="15"/>
      <c r="I1501" s="15"/>
      <c r="J1501" s="15"/>
      <c r="K1501" s="15"/>
      <c r="L1501" s="15"/>
      <c r="M1501" s="15"/>
      <c r="N1501" s="15"/>
      <c r="O1501" s="15"/>
      <c r="P1501" s="15"/>
    </row>
    <row r="1502" spans="1:16" x14ac:dyDescent="0.25">
      <c r="A1502" s="15"/>
      <c r="B1502" s="15"/>
      <c r="C1502" s="15"/>
      <c r="D1502" s="15"/>
      <c r="E1502" s="15"/>
      <c r="F1502" s="15"/>
      <c r="G1502" s="15"/>
      <c r="H1502" s="15"/>
      <c r="I1502" s="15"/>
      <c r="J1502" s="15"/>
      <c r="K1502" s="15"/>
      <c r="L1502" s="15"/>
      <c r="M1502" s="15"/>
      <c r="N1502" s="15"/>
      <c r="O1502" s="15"/>
      <c r="P1502" s="15"/>
    </row>
    <row r="1503" spans="1:16" x14ac:dyDescent="0.25">
      <c r="A1503" s="15"/>
      <c r="B1503" s="15"/>
      <c r="C1503" s="15"/>
      <c r="D1503" s="15"/>
      <c r="E1503" s="15"/>
      <c r="F1503" s="15"/>
      <c r="G1503" s="15"/>
      <c r="H1503" s="15"/>
      <c r="I1503" s="15"/>
      <c r="J1503" s="15"/>
      <c r="K1503" s="15"/>
      <c r="L1503" s="15"/>
      <c r="M1503" s="15"/>
      <c r="N1503" s="15"/>
      <c r="O1503" s="15"/>
      <c r="P1503" s="15"/>
    </row>
    <row r="1504" spans="1:16" x14ac:dyDescent="0.25">
      <c r="A1504" s="15"/>
      <c r="B1504" s="15"/>
      <c r="C1504" s="15"/>
      <c r="D1504" s="15"/>
      <c r="E1504" s="15"/>
      <c r="F1504" s="15"/>
      <c r="G1504" s="15"/>
      <c r="H1504" s="15"/>
      <c r="I1504" s="15"/>
      <c r="J1504" s="15"/>
      <c r="K1504" s="15"/>
      <c r="L1504" s="15"/>
      <c r="M1504" s="15"/>
      <c r="N1504" s="15"/>
      <c r="O1504" s="15"/>
      <c r="P1504" s="15"/>
    </row>
    <row r="1505" spans="1:16" x14ac:dyDescent="0.25">
      <c r="A1505" s="15"/>
      <c r="B1505" s="15"/>
      <c r="C1505" s="15"/>
      <c r="D1505" s="15"/>
      <c r="E1505" s="15"/>
      <c r="F1505" s="15"/>
      <c r="G1505" s="15"/>
      <c r="H1505" s="15"/>
      <c r="I1505" s="15"/>
      <c r="J1505" s="15"/>
      <c r="K1505" s="15"/>
      <c r="L1505" s="15"/>
      <c r="M1505" s="15"/>
      <c r="N1505" s="15"/>
      <c r="O1505" s="15"/>
      <c r="P1505" s="15"/>
    </row>
    <row r="1506" spans="1:16" x14ac:dyDescent="0.25">
      <c r="A1506" s="15"/>
      <c r="B1506" s="15"/>
      <c r="C1506" s="15"/>
      <c r="D1506" s="15"/>
      <c r="E1506" s="15"/>
      <c r="F1506" s="15"/>
      <c r="G1506" s="15"/>
      <c r="H1506" s="15"/>
      <c r="I1506" s="15"/>
      <c r="J1506" s="15"/>
      <c r="K1506" s="15"/>
      <c r="L1506" s="15"/>
      <c r="M1506" s="15"/>
      <c r="N1506" s="15"/>
      <c r="O1506" s="15"/>
      <c r="P1506" s="15"/>
    </row>
    <row r="1507" spans="1:16" x14ac:dyDescent="0.25">
      <c r="A1507" s="15"/>
      <c r="B1507" s="15"/>
      <c r="C1507" s="15"/>
      <c r="D1507" s="15"/>
      <c r="E1507" s="15"/>
      <c r="F1507" s="15"/>
      <c r="G1507" s="15"/>
      <c r="H1507" s="15"/>
      <c r="I1507" s="15"/>
      <c r="J1507" s="15"/>
      <c r="K1507" s="15"/>
      <c r="L1507" s="15"/>
      <c r="M1507" s="15"/>
      <c r="N1507" s="15"/>
      <c r="O1507" s="15"/>
      <c r="P1507" s="15"/>
    </row>
    <row r="1508" spans="1:16" x14ac:dyDescent="0.25">
      <c r="A1508" s="15"/>
      <c r="B1508" s="15"/>
      <c r="C1508" s="15"/>
      <c r="D1508" s="15"/>
      <c r="E1508" s="15"/>
      <c r="F1508" s="15"/>
      <c r="G1508" s="15"/>
      <c r="H1508" s="15"/>
      <c r="I1508" s="15"/>
      <c r="J1508" s="15"/>
      <c r="K1508" s="15"/>
      <c r="L1508" s="15"/>
      <c r="M1508" s="15"/>
      <c r="N1508" s="15"/>
      <c r="O1508" s="15"/>
      <c r="P1508" s="15"/>
    </row>
    <row r="1509" spans="1:16" x14ac:dyDescent="0.25">
      <c r="A1509" s="15"/>
      <c r="B1509" s="15"/>
      <c r="C1509" s="15"/>
      <c r="D1509" s="15"/>
      <c r="E1509" s="15"/>
      <c r="F1509" s="15"/>
      <c r="G1509" s="15"/>
      <c r="H1509" s="15"/>
      <c r="I1509" s="15"/>
      <c r="J1509" s="15"/>
      <c r="K1509" s="15"/>
      <c r="L1509" s="15"/>
      <c r="M1509" s="15"/>
      <c r="N1509" s="15"/>
      <c r="O1509" s="15"/>
      <c r="P1509" s="15"/>
    </row>
    <row r="1510" spans="1:16" x14ac:dyDescent="0.25">
      <c r="A1510" s="15"/>
      <c r="B1510" s="15"/>
      <c r="C1510" s="15"/>
      <c r="D1510" s="15"/>
      <c r="E1510" s="15"/>
      <c r="F1510" s="15"/>
      <c r="G1510" s="15"/>
      <c r="H1510" s="15"/>
      <c r="I1510" s="15"/>
      <c r="J1510" s="15"/>
      <c r="K1510" s="15"/>
      <c r="L1510" s="15"/>
      <c r="M1510" s="15"/>
      <c r="N1510" s="15"/>
      <c r="O1510" s="15"/>
      <c r="P1510" s="15"/>
    </row>
    <row r="1511" spans="1:16" x14ac:dyDescent="0.25">
      <c r="A1511" s="15"/>
      <c r="B1511" s="15"/>
      <c r="C1511" s="15"/>
      <c r="D1511" s="15"/>
      <c r="E1511" s="15"/>
      <c r="F1511" s="15"/>
      <c r="G1511" s="15"/>
      <c r="H1511" s="15"/>
      <c r="I1511" s="15"/>
      <c r="J1511" s="15"/>
      <c r="K1511" s="15"/>
      <c r="L1511" s="15"/>
      <c r="M1511" s="15"/>
      <c r="N1511" s="15"/>
      <c r="O1511" s="15"/>
      <c r="P1511" s="15"/>
    </row>
    <row r="1512" spans="1:16" x14ac:dyDescent="0.25">
      <c r="A1512" s="15"/>
      <c r="B1512" s="15"/>
      <c r="C1512" s="15"/>
      <c r="D1512" s="15"/>
      <c r="E1512" s="15"/>
      <c r="F1512" s="15"/>
      <c r="G1512" s="15"/>
      <c r="H1512" s="15"/>
      <c r="I1512" s="15"/>
      <c r="J1512" s="15"/>
      <c r="K1512" s="15"/>
      <c r="L1512" s="15"/>
      <c r="M1512" s="15"/>
      <c r="N1512" s="15"/>
      <c r="O1512" s="15"/>
      <c r="P1512" s="15"/>
    </row>
    <row r="1513" spans="1:16" x14ac:dyDescent="0.25">
      <c r="A1513" s="15"/>
      <c r="B1513" s="15"/>
      <c r="C1513" s="15"/>
      <c r="D1513" s="15"/>
      <c r="E1513" s="15"/>
      <c r="F1513" s="15"/>
      <c r="G1513" s="15"/>
      <c r="H1513" s="15"/>
      <c r="I1513" s="15"/>
      <c r="J1513" s="15"/>
      <c r="K1513" s="15"/>
      <c r="L1513" s="15"/>
      <c r="M1513" s="15"/>
      <c r="N1513" s="15"/>
      <c r="O1513" s="15"/>
      <c r="P1513" s="15"/>
    </row>
    <row r="1514" spans="1:16" x14ac:dyDescent="0.25">
      <c r="A1514" s="15"/>
      <c r="B1514" s="15"/>
      <c r="C1514" s="15"/>
      <c r="D1514" s="15"/>
      <c r="E1514" s="15"/>
      <c r="F1514" s="15"/>
      <c r="G1514" s="15"/>
      <c r="H1514" s="15"/>
      <c r="I1514" s="15"/>
      <c r="J1514" s="15"/>
      <c r="K1514" s="15"/>
      <c r="L1514" s="15"/>
      <c r="M1514" s="15"/>
      <c r="N1514" s="15"/>
      <c r="O1514" s="15"/>
      <c r="P1514" s="15"/>
    </row>
    <row r="1515" spans="1:16" x14ac:dyDescent="0.25">
      <c r="A1515" s="15"/>
      <c r="B1515" s="15"/>
      <c r="C1515" s="15"/>
      <c r="D1515" s="15"/>
      <c r="E1515" s="15"/>
      <c r="F1515" s="15"/>
      <c r="G1515" s="15"/>
      <c r="H1515" s="15"/>
      <c r="I1515" s="15"/>
      <c r="J1515" s="15"/>
      <c r="K1515" s="15"/>
      <c r="L1515" s="15"/>
      <c r="M1515" s="15"/>
      <c r="N1515" s="15"/>
      <c r="O1515" s="15"/>
      <c r="P1515" s="15"/>
    </row>
    <row r="1516" spans="1:16" x14ac:dyDescent="0.25">
      <c r="A1516" s="15"/>
      <c r="B1516" s="15"/>
      <c r="C1516" s="15"/>
      <c r="D1516" s="15"/>
      <c r="E1516" s="15"/>
      <c r="F1516" s="15"/>
      <c r="G1516" s="15"/>
      <c r="H1516" s="15"/>
      <c r="I1516" s="15"/>
      <c r="J1516" s="15"/>
      <c r="K1516" s="15"/>
      <c r="L1516" s="15"/>
      <c r="M1516" s="15"/>
      <c r="N1516" s="15"/>
      <c r="O1516" s="15"/>
      <c r="P1516" s="15"/>
    </row>
    <row r="1517" spans="1:16" x14ac:dyDescent="0.25">
      <c r="A1517" s="15"/>
      <c r="B1517" s="15"/>
      <c r="C1517" s="15"/>
      <c r="D1517" s="15"/>
      <c r="E1517" s="15"/>
      <c r="F1517" s="15"/>
      <c r="G1517" s="15"/>
      <c r="H1517" s="15"/>
      <c r="I1517" s="15"/>
      <c r="J1517" s="15"/>
      <c r="K1517" s="15"/>
      <c r="L1517" s="15"/>
      <c r="M1517" s="15"/>
      <c r="N1517" s="15"/>
      <c r="O1517" s="15"/>
      <c r="P1517" s="15"/>
    </row>
    <row r="1518" spans="1:16" x14ac:dyDescent="0.25">
      <c r="A1518" s="15"/>
      <c r="B1518" s="15"/>
      <c r="C1518" s="15"/>
      <c r="D1518" s="15"/>
      <c r="E1518" s="15"/>
      <c r="F1518" s="15"/>
      <c r="G1518" s="15"/>
      <c r="H1518" s="15"/>
      <c r="I1518" s="15"/>
      <c r="J1518" s="15"/>
      <c r="K1518" s="15"/>
      <c r="L1518" s="15"/>
      <c r="M1518" s="15"/>
      <c r="N1518" s="15"/>
      <c r="O1518" s="15"/>
      <c r="P1518" s="15"/>
    </row>
    <row r="1519" spans="1:16" x14ac:dyDescent="0.25">
      <c r="A1519" s="15"/>
      <c r="B1519" s="15"/>
      <c r="C1519" s="15"/>
      <c r="D1519" s="15"/>
      <c r="E1519" s="15"/>
      <c r="F1519" s="15"/>
      <c r="G1519" s="15"/>
      <c r="H1519" s="15"/>
      <c r="I1519" s="15"/>
      <c r="J1519" s="15"/>
      <c r="K1519" s="15"/>
      <c r="L1519" s="15"/>
      <c r="M1519" s="15"/>
      <c r="N1519" s="15"/>
      <c r="O1519" s="15"/>
      <c r="P1519" s="15"/>
    </row>
    <row r="1520" spans="1:16" x14ac:dyDescent="0.25">
      <c r="A1520" s="15"/>
      <c r="B1520" s="15"/>
      <c r="C1520" s="15"/>
      <c r="D1520" s="15"/>
      <c r="E1520" s="15"/>
      <c r="F1520" s="15"/>
      <c r="G1520" s="15"/>
      <c r="H1520" s="15"/>
      <c r="I1520" s="15"/>
      <c r="J1520" s="15"/>
      <c r="K1520" s="15"/>
      <c r="L1520" s="15"/>
      <c r="M1520" s="15"/>
      <c r="N1520" s="15"/>
      <c r="O1520" s="15"/>
      <c r="P1520" s="15"/>
    </row>
    <row r="1521" spans="1:16" x14ac:dyDescent="0.25">
      <c r="A1521" s="15"/>
      <c r="B1521" s="15"/>
      <c r="C1521" s="15"/>
      <c r="D1521" s="15"/>
      <c r="E1521" s="15"/>
      <c r="F1521" s="15"/>
      <c r="G1521" s="15"/>
      <c r="H1521" s="15"/>
      <c r="I1521" s="15"/>
      <c r="J1521" s="15"/>
      <c r="K1521" s="15"/>
      <c r="L1521" s="15"/>
      <c r="M1521" s="15"/>
      <c r="N1521" s="15"/>
      <c r="O1521" s="15"/>
      <c r="P1521" s="15"/>
    </row>
    <row r="1522" spans="1:16" x14ac:dyDescent="0.25">
      <c r="A1522" s="15"/>
      <c r="B1522" s="15"/>
      <c r="C1522" s="15"/>
      <c r="D1522" s="15"/>
      <c r="E1522" s="15"/>
      <c r="F1522" s="15"/>
      <c r="G1522" s="15"/>
      <c r="H1522" s="15"/>
      <c r="I1522" s="15"/>
      <c r="J1522" s="15"/>
      <c r="K1522" s="15"/>
      <c r="L1522" s="15"/>
      <c r="M1522" s="15"/>
      <c r="N1522" s="15"/>
      <c r="O1522" s="15"/>
      <c r="P1522" s="15"/>
    </row>
    <row r="1523" spans="1:16" x14ac:dyDescent="0.25">
      <c r="A1523" s="15"/>
      <c r="B1523" s="15"/>
      <c r="C1523" s="15"/>
      <c r="D1523" s="15"/>
      <c r="E1523" s="15"/>
      <c r="F1523" s="15"/>
      <c r="G1523" s="15"/>
      <c r="H1523" s="15"/>
      <c r="I1523" s="15"/>
      <c r="J1523" s="15"/>
      <c r="K1523" s="15"/>
      <c r="L1523" s="15"/>
      <c r="M1523" s="15"/>
      <c r="N1523" s="15"/>
      <c r="O1523" s="15"/>
      <c r="P1523" s="15"/>
    </row>
    <row r="1524" spans="1:16" x14ac:dyDescent="0.25">
      <c r="A1524" s="15"/>
      <c r="B1524" s="15"/>
      <c r="C1524" s="15"/>
      <c r="D1524" s="15"/>
      <c r="E1524" s="15"/>
      <c r="F1524" s="15"/>
      <c r="G1524" s="15"/>
      <c r="H1524" s="15"/>
      <c r="I1524" s="15"/>
      <c r="J1524" s="15"/>
      <c r="K1524" s="15"/>
      <c r="L1524" s="15"/>
      <c r="M1524" s="15"/>
      <c r="N1524" s="15"/>
      <c r="O1524" s="15"/>
      <c r="P1524" s="15"/>
    </row>
    <row r="1525" spans="1:16" x14ac:dyDescent="0.25">
      <c r="A1525" s="15"/>
      <c r="B1525" s="15"/>
      <c r="C1525" s="15"/>
      <c r="D1525" s="15"/>
      <c r="E1525" s="15"/>
      <c r="F1525" s="15"/>
      <c r="G1525" s="15"/>
      <c r="H1525" s="15"/>
      <c r="I1525" s="15"/>
      <c r="J1525" s="15"/>
      <c r="K1525" s="15"/>
      <c r="L1525" s="15"/>
      <c r="M1525" s="15"/>
      <c r="N1525" s="15"/>
      <c r="O1525" s="15"/>
      <c r="P1525" s="15"/>
    </row>
    <row r="1526" spans="1:16" x14ac:dyDescent="0.25">
      <c r="A1526" s="15"/>
      <c r="B1526" s="15"/>
      <c r="C1526" s="15"/>
      <c r="D1526" s="15"/>
      <c r="E1526" s="15"/>
      <c r="F1526" s="15"/>
      <c r="G1526" s="15"/>
      <c r="H1526" s="15"/>
      <c r="I1526" s="15"/>
      <c r="J1526" s="15"/>
      <c r="K1526" s="15"/>
      <c r="L1526" s="15"/>
      <c r="M1526" s="15"/>
      <c r="N1526" s="15"/>
      <c r="O1526" s="15"/>
      <c r="P1526" s="15"/>
    </row>
    <row r="1527" spans="1:16" x14ac:dyDescent="0.25">
      <c r="A1527" s="15"/>
      <c r="B1527" s="15"/>
      <c r="C1527" s="15"/>
      <c r="D1527" s="15"/>
      <c r="E1527" s="15"/>
      <c r="F1527" s="15"/>
      <c r="G1527" s="15"/>
      <c r="H1527" s="15"/>
      <c r="I1527" s="15"/>
      <c r="J1527" s="15"/>
      <c r="K1527" s="15"/>
      <c r="L1527" s="15"/>
      <c r="M1527" s="15"/>
      <c r="N1527" s="15"/>
      <c r="O1527" s="15"/>
      <c r="P1527" s="15"/>
    </row>
    <row r="1528" spans="1:16" x14ac:dyDescent="0.25">
      <c r="A1528" s="15"/>
      <c r="B1528" s="15"/>
      <c r="C1528" s="15"/>
      <c r="D1528" s="15"/>
      <c r="E1528" s="15"/>
      <c r="F1528" s="15"/>
      <c r="G1528" s="15"/>
      <c r="H1528" s="15"/>
      <c r="I1528" s="15"/>
      <c r="J1528" s="15"/>
      <c r="K1528" s="15"/>
      <c r="L1528" s="15"/>
      <c r="M1528" s="15"/>
      <c r="N1528" s="15"/>
      <c r="O1528" s="15"/>
      <c r="P1528" s="15"/>
    </row>
    <row r="1529" spans="1:16" x14ac:dyDescent="0.25">
      <c r="A1529" s="15"/>
      <c r="B1529" s="15"/>
      <c r="C1529" s="15"/>
      <c r="D1529" s="15"/>
      <c r="E1529" s="15"/>
      <c r="F1529" s="15"/>
      <c r="G1529" s="15"/>
      <c r="H1529" s="15"/>
      <c r="I1529" s="15"/>
      <c r="J1529" s="15"/>
      <c r="K1529" s="15"/>
      <c r="L1529" s="15"/>
      <c r="M1529" s="15"/>
      <c r="N1529" s="15"/>
      <c r="O1529" s="15"/>
      <c r="P1529" s="15"/>
    </row>
    <row r="1530" spans="1:16" x14ac:dyDescent="0.25">
      <c r="A1530" s="15"/>
      <c r="B1530" s="15"/>
      <c r="C1530" s="15"/>
      <c r="D1530" s="15"/>
      <c r="E1530" s="15"/>
      <c r="F1530" s="15"/>
      <c r="G1530" s="15"/>
      <c r="H1530" s="15"/>
      <c r="I1530" s="15"/>
      <c r="J1530" s="15"/>
      <c r="K1530" s="15"/>
      <c r="L1530" s="15"/>
      <c r="M1530" s="15"/>
      <c r="N1530" s="15"/>
      <c r="O1530" s="15"/>
      <c r="P1530" s="15"/>
    </row>
    <row r="1531" spans="1:16" x14ac:dyDescent="0.25">
      <c r="A1531" s="15"/>
      <c r="B1531" s="15"/>
      <c r="C1531" s="15"/>
      <c r="D1531" s="15"/>
      <c r="E1531" s="15"/>
      <c r="F1531" s="15"/>
      <c r="G1531" s="15"/>
      <c r="H1531" s="15"/>
      <c r="I1531" s="15"/>
      <c r="J1531" s="15"/>
      <c r="K1531" s="15"/>
      <c r="L1531" s="15"/>
      <c r="M1531" s="15"/>
      <c r="N1531" s="15"/>
      <c r="O1531" s="15"/>
      <c r="P1531" s="15"/>
    </row>
    <row r="1532" spans="1:16" x14ac:dyDescent="0.25">
      <c r="A1532" s="15"/>
      <c r="B1532" s="15"/>
      <c r="C1532" s="15"/>
      <c r="D1532" s="15"/>
      <c r="E1532" s="15"/>
      <c r="F1532" s="15"/>
      <c r="G1532" s="15"/>
      <c r="H1532" s="15"/>
      <c r="I1532" s="15"/>
      <c r="J1532" s="15"/>
      <c r="K1532" s="15"/>
      <c r="L1532" s="15"/>
      <c r="M1532" s="15"/>
      <c r="N1532" s="15"/>
      <c r="O1532" s="15"/>
      <c r="P1532" s="15"/>
    </row>
    <row r="1533" spans="1:16" x14ac:dyDescent="0.25">
      <c r="A1533" s="15"/>
      <c r="B1533" s="15"/>
      <c r="C1533" s="15"/>
      <c r="D1533" s="15"/>
      <c r="E1533" s="15"/>
      <c r="F1533" s="15"/>
      <c r="G1533" s="15"/>
      <c r="H1533" s="15"/>
      <c r="I1533" s="15"/>
      <c r="J1533" s="15"/>
      <c r="K1533" s="15"/>
      <c r="L1533" s="15"/>
      <c r="M1533" s="15"/>
      <c r="N1533" s="15"/>
      <c r="O1533" s="15"/>
      <c r="P1533" s="15"/>
    </row>
    <row r="1534" spans="1:16" x14ac:dyDescent="0.25">
      <c r="A1534" s="15"/>
      <c r="B1534" s="15"/>
      <c r="C1534" s="15"/>
      <c r="D1534" s="15"/>
      <c r="E1534" s="15"/>
      <c r="F1534" s="15"/>
      <c r="G1534" s="15"/>
      <c r="H1534" s="15"/>
      <c r="I1534" s="15"/>
      <c r="J1534" s="15"/>
      <c r="K1534" s="15"/>
      <c r="L1534" s="15"/>
      <c r="M1534" s="15"/>
      <c r="N1534" s="15"/>
      <c r="O1534" s="15"/>
      <c r="P1534" s="15"/>
    </row>
    <row r="1535" spans="1:16" x14ac:dyDescent="0.25">
      <c r="A1535" s="15"/>
      <c r="B1535" s="15"/>
      <c r="C1535" s="15"/>
      <c r="D1535" s="15"/>
      <c r="E1535" s="15"/>
      <c r="F1535" s="15"/>
      <c r="G1535" s="15"/>
      <c r="H1535" s="15"/>
      <c r="I1535" s="15"/>
      <c r="J1535" s="15"/>
      <c r="K1535" s="15"/>
      <c r="L1535" s="15"/>
      <c r="M1535" s="15"/>
      <c r="N1535" s="15"/>
      <c r="O1535" s="15"/>
      <c r="P1535" s="15"/>
    </row>
    <row r="1536" spans="1:16" x14ac:dyDescent="0.25">
      <c r="A1536" s="15"/>
      <c r="B1536" s="15"/>
      <c r="C1536" s="15"/>
      <c r="D1536" s="15"/>
      <c r="E1536" s="15"/>
      <c r="F1536" s="15"/>
      <c r="G1536" s="15"/>
      <c r="H1536" s="15"/>
      <c r="I1536" s="15"/>
      <c r="J1536" s="15"/>
      <c r="K1536" s="15"/>
      <c r="L1536" s="15"/>
      <c r="M1536" s="15"/>
      <c r="N1536" s="15"/>
      <c r="O1536" s="15"/>
      <c r="P1536" s="15"/>
    </row>
    <row r="1537" spans="1:16" x14ac:dyDescent="0.25">
      <c r="A1537" s="15"/>
      <c r="B1537" s="15"/>
      <c r="C1537" s="15"/>
      <c r="D1537" s="15"/>
      <c r="E1537" s="15"/>
      <c r="F1537" s="15"/>
      <c r="G1537" s="15"/>
      <c r="H1537" s="15"/>
      <c r="I1537" s="15"/>
      <c r="J1537" s="15"/>
      <c r="K1537" s="15"/>
      <c r="L1537" s="15"/>
      <c r="M1537" s="15"/>
      <c r="N1537" s="15"/>
      <c r="O1537" s="15"/>
      <c r="P1537" s="15"/>
    </row>
    <row r="1538" spans="1:16" x14ac:dyDescent="0.25">
      <c r="A1538" s="15"/>
      <c r="B1538" s="15"/>
      <c r="C1538" s="15"/>
      <c r="D1538" s="15"/>
      <c r="E1538" s="15"/>
      <c r="F1538" s="15"/>
      <c r="G1538" s="15"/>
      <c r="H1538" s="15"/>
      <c r="I1538" s="15"/>
      <c r="J1538" s="15"/>
      <c r="K1538" s="15"/>
      <c r="L1538" s="15"/>
      <c r="M1538" s="15"/>
      <c r="N1538" s="15"/>
      <c r="O1538" s="15"/>
      <c r="P1538" s="15"/>
    </row>
    <row r="1539" spans="1:16" x14ac:dyDescent="0.25">
      <c r="A1539" s="15"/>
      <c r="B1539" s="15"/>
      <c r="C1539" s="15"/>
      <c r="D1539" s="15"/>
      <c r="E1539" s="15"/>
      <c r="F1539" s="15"/>
      <c r="G1539" s="15"/>
      <c r="H1539" s="15"/>
      <c r="I1539" s="15"/>
      <c r="J1539" s="15"/>
      <c r="K1539" s="15"/>
      <c r="L1539" s="15"/>
      <c r="M1539" s="15"/>
      <c r="N1539" s="15"/>
      <c r="O1539" s="15"/>
      <c r="P1539" s="15"/>
    </row>
    <row r="1540" spans="1:16" x14ac:dyDescent="0.25">
      <c r="A1540" s="15"/>
      <c r="B1540" s="15"/>
      <c r="C1540" s="15"/>
      <c r="D1540" s="15"/>
      <c r="E1540" s="15"/>
      <c r="F1540" s="15"/>
      <c r="G1540" s="15"/>
      <c r="H1540" s="15"/>
      <c r="I1540" s="15"/>
      <c r="J1540" s="15"/>
      <c r="K1540" s="15"/>
      <c r="L1540" s="15"/>
      <c r="M1540" s="15"/>
      <c r="N1540" s="15"/>
      <c r="O1540" s="15"/>
      <c r="P1540" s="15"/>
    </row>
    <row r="1541" spans="1:16" x14ac:dyDescent="0.25">
      <c r="A1541" s="15"/>
      <c r="B1541" s="15"/>
      <c r="C1541" s="15"/>
      <c r="D1541" s="15"/>
      <c r="E1541" s="15"/>
      <c r="F1541" s="15"/>
      <c r="G1541" s="15"/>
      <c r="H1541" s="15"/>
      <c r="I1541" s="15"/>
      <c r="J1541" s="15"/>
      <c r="K1541" s="15"/>
      <c r="L1541" s="15"/>
      <c r="M1541" s="15"/>
      <c r="N1541" s="15"/>
      <c r="O1541" s="15"/>
      <c r="P1541" s="15"/>
    </row>
    <row r="1542" spans="1:16" x14ac:dyDescent="0.25">
      <c r="A1542" s="15"/>
      <c r="B1542" s="15"/>
      <c r="C1542" s="15"/>
      <c r="D1542" s="15"/>
      <c r="E1542" s="15"/>
      <c r="F1542" s="15"/>
      <c r="G1542" s="15"/>
      <c r="H1542" s="15"/>
      <c r="I1542" s="15"/>
      <c r="J1542" s="15"/>
      <c r="K1542" s="15"/>
      <c r="L1542" s="15"/>
      <c r="M1542" s="15"/>
      <c r="N1542" s="15"/>
      <c r="O1542" s="15"/>
      <c r="P1542" s="15"/>
    </row>
    <row r="1543" spans="1:16" x14ac:dyDescent="0.25">
      <c r="A1543" s="15"/>
      <c r="B1543" s="15"/>
      <c r="C1543" s="15"/>
      <c r="D1543" s="15"/>
      <c r="E1543" s="15"/>
      <c r="F1543" s="15"/>
      <c r="G1543" s="15"/>
      <c r="H1543" s="15"/>
      <c r="I1543" s="15"/>
      <c r="J1543" s="15"/>
      <c r="K1543" s="15"/>
      <c r="L1543" s="15"/>
      <c r="M1543" s="15"/>
      <c r="N1543" s="15"/>
      <c r="O1543" s="15"/>
      <c r="P1543" s="15"/>
    </row>
    <row r="1544" spans="1:16" x14ac:dyDescent="0.25">
      <c r="A1544" s="15"/>
      <c r="B1544" s="15"/>
      <c r="C1544" s="15"/>
      <c r="D1544" s="15"/>
      <c r="E1544" s="15"/>
      <c r="F1544" s="15"/>
      <c r="G1544" s="15"/>
      <c r="H1544" s="15"/>
      <c r="I1544" s="15"/>
      <c r="J1544" s="15"/>
      <c r="K1544" s="15"/>
      <c r="L1544" s="15"/>
      <c r="M1544" s="15"/>
      <c r="N1544" s="15"/>
      <c r="O1544" s="15"/>
      <c r="P1544" s="15"/>
    </row>
    <row r="1545" spans="1:16" x14ac:dyDescent="0.25">
      <c r="A1545" s="15"/>
      <c r="B1545" s="15"/>
      <c r="C1545" s="15"/>
      <c r="D1545" s="15"/>
      <c r="E1545" s="15"/>
      <c r="F1545" s="15"/>
      <c r="G1545" s="15"/>
      <c r="H1545" s="15"/>
      <c r="I1545" s="15"/>
      <c r="J1545" s="15"/>
      <c r="K1545" s="15"/>
      <c r="L1545" s="15"/>
      <c r="M1545" s="15"/>
      <c r="N1545" s="15"/>
      <c r="O1545" s="15"/>
      <c r="P1545" s="15"/>
    </row>
    <row r="1546" spans="1:16" x14ac:dyDescent="0.25">
      <c r="A1546" s="15"/>
      <c r="B1546" s="15"/>
      <c r="C1546" s="15"/>
      <c r="D1546" s="15"/>
      <c r="E1546" s="15"/>
      <c r="F1546" s="15"/>
      <c r="G1546" s="15"/>
      <c r="H1546" s="15"/>
      <c r="I1546" s="15"/>
      <c r="J1546" s="15"/>
      <c r="K1546" s="15"/>
      <c r="L1546" s="15"/>
      <c r="M1546" s="15"/>
      <c r="N1546" s="15"/>
      <c r="O1546" s="15"/>
      <c r="P1546" s="15"/>
    </row>
    <row r="1547" spans="1:16" x14ac:dyDescent="0.25">
      <c r="A1547" s="15"/>
      <c r="B1547" s="15"/>
      <c r="C1547" s="15"/>
      <c r="D1547" s="15"/>
      <c r="E1547" s="15"/>
      <c r="F1547" s="15"/>
      <c r="G1547" s="15"/>
      <c r="H1547" s="15"/>
      <c r="I1547" s="15"/>
      <c r="J1547" s="15"/>
      <c r="K1547" s="15"/>
      <c r="L1547" s="15"/>
      <c r="M1547" s="15"/>
      <c r="N1547" s="15"/>
      <c r="O1547" s="15"/>
      <c r="P1547" s="15"/>
    </row>
    <row r="1548" spans="1:16" x14ac:dyDescent="0.25">
      <c r="A1548" s="15"/>
      <c r="B1548" s="15"/>
      <c r="C1548" s="15"/>
      <c r="D1548" s="15"/>
      <c r="E1548" s="15"/>
      <c r="F1548" s="15"/>
      <c r="G1548" s="15"/>
      <c r="H1548" s="15"/>
      <c r="I1548" s="15"/>
      <c r="J1548" s="15"/>
      <c r="K1548" s="15"/>
      <c r="L1548" s="15"/>
      <c r="M1548" s="15"/>
      <c r="N1548" s="15"/>
      <c r="O1548" s="15"/>
      <c r="P1548" s="15"/>
    </row>
    <row r="1549" spans="1:16" x14ac:dyDescent="0.25">
      <c r="A1549" s="15"/>
      <c r="B1549" s="15"/>
      <c r="C1549" s="15"/>
      <c r="D1549" s="15"/>
      <c r="E1549" s="15"/>
      <c r="F1549" s="15"/>
      <c r="G1549" s="15"/>
      <c r="H1549" s="15"/>
      <c r="I1549" s="15"/>
      <c r="J1549" s="15"/>
      <c r="K1549" s="15"/>
      <c r="L1549" s="15"/>
      <c r="M1549" s="15"/>
      <c r="N1549" s="15"/>
      <c r="O1549" s="15"/>
      <c r="P1549" s="15"/>
    </row>
    <row r="1550" spans="1:16" x14ac:dyDescent="0.25">
      <c r="A1550" s="15"/>
      <c r="B1550" s="15"/>
      <c r="C1550" s="15"/>
      <c r="D1550" s="15"/>
      <c r="E1550" s="15"/>
      <c r="F1550" s="15"/>
      <c r="G1550" s="15"/>
      <c r="H1550" s="15"/>
      <c r="I1550" s="15"/>
      <c r="J1550" s="15"/>
      <c r="K1550" s="15"/>
      <c r="L1550" s="15"/>
      <c r="M1550" s="15"/>
      <c r="N1550" s="15"/>
      <c r="O1550" s="15"/>
      <c r="P1550" s="15"/>
    </row>
    <row r="1551" spans="1:16" x14ac:dyDescent="0.25">
      <c r="A1551" s="15"/>
      <c r="B1551" s="15"/>
      <c r="C1551" s="15"/>
      <c r="D1551" s="15"/>
      <c r="E1551" s="15"/>
      <c r="F1551" s="15"/>
      <c r="G1551" s="15"/>
      <c r="H1551" s="15"/>
      <c r="I1551" s="15"/>
      <c r="J1551" s="15"/>
      <c r="K1551" s="15"/>
      <c r="L1551" s="15"/>
      <c r="M1551" s="15"/>
      <c r="N1551" s="15"/>
      <c r="O1551" s="15"/>
      <c r="P1551" s="15"/>
    </row>
    <row r="1552" spans="1:16" x14ac:dyDescent="0.25">
      <c r="A1552" s="15"/>
      <c r="B1552" s="15"/>
      <c r="C1552" s="15"/>
      <c r="D1552" s="15"/>
      <c r="E1552" s="15"/>
      <c r="F1552" s="15"/>
      <c r="G1552" s="15"/>
      <c r="H1552" s="15"/>
      <c r="I1552" s="15"/>
      <c r="J1552" s="15"/>
      <c r="K1552" s="15"/>
      <c r="L1552" s="15"/>
      <c r="M1552" s="15"/>
      <c r="N1552" s="15"/>
      <c r="O1552" s="15"/>
      <c r="P1552" s="15"/>
    </row>
    <row r="1553" spans="1:16" x14ac:dyDescent="0.25">
      <c r="A1553" s="15"/>
      <c r="B1553" s="15"/>
      <c r="C1553" s="15"/>
      <c r="D1553" s="15"/>
      <c r="E1553" s="15"/>
      <c r="F1553" s="15"/>
      <c r="G1553" s="15"/>
      <c r="H1553" s="15"/>
      <c r="I1553" s="15"/>
      <c r="J1553" s="15"/>
      <c r="K1553" s="15"/>
      <c r="L1553" s="15"/>
      <c r="M1553" s="15"/>
      <c r="N1553" s="15"/>
      <c r="O1553" s="15"/>
      <c r="P1553" s="15"/>
    </row>
    <row r="1554" spans="1:16" x14ac:dyDescent="0.25">
      <c r="A1554" s="15"/>
      <c r="B1554" s="15"/>
      <c r="C1554" s="15"/>
      <c r="D1554" s="15"/>
      <c r="E1554" s="15"/>
      <c r="F1554" s="15"/>
      <c r="G1554" s="15"/>
      <c r="H1554" s="15"/>
      <c r="I1554" s="15"/>
      <c r="J1554" s="15"/>
      <c r="K1554" s="15"/>
      <c r="L1554" s="15"/>
      <c r="M1554" s="15"/>
      <c r="N1554" s="15"/>
      <c r="O1554" s="15"/>
      <c r="P1554" s="15"/>
    </row>
    <row r="1555" spans="1:16" x14ac:dyDescent="0.25">
      <c r="A1555" s="15"/>
      <c r="B1555" s="15"/>
      <c r="C1555" s="15"/>
      <c r="D1555" s="15"/>
      <c r="E1555" s="15"/>
      <c r="F1555" s="15"/>
      <c r="G1555" s="15"/>
      <c r="H1555" s="15"/>
      <c r="I1555" s="15"/>
      <c r="J1555" s="15"/>
      <c r="K1555" s="15"/>
      <c r="L1555" s="15"/>
      <c r="M1555" s="15"/>
      <c r="N1555" s="15"/>
      <c r="O1555" s="15"/>
      <c r="P1555" s="15"/>
    </row>
    <row r="1556" spans="1:16" x14ac:dyDescent="0.25">
      <c r="A1556" s="15"/>
      <c r="B1556" s="15"/>
      <c r="C1556" s="15"/>
      <c r="D1556" s="15"/>
      <c r="E1556" s="15"/>
      <c r="F1556" s="15"/>
      <c r="G1556" s="15"/>
      <c r="H1556" s="15"/>
      <c r="I1556" s="15"/>
      <c r="J1556" s="15"/>
      <c r="K1556" s="15"/>
      <c r="L1556" s="15"/>
      <c r="M1556" s="15"/>
      <c r="N1556" s="15"/>
      <c r="O1556" s="15"/>
      <c r="P1556" s="15"/>
    </row>
    <row r="1557" spans="1:16" x14ac:dyDescent="0.25">
      <c r="A1557" s="15"/>
      <c r="B1557" s="15"/>
      <c r="C1557" s="15"/>
      <c r="D1557" s="15"/>
      <c r="E1557" s="15"/>
      <c r="F1557" s="15"/>
      <c r="G1557" s="15"/>
      <c r="H1557" s="15"/>
      <c r="I1557" s="15"/>
      <c r="J1557" s="15"/>
      <c r="K1557" s="15"/>
      <c r="L1557" s="15"/>
      <c r="M1557" s="15"/>
      <c r="N1557" s="15"/>
      <c r="O1557" s="15"/>
      <c r="P1557" s="15"/>
    </row>
    <row r="1558" spans="1:16" x14ac:dyDescent="0.25">
      <c r="A1558" s="15"/>
      <c r="B1558" s="15"/>
      <c r="C1558" s="15"/>
      <c r="D1558" s="15"/>
      <c r="E1558" s="15"/>
      <c r="F1558" s="15"/>
      <c r="G1558" s="15"/>
      <c r="H1558" s="15"/>
      <c r="I1558" s="15"/>
      <c r="J1558" s="15"/>
      <c r="K1558" s="15"/>
      <c r="L1558" s="15"/>
      <c r="M1558" s="15"/>
      <c r="N1558" s="15"/>
      <c r="O1558" s="15"/>
      <c r="P1558" s="15"/>
    </row>
    <row r="1559" spans="1:16" x14ac:dyDescent="0.25">
      <c r="A1559" s="15"/>
      <c r="B1559" s="15"/>
      <c r="C1559" s="15"/>
      <c r="D1559" s="15"/>
      <c r="E1559" s="15"/>
      <c r="F1559" s="15"/>
      <c r="G1559" s="15"/>
      <c r="H1559" s="15"/>
      <c r="I1559" s="15"/>
      <c r="J1559" s="15"/>
      <c r="K1559" s="15"/>
      <c r="L1559" s="15"/>
      <c r="M1559" s="15"/>
      <c r="N1559" s="15"/>
      <c r="O1559" s="15"/>
      <c r="P1559" s="15"/>
    </row>
    <row r="1560" spans="1:16" x14ac:dyDescent="0.25">
      <c r="A1560" s="15"/>
      <c r="B1560" s="15"/>
      <c r="C1560" s="15"/>
      <c r="D1560" s="15"/>
      <c r="E1560" s="15"/>
      <c r="F1560" s="15"/>
      <c r="G1560" s="15"/>
      <c r="H1560" s="15"/>
      <c r="I1560" s="15"/>
      <c r="J1560" s="15"/>
      <c r="K1560" s="15"/>
      <c r="L1560" s="15"/>
      <c r="M1560" s="15"/>
      <c r="N1560" s="15"/>
      <c r="O1560" s="15"/>
      <c r="P1560" s="15"/>
    </row>
    <row r="1561" spans="1:16" x14ac:dyDescent="0.25">
      <c r="A1561" s="15"/>
      <c r="B1561" s="15"/>
      <c r="C1561" s="15"/>
      <c r="D1561" s="15"/>
      <c r="E1561" s="15"/>
      <c r="F1561" s="15"/>
      <c r="G1561" s="15"/>
      <c r="H1561" s="15"/>
      <c r="I1561" s="15"/>
      <c r="J1561" s="15"/>
      <c r="K1561" s="15"/>
      <c r="L1561" s="15"/>
      <c r="M1561" s="15"/>
      <c r="N1561" s="15"/>
      <c r="O1561" s="15"/>
      <c r="P1561" s="15"/>
    </row>
    <row r="1562" spans="1:16" x14ac:dyDescent="0.25">
      <c r="A1562" s="15"/>
      <c r="B1562" s="15"/>
      <c r="C1562" s="15"/>
      <c r="D1562" s="15"/>
      <c r="E1562" s="15"/>
      <c r="F1562" s="15"/>
      <c r="G1562" s="15"/>
      <c r="H1562" s="15"/>
      <c r="I1562" s="15"/>
      <c r="J1562" s="15"/>
      <c r="K1562" s="15"/>
      <c r="L1562" s="15"/>
      <c r="M1562" s="15"/>
      <c r="N1562" s="15"/>
      <c r="O1562" s="15"/>
      <c r="P1562" s="15"/>
    </row>
    <row r="1563" spans="1:16" x14ac:dyDescent="0.25">
      <c r="A1563" s="15"/>
      <c r="B1563" s="15"/>
      <c r="C1563" s="15"/>
      <c r="D1563" s="15"/>
      <c r="E1563" s="15"/>
      <c r="F1563" s="15"/>
      <c r="G1563" s="15"/>
      <c r="H1563" s="15"/>
      <c r="I1563" s="15"/>
      <c r="J1563" s="15"/>
      <c r="K1563" s="15"/>
      <c r="L1563" s="15"/>
      <c r="M1563" s="15"/>
      <c r="N1563" s="15"/>
      <c r="O1563" s="15"/>
      <c r="P1563" s="15"/>
    </row>
    <row r="1564" spans="1:16" x14ac:dyDescent="0.25">
      <c r="A1564" s="15"/>
      <c r="B1564" s="15"/>
      <c r="C1564" s="15"/>
      <c r="D1564" s="15"/>
      <c r="E1564" s="15"/>
      <c r="F1564" s="15"/>
      <c r="G1564" s="15"/>
      <c r="H1564" s="15"/>
      <c r="I1564" s="15"/>
      <c r="J1564" s="15"/>
      <c r="K1564" s="15"/>
      <c r="L1564" s="15"/>
      <c r="M1564" s="15"/>
      <c r="N1564" s="15"/>
      <c r="O1564" s="15"/>
      <c r="P1564" s="15"/>
    </row>
    <row r="1565" spans="1:16" x14ac:dyDescent="0.25">
      <c r="A1565" s="15"/>
      <c r="B1565" s="15"/>
      <c r="C1565" s="15"/>
      <c r="D1565" s="15"/>
      <c r="E1565" s="15"/>
      <c r="F1565" s="15"/>
      <c r="G1565" s="15"/>
      <c r="H1565" s="15"/>
      <c r="I1565" s="15"/>
      <c r="J1565" s="15"/>
      <c r="K1565" s="15"/>
      <c r="L1565" s="15"/>
      <c r="M1565" s="15"/>
      <c r="N1565" s="15"/>
      <c r="O1565" s="15"/>
      <c r="P1565" s="15"/>
    </row>
    <row r="1566" spans="1:16" x14ac:dyDescent="0.25">
      <c r="A1566" s="15"/>
      <c r="B1566" s="15"/>
      <c r="C1566" s="15"/>
      <c r="D1566" s="15"/>
      <c r="E1566" s="15"/>
      <c r="F1566" s="15"/>
      <c r="G1566" s="15"/>
      <c r="H1566" s="15"/>
      <c r="I1566" s="15"/>
      <c r="J1566" s="15"/>
      <c r="K1566" s="15"/>
      <c r="L1566" s="15"/>
      <c r="M1566" s="15"/>
      <c r="N1566" s="15"/>
      <c r="O1566" s="15"/>
      <c r="P1566" s="15"/>
    </row>
    <row r="1567" spans="1:16" x14ac:dyDescent="0.25">
      <c r="A1567" s="15"/>
      <c r="B1567" s="15"/>
      <c r="C1567" s="15"/>
      <c r="D1567" s="15"/>
      <c r="E1567" s="15"/>
      <c r="F1567" s="15"/>
      <c r="G1567" s="15"/>
      <c r="H1567" s="15"/>
      <c r="I1567" s="15"/>
      <c r="J1567" s="15"/>
      <c r="K1567" s="15"/>
      <c r="L1567" s="15"/>
      <c r="M1567" s="15"/>
      <c r="N1567" s="15"/>
      <c r="O1567" s="15"/>
      <c r="P1567" s="15"/>
    </row>
    <row r="1568" spans="1:16" x14ac:dyDescent="0.25">
      <c r="A1568" s="15"/>
      <c r="B1568" s="15"/>
      <c r="C1568" s="15"/>
      <c r="D1568" s="15"/>
      <c r="E1568" s="15"/>
      <c r="F1568" s="15"/>
      <c r="G1568" s="15"/>
      <c r="H1568" s="15"/>
      <c r="I1568" s="15"/>
      <c r="J1568" s="15"/>
      <c r="K1568" s="15"/>
      <c r="L1568" s="15"/>
      <c r="M1568" s="15"/>
      <c r="N1568" s="15"/>
      <c r="O1568" s="15"/>
      <c r="P1568" s="15"/>
    </row>
    <row r="1569" spans="1:16" x14ac:dyDescent="0.25">
      <c r="A1569" s="15"/>
      <c r="B1569" s="15"/>
      <c r="C1569" s="15"/>
      <c r="D1569" s="15"/>
      <c r="E1569" s="15"/>
      <c r="F1569" s="15"/>
      <c r="G1569" s="15"/>
      <c r="H1569" s="15"/>
      <c r="I1569" s="15"/>
      <c r="J1569" s="15"/>
      <c r="K1569" s="15"/>
      <c r="L1569" s="15"/>
      <c r="M1569" s="15"/>
      <c r="N1569" s="15"/>
      <c r="O1569" s="15"/>
      <c r="P1569" s="15"/>
    </row>
    <row r="1570" spans="1:16" x14ac:dyDescent="0.25">
      <c r="A1570" s="15"/>
      <c r="B1570" s="15"/>
      <c r="C1570" s="15"/>
      <c r="D1570" s="15"/>
      <c r="E1570" s="15"/>
      <c r="F1570" s="15"/>
      <c r="G1570" s="15"/>
      <c r="H1570" s="15"/>
      <c r="I1570" s="15"/>
      <c r="J1570" s="15"/>
      <c r="K1570" s="15"/>
      <c r="L1570" s="15"/>
      <c r="M1570" s="15"/>
      <c r="N1570" s="15"/>
      <c r="O1570" s="15"/>
      <c r="P1570" s="15"/>
    </row>
    <row r="1571" spans="1:16" x14ac:dyDescent="0.25">
      <c r="A1571" s="15"/>
      <c r="B1571" s="15"/>
      <c r="C1571" s="15"/>
      <c r="D1571" s="15"/>
      <c r="E1571" s="15"/>
      <c r="F1571" s="15"/>
      <c r="G1571" s="15"/>
      <c r="H1571" s="15"/>
      <c r="I1571" s="15"/>
      <c r="J1571" s="15"/>
      <c r="K1571" s="15"/>
      <c r="L1571" s="15"/>
      <c r="M1571" s="15"/>
      <c r="N1571" s="15"/>
      <c r="O1571" s="15"/>
      <c r="P1571" s="15"/>
    </row>
    <row r="1572" spans="1:16" x14ac:dyDescent="0.25">
      <c r="A1572" s="15"/>
      <c r="B1572" s="15"/>
      <c r="C1572" s="15"/>
      <c r="D1572" s="15"/>
      <c r="E1572" s="15"/>
      <c r="F1572" s="15"/>
      <c r="G1572" s="15"/>
      <c r="H1572" s="15"/>
      <c r="I1572" s="15"/>
      <c r="J1572" s="15"/>
      <c r="K1572" s="15"/>
      <c r="L1572" s="15"/>
      <c r="M1572" s="15"/>
      <c r="N1572" s="15"/>
      <c r="O1572" s="15"/>
      <c r="P1572" s="15"/>
    </row>
    <row r="1573" spans="1:16" x14ac:dyDescent="0.25">
      <c r="A1573" s="15"/>
      <c r="B1573" s="15"/>
      <c r="C1573" s="15"/>
      <c r="D1573" s="15"/>
      <c r="E1573" s="15"/>
      <c r="F1573" s="15"/>
      <c r="G1573" s="15"/>
      <c r="H1573" s="15"/>
      <c r="I1573" s="15"/>
      <c r="J1573" s="15"/>
      <c r="K1573" s="15"/>
      <c r="L1573" s="15"/>
      <c r="M1573" s="15"/>
      <c r="N1573" s="15"/>
      <c r="O1573" s="15"/>
      <c r="P1573" s="15"/>
    </row>
    <row r="1574" spans="1:16" x14ac:dyDescent="0.25">
      <c r="A1574" s="15"/>
      <c r="B1574" s="15"/>
      <c r="C1574" s="15"/>
      <c r="D1574" s="15"/>
      <c r="E1574" s="15"/>
      <c r="F1574" s="15"/>
      <c r="G1574" s="15"/>
      <c r="H1574" s="15"/>
      <c r="I1574" s="15"/>
      <c r="J1574" s="15"/>
      <c r="K1574" s="15"/>
      <c r="L1574" s="15"/>
      <c r="M1574" s="15"/>
      <c r="N1574" s="15"/>
      <c r="O1574" s="15"/>
      <c r="P1574" s="15"/>
    </row>
    <row r="1575" spans="1:16" x14ac:dyDescent="0.25">
      <c r="A1575" s="15"/>
      <c r="B1575" s="15"/>
      <c r="C1575" s="15"/>
      <c r="D1575" s="15"/>
      <c r="E1575" s="15"/>
      <c r="F1575" s="15"/>
      <c r="G1575" s="15"/>
      <c r="H1575" s="15"/>
      <c r="I1575" s="15"/>
      <c r="J1575" s="15"/>
      <c r="K1575" s="15"/>
      <c r="L1575" s="15"/>
      <c r="M1575" s="15"/>
      <c r="N1575" s="15"/>
      <c r="O1575" s="15"/>
      <c r="P1575" s="15"/>
    </row>
    <row r="1576" spans="1:16" x14ac:dyDescent="0.25">
      <c r="A1576" s="15"/>
      <c r="B1576" s="15"/>
      <c r="C1576" s="15"/>
      <c r="D1576" s="15"/>
      <c r="E1576" s="15"/>
      <c r="F1576" s="15"/>
      <c r="G1576" s="15"/>
      <c r="H1576" s="15"/>
      <c r="I1576" s="15"/>
      <c r="J1576" s="15"/>
      <c r="K1576" s="15"/>
      <c r="L1576" s="15"/>
      <c r="M1576" s="15"/>
      <c r="N1576" s="15"/>
      <c r="O1576" s="15"/>
      <c r="P1576" s="15"/>
    </row>
    <row r="1577" spans="1:16" x14ac:dyDescent="0.25">
      <c r="A1577" s="15"/>
      <c r="B1577" s="15"/>
      <c r="C1577" s="15"/>
      <c r="D1577" s="15"/>
      <c r="E1577" s="15"/>
      <c r="F1577" s="15"/>
      <c r="G1577" s="15"/>
      <c r="H1577" s="15"/>
      <c r="I1577" s="15"/>
      <c r="J1577" s="15"/>
      <c r="K1577" s="15"/>
      <c r="L1577" s="15"/>
      <c r="M1577" s="15"/>
      <c r="N1577" s="15"/>
      <c r="O1577" s="15"/>
      <c r="P1577" s="15"/>
    </row>
    <row r="1578" spans="1:16" x14ac:dyDescent="0.25">
      <c r="A1578" s="15"/>
      <c r="B1578" s="15"/>
      <c r="C1578" s="15"/>
      <c r="D1578" s="15"/>
      <c r="E1578" s="15"/>
      <c r="F1578" s="15"/>
      <c r="G1578" s="15"/>
      <c r="H1578" s="15"/>
      <c r="I1578" s="15"/>
      <c r="J1578" s="15"/>
      <c r="K1578" s="15"/>
      <c r="L1578" s="15"/>
      <c r="M1578" s="15"/>
      <c r="N1578" s="15"/>
      <c r="O1578" s="15"/>
      <c r="P1578" s="15"/>
    </row>
    <row r="1579" spans="1:16" x14ac:dyDescent="0.25">
      <c r="A1579" s="15"/>
      <c r="B1579" s="15"/>
      <c r="C1579" s="15"/>
      <c r="D1579" s="15"/>
      <c r="E1579" s="15"/>
      <c r="F1579" s="15"/>
      <c r="G1579" s="15"/>
      <c r="H1579" s="15"/>
      <c r="I1579" s="15"/>
      <c r="J1579" s="15"/>
      <c r="K1579" s="15"/>
      <c r="L1579" s="15"/>
      <c r="M1579" s="15"/>
      <c r="N1579" s="15"/>
      <c r="O1579" s="15"/>
      <c r="P1579" s="15"/>
    </row>
    <row r="1580" spans="1:16" x14ac:dyDescent="0.25">
      <c r="A1580" s="15"/>
      <c r="B1580" s="15"/>
      <c r="C1580" s="15"/>
      <c r="D1580" s="15"/>
      <c r="E1580" s="15"/>
      <c r="F1580" s="15"/>
      <c r="G1580" s="15"/>
      <c r="H1580" s="15"/>
      <c r="I1580" s="15"/>
      <c r="J1580" s="15"/>
      <c r="K1580" s="15"/>
      <c r="L1580" s="15"/>
      <c r="M1580" s="15"/>
      <c r="N1580" s="15"/>
      <c r="O1580" s="15"/>
      <c r="P1580" s="15"/>
    </row>
    <row r="1581" spans="1:16" x14ac:dyDescent="0.25">
      <c r="A1581" s="15"/>
      <c r="B1581" s="15"/>
      <c r="C1581" s="15"/>
      <c r="D1581" s="15"/>
      <c r="E1581" s="15"/>
      <c r="F1581" s="15"/>
      <c r="G1581" s="15"/>
      <c r="H1581" s="15"/>
      <c r="I1581" s="15"/>
      <c r="J1581" s="15"/>
      <c r="K1581" s="15"/>
      <c r="L1581" s="15"/>
      <c r="M1581" s="15"/>
      <c r="N1581" s="15"/>
      <c r="O1581" s="15"/>
      <c r="P1581" s="15"/>
    </row>
    <row r="1582" spans="1:16" x14ac:dyDescent="0.25">
      <c r="A1582" s="15"/>
      <c r="B1582" s="15"/>
      <c r="C1582" s="15"/>
      <c r="D1582" s="15"/>
      <c r="E1582" s="15"/>
      <c r="F1582" s="15"/>
      <c r="G1582" s="15"/>
      <c r="H1582" s="15"/>
      <c r="I1582" s="15"/>
      <c r="J1582" s="15"/>
      <c r="K1582" s="15"/>
      <c r="L1582" s="15"/>
      <c r="M1582" s="15"/>
      <c r="N1582" s="15"/>
      <c r="O1582" s="15"/>
      <c r="P1582" s="15"/>
    </row>
    <row r="1583" spans="1:16" x14ac:dyDescent="0.25">
      <c r="A1583" s="15"/>
      <c r="B1583" s="15"/>
      <c r="C1583" s="15"/>
      <c r="D1583" s="15"/>
      <c r="E1583" s="15"/>
      <c r="F1583" s="15"/>
      <c r="G1583" s="15"/>
      <c r="H1583" s="15"/>
      <c r="I1583" s="15"/>
      <c r="J1583" s="15"/>
      <c r="K1583" s="15"/>
      <c r="L1583" s="15"/>
      <c r="M1583" s="15"/>
      <c r="N1583" s="15"/>
      <c r="O1583" s="15"/>
      <c r="P1583" s="15"/>
    </row>
    <row r="1584" spans="1:16" x14ac:dyDescent="0.25">
      <c r="A1584" s="15"/>
      <c r="B1584" s="15"/>
      <c r="C1584" s="15"/>
      <c r="D1584" s="15"/>
      <c r="E1584" s="15"/>
      <c r="F1584" s="15"/>
      <c r="G1584" s="15"/>
      <c r="H1584" s="15"/>
      <c r="I1584" s="15"/>
      <c r="J1584" s="15"/>
      <c r="K1584" s="15"/>
      <c r="L1584" s="15"/>
      <c r="M1584" s="15"/>
      <c r="N1584" s="15"/>
      <c r="O1584" s="15"/>
      <c r="P1584" s="15"/>
    </row>
    <row r="1585" spans="1:16" x14ac:dyDescent="0.25">
      <c r="A1585" s="15"/>
      <c r="B1585" s="15"/>
      <c r="C1585" s="15"/>
      <c r="D1585" s="15"/>
      <c r="E1585" s="15"/>
      <c r="F1585" s="15"/>
      <c r="G1585" s="15"/>
      <c r="H1585" s="15"/>
      <c r="I1585" s="15"/>
      <c r="J1585" s="15"/>
      <c r="K1585" s="15"/>
      <c r="L1585" s="15"/>
      <c r="M1585" s="15"/>
      <c r="N1585" s="15"/>
      <c r="O1585" s="15"/>
      <c r="P1585" s="15"/>
    </row>
    <row r="1586" spans="1:16" x14ac:dyDescent="0.25">
      <c r="A1586" s="15"/>
      <c r="B1586" s="15"/>
      <c r="C1586" s="15"/>
      <c r="D1586" s="15"/>
      <c r="E1586" s="15"/>
      <c r="F1586" s="15"/>
      <c r="G1586" s="15"/>
      <c r="H1586" s="15"/>
      <c r="I1586" s="15"/>
      <c r="J1586" s="15"/>
      <c r="K1586" s="15"/>
      <c r="L1586" s="15"/>
      <c r="M1586" s="15"/>
      <c r="N1586" s="15"/>
      <c r="O1586" s="15"/>
      <c r="P1586" s="15"/>
    </row>
    <row r="1587" spans="1:16" x14ac:dyDescent="0.25">
      <c r="A1587" s="15"/>
      <c r="B1587" s="15"/>
      <c r="C1587" s="15"/>
      <c r="D1587" s="15"/>
      <c r="E1587" s="15"/>
      <c r="F1587" s="15"/>
      <c r="G1587" s="15"/>
      <c r="H1587" s="15"/>
      <c r="I1587" s="15"/>
      <c r="J1587" s="15"/>
      <c r="K1587" s="15"/>
      <c r="L1587" s="15"/>
      <c r="M1587" s="15"/>
      <c r="N1587" s="15"/>
      <c r="O1587" s="15"/>
      <c r="P1587" s="15"/>
    </row>
    <row r="1588" spans="1:16" x14ac:dyDescent="0.25">
      <c r="A1588" s="15"/>
      <c r="B1588" s="15"/>
      <c r="C1588" s="15"/>
      <c r="D1588" s="15"/>
      <c r="E1588" s="15"/>
      <c r="F1588" s="15"/>
      <c r="G1588" s="15"/>
      <c r="H1588" s="15"/>
      <c r="I1588" s="15"/>
      <c r="J1588" s="15"/>
      <c r="K1588" s="15"/>
      <c r="L1588" s="15"/>
      <c r="M1588" s="15"/>
      <c r="N1588" s="15"/>
      <c r="O1588" s="15"/>
      <c r="P1588" s="15"/>
    </row>
    <row r="1589" spans="1:16" x14ac:dyDescent="0.25">
      <c r="A1589" s="15"/>
      <c r="B1589" s="15"/>
      <c r="C1589" s="15"/>
      <c r="D1589" s="15"/>
      <c r="E1589" s="15"/>
      <c r="F1589" s="15"/>
      <c r="G1589" s="15"/>
      <c r="H1589" s="15"/>
      <c r="I1589" s="15"/>
      <c r="J1589" s="15"/>
      <c r="K1589" s="15"/>
      <c r="L1589" s="15"/>
      <c r="M1589" s="15"/>
      <c r="N1589" s="15"/>
      <c r="O1589" s="15"/>
      <c r="P1589" s="15"/>
    </row>
    <row r="1590" spans="1:16" x14ac:dyDescent="0.25">
      <c r="A1590" s="15"/>
      <c r="B1590" s="15"/>
      <c r="C1590" s="15"/>
      <c r="D1590" s="15"/>
      <c r="E1590" s="15"/>
      <c r="F1590" s="15"/>
      <c r="G1590" s="15"/>
      <c r="H1590" s="15"/>
      <c r="I1590" s="15"/>
      <c r="J1590" s="15"/>
      <c r="K1590" s="15"/>
      <c r="L1590" s="15"/>
      <c r="M1590" s="15"/>
      <c r="N1590" s="15"/>
      <c r="O1590" s="15"/>
      <c r="P1590" s="15"/>
    </row>
    <row r="1591" spans="1:16" x14ac:dyDescent="0.25">
      <c r="A1591" s="15"/>
      <c r="B1591" s="15"/>
      <c r="C1591" s="15"/>
      <c r="D1591" s="15"/>
      <c r="E1591" s="15"/>
      <c r="F1591" s="15"/>
      <c r="G1591" s="15"/>
      <c r="H1591" s="15"/>
      <c r="I1591" s="15"/>
      <c r="J1591" s="15"/>
      <c r="K1591" s="15"/>
      <c r="L1591" s="15"/>
      <c r="M1591" s="15"/>
      <c r="N1591" s="15"/>
      <c r="O1591" s="15"/>
      <c r="P1591" s="15"/>
    </row>
    <row r="1592" spans="1:16" x14ac:dyDescent="0.25">
      <c r="A1592" s="15"/>
      <c r="B1592" s="15"/>
      <c r="C1592" s="15"/>
      <c r="D1592" s="15"/>
      <c r="E1592" s="15"/>
      <c r="F1592" s="15"/>
      <c r="G1592" s="15"/>
      <c r="H1592" s="15"/>
      <c r="I1592" s="15"/>
      <c r="J1592" s="15"/>
      <c r="K1592" s="15"/>
      <c r="L1592" s="15"/>
      <c r="M1592" s="15"/>
      <c r="N1592" s="15"/>
      <c r="O1592" s="15"/>
      <c r="P1592" s="15"/>
    </row>
    <row r="1593" spans="1:16" x14ac:dyDescent="0.25">
      <c r="A1593" s="15"/>
      <c r="B1593" s="15"/>
      <c r="C1593" s="15"/>
      <c r="D1593" s="15"/>
      <c r="E1593" s="15"/>
      <c r="F1593" s="15"/>
      <c r="G1593" s="15"/>
      <c r="H1593" s="15"/>
      <c r="I1593" s="15"/>
      <c r="J1593" s="15"/>
      <c r="K1593" s="15"/>
      <c r="L1593" s="15"/>
      <c r="M1593" s="15"/>
      <c r="N1593" s="15"/>
      <c r="O1593" s="15"/>
      <c r="P1593" s="15"/>
    </row>
    <row r="1594" spans="1:16" x14ac:dyDescent="0.25">
      <c r="A1594" s="15"/>
      <c r="B1594" s="15"/>
      <c r="C1594" s="15"/>
      <c r="D1594" s="15"/>
      <c r="E1594" s="15"/>
      <c r="F1594" s="15"/>
      <c r="G1594" s="15"/>
      <c r="H1594" s="15"/>
      <c r="I1594" s="15"/>
      <c r="J1594" s="15"/>
      <c r="K1594" s="15"/>
      <c r="L1594" s="15"/>
      <c r="M1594" s="15"/>
      <c r="N1594" s="15"/>
      <c r="O1594" s="15"/>
      <c r="P1594" s="15"/>
    </row>
    <row r="1595" spans="1:16" x14ac:dyDescent="0.25">
      <c r="A1595" s="15"/>
      <c r="B1595" s="15"/>
      <c r="C1595" s="15"/>
      <c r="D1595" s="15"/>
      <c r="E1595" s="15"/>
      <c r="F1595" s="15"/>
      <c r="G1595" s="15"/>
      <c r="H1595" s="15"/>
      <c r="I1595" s="15"/>
      <c r="J1595" s="15"/>
      <c r="K1595" s="15"/>
      <c r="L1595" s="15"/>
      <c r="M1595" s="15"/>
      <c r="N1595" s="15"/>
      <c r="O1595" s="15"/>
      <c r="P1595" s="15"/>
    </row>
    <row r="1596" spans="1:16" x14ac:dyDescent="0.25">
      <c r="A1596" s="15"/>
      <c r="B1596" s="15"/>
      <c r="C1596" s="15"/>
      <c r="D1596" s="15"/>
      <c r="E1596" s="15"/>
      <c r="F1596" s="15"/>
      <c r="G1596" s="15"/>
      <c r="H1596" s="15"/>
      <c r="I1596" s="15"/>
      <c r="J1596" s="15"/>
      <c r="K1596" s="15"/>
      <c r="L1596" s="15"/>
      <c r="M1596" s="15"/>
      <c r="N1596" s="15"/>
      <c r="O1596" s="15"/>
      <c r="P1596" s="15"/>
    </row>
    <row r="1597" spans="1:16" x14ac:dyDescent="0.25">
      <c r="A1597" s="15"/>
      <c r="B1597" s="15"/>
      <c r="C1597" s="15"/>
      <c r="D1597" s="15"/>
      <c r="E1597" s="15"/>
      <c r="F1597" s="15"/>
      <c r="G1597" s="15"/>
      <c r="H1597" s="15"/>
      <c r="I1597" s="15"/>
      <c r="J1597" s="15"/>
      <c r="K1597" s="15"/>
      <c r="L1597" s="15"/>
      <c r="M1597" s="15"/>
      <c r="N1597" s="15"/>
      <c r="O1597" s="15"/>
      <c r="P1597" s="15"/>
    </row>
    <row r="1598" spans="1:16" x14ac:dyDescent="0.25">
      <c r="A1598" s="15"/>
      <c r="B1598" s="15"/>
      <c r="C1598" s="15"/>
      <c r="D1598" s="15"/>
      <c r="E1598" s="15"/>
      <c r="F1598" s="15"/>
      <c r="G1598" s="15"/>
      <c r="H1598" s="15"/>
      <c r="I1598" s="15"/>
      <c r="J1598" s="15"/>
      <c r="K1598" s="15"/>
      <c r="L1598" s="15"/>
      <c r="M1598" s="15"/>
      <c r="N1598" s="15"/>
      <c r="O1598" s="15"/>
      <c r="P1598" s="15"/>
    </row>
    <row r="1599" spans="1:16" x14ac:dyDescent="0.25">
      <c r="A1599" s="15"/>
      <c r="B1599" s="15"/>
      <c r="C1599" s="15"/>
      <c r="D1599" s="15"/>
      <c r="E1599" s="15"/>
      <c r="F1599" s="15"/>
      <c r="G1599" s="15"/>
      <c r="H1599" s="15"/>
      <c r="I1599" s="15"/>
      <c r="J1599" s="15"/>
      <c r="K1599" s="15"/>
      <c r="L1599" s="15"/>
      <c r="M1599" s="15"/>
      <c r="N1599" s="15"/>
      <c r="O1599" s="15"/>
      <c r="P1599" s="15"/>
    </row>
    <row r="1600" spans="1:16" x14ac:dyDescent="0.25">
      <c r="A1600" s="15"/>
      <c r="B1600" s="15"/>
      <c r="C1600" s="15"/>
      <c r="D1600" s="15"/>
      <c r="E1600" s="15"/>
      <c r="F1600" s="15"/>
      <c r="G1600" s="15"/>
      <c r="H1600" s="15"/>
      <c r="I1600" s="15"/>
      <c r="J1600" s="15"/>
      <c r="K1600" s="15"/>
      <c r="L1600" s="15"/>
      <c r="M1600" s="15"/>
      <c r="N1600" s="15"/>
      <c r="O1600" s="15"/>
      <c r="P1600" s="15"/>
    </row>
    <row r="1601" spans="1:16" x14ac:dyDescent="0.25">
      <c r="A1601" s="15"/>
      <c r="B1601" s="15"/>
      <c r="C1601" s="15"/>
      <c r="D1601" s="15"/>
      <c r="E1601" s="15"/>
      <c r="F1601" s="15"/>
      <c r="G1601" s="15"/>
      <c r="H1601" s="15"/>
      <c r="I1601" s="15"/>
      <c r="J1601" s="15"/>
      <c r="K1601" s="15"/>
      <c r="L1601" s="15"/>
      <c r="M1601" s="15"/>
      <c r="N1601" s="15"/>
      <c r="O1601" s="15"/>
      <c r="P1601" s="15"/>
    </row>
    <row r="1602" spans="1:16" x14ac:dyDescent="0.25">
      <c r="A1602" s="15"/>
      <c r="B1602" s="15"/>
      <c r="C1602" s="15"/>
      <c r="D1602" s="15"/>
      <c r="E1602" s="15"/>
      <c r="F1602" s="15"/>
      <c r="G1602" s="15"/>
      <c r="H1602" s="15"/>
      <c r="I1602" s="15"/>
      <c r="J1602" s="15"/>
      <c r="K1602" s="15"/>
      <c r="L1602" s="15"/>
      <c r="M1602" s="15"/>
      <c r="N1602" s="15"/>
      <c r="O1602" s="15"/>
      <c r="P1602" s="15"/>
    </row>
    <row r="1603" spans="1:16" x14ac:dyDescent="0.25">
      <c r="A1603" s="15"/>
      <c r="B1603" s="15"/>
      <c r="C1603" s="15"/>
      <c r="D1603" s="15"/>
      <c r="E1603" s="15"/>
      <c r="F1603" s="15"/>
      <c r="G1603" s="15"/>
      <c r="H1603" s="15"/>
      <c r="I1603" s="15"/>
      <c r="J1603" s="15"/>
      <c r="K1603" s="15"/>
      <c r="L1603" s="15"/>
      <c r="M1603" s="15"/>
      <c r="N1603" s="15"/>
      <c r="O1603" s="15"/>
      <c r="P1603" s="15"/>
    </row>
    <row r="1604" spans="1:16" x14ac:dyDescent="0.25">
      <c r="A1604" s="15"/>
      <c r="B1604" s="15"/>
      <c r="C1604" s="15"/>
      <c r="D1604" s="15"/>
      <c r="E1604" s="15"/>
      <c r="F1604" s="15"/>
      <c r="G1604" s="15"/>
      <c r="H1604" s="15"/>
      <c r="I1604" s="15"/>
      <c r="J1604" s="15"/>
      <c r="K1604" s="15"/>
      <c r="L1604" s="15"/>
      <c r="M1604" s="15"/>
      <c r="N1604" s="15"/>
      <c r="O1604" s="15"/>
      <c r="P1604" s="15"/>
    </row>
    <row r="1605" spans="1:16" x14ac:dyDescent="0.25">
      <c r="A1605" s="15"/>
      <c r="B1605" s="15"/>
      <c r="C1605" s="15"/>
      <c r="D1605" s="15"/>
      <c r="E1605" s="15"/>
      <c r="F1605" s="15"/>
      <c r="G1605" s="15"/>
      <c r="H1605" s="15"/>
      <c r="I1605" s="15"/>
      <c r="J1605" s="15"/>
      <c r="K1605" s="15"/>
      <c r="L1605" s="15"/>
      <c r="M1605" s="15"/>
      <c r="N1605" s="15"/>
      <c r="O1605" s="15"/>
      <c r="P1605" s="15"/>
    </row>
    <row r="1606" spans="1:16" x14ac:dyDescent="0.25">
      <c r="A1606" s="15"/>
      <c r="B1606" s="15"/>
      <c r="C1606" s="15"/>
      <c r="D1606" s="15"/>
      <c r="E1606" s="15"/>
      <c r="F1606" s="15"/>
      <c r="G1606" s="15"/>
      <c r="H1606" s="15"/>
      <c r="I1606" s="15"/>
      <c r="J1606" s="15"/>
      <c r="K1606" s="15"/>
      <c r="L1606" s="15"/>
      <c r="M1606" s="15"/>
      <c r="N1606" s="15"/>
      <c r="O1606" s="15"/>
      <c r="P1606" s="15"/>
    </row>
    <row r="1607" spans="1:16" x14ac:dyDescent="0.25">
      <c r="A1607" s="15"/>
      <c r="B1607" s="15"/>
      <c r="C1607" s="15"/>
      <c r="D1607" s="15"/>
      <c r="E1607" s="15"/>
      <c r="F1607" s="15"/>
      <c r="G1607" s="15"/>
      <c r="H1607" s="15"/>
      <c r="I1607" s="15"/>
      <c r="J1607" s="15"/>
      <c r="K1607" s="15"/>
      <c r="L1607" s="15"/>
      <c r="M1607" s="15"/>
      <c r="N1607" s="15"/>
      <c r="O1607" s="15"/>
      <c r="P1607" s="15"/>
    </row>
    <row r="1608" spans="1:16" x14ac:dyDescent="0.25">
      <c r="A1608" s="15"/>
      <c r="B1608" s="15"/>
      <c r="C1608" s="15"/>
      <c r="D1608" s="15"/>
      <c r="E1608" s="15"/>
      <c r="F1608" s="15"/>
      <c r="G1608" s="15"/>
      <c r="H1608" s="15"/>
      <c r="I1608" s="15"/>
      <c r="J1608" s="15"/>
      <c r="K1608" s="15"/>
      <c r="L1608" s="15"/>
      <c r="M1608" s="15"/>
      <c r="N1608" s="15"/>
      <c r="O1608" s="15"/>
      <c r="P1608" s="15"/>
    </row>
    <row r="1609" spans="1:16" x14ac:dyDescent="0.25">
      <c r="A1609" s="15"/>
      <c r="B1609" s="15"/>
      <c r="C1609" s="15"/>
      <c r="D1609" s="15"/>
      <c r="E1609" s="15"/>
      <c r="F1609" s="15"/>
      <c r="G1609" s="15"/>
      <c r="H1609" s="15"/>
      <c r="I1609" s="15"/>
      <c r="J1609" s="15"/>
      <c r="K1609" s="15"/>
      <c r="L1609" s="15"/>
      <c r="M1609" s="15"/>
      <c r="N1609" s="15"/>
      <c r="O1609" s="15"/>
      <c r="P1609" s="15"/>
    </row>
    <row r="1610" spans="1:16" x14ac:dyDescent="0.25">
      <c r="A1610" s="15"/>
      <c r="B1610" s="15"/>
      <c r="C1610" s="15"/>
      <c r="D1610" s="15"/>
      <c r="E1610" s="15"/>
      <c r="F1610" s="15"/>
      <c r="G1610" s="15"/>
      <c r="H1610" s="15"/>
      <c r="I1610" s="15"/>
      <c r="J1610" s="15"/>
      <c r="K1610" s="15"/>
      <c r="L1610" s="15"/>
      <c r="M1610" s="15"/>
      <c r="N1610" s="15"/>
      <c r="O1610" s="15"/>
      <c r="P1610" s="15"/>
    </row>
    <row r="1611" spans="1:16" x14ac:dyDescent="0.25">
      <c r="A1611" s="15"/>
      <c r="B1611" s="15"/>
      <c r="C1611" s="15"/>
      <c r="D1611" s="15"/>
      <c r="E1611" s="15"/>
      <c r="F1611" s="15"/>
      <c r="G1611" s="15"/>
      <c r="H1611" s="15"/>
      <c r="I1611" s="15"/>
      <c r="J1611" s="15"/>
      <c r="K1611" s="15"/>
      <c r="L1611" s="15"/>
      <c r="M1611" s="15"/>
      <c r="N1611" s="15"/>
      <c r="O1611" s="15"/>
      <c r="P1611" s="15"/>
    </row>
    <row r="1612" spans="1:16" x14ac:dyDescent="0.25">
      <c r="A1612" s="15"/>
      <c r="B1612" s="15"/>
      <c r="C1612" s="15"/>
      <c r="D1612" s="15"/>
      <c r="E1612" s="15"/>
      <c r="F1612" s="15"/>
      <c r="G1612" s="15"/>
      <c r="H1612" s="15"/>
      <c r="I1612" s="15"/>
      <c r="J1612" s="15"/>
      <c r="K1612" s="15"/>
      <c r="L1612" s="15"/>
      <c r="M1612" s="15"/>
      <c r="N1612" s="15"/>
      <c r="O1612" s="15"/>
      <c r="P1612" s="15"/>
    </row>
    <row r="1613" spans="1:16" x14ac:dyDescent="0.25">
      <c r="A1613" s="15"/>
      <c r="B1613" s="15"/>
      <c r="C1613" s="15"/>
      <c r="D1613" s="15"/>
      <c r="E1613" s="15"/>
      <c r="F1613" s="15"/>
      <c r="G1613" s="15"/>
      <c r="H1613" s="15"/>
      <c r="I1613" s="15"/>
      <c r="J1613" s="15"/>
      <c r="K1613" s="15"/>
      <c r="L1613" s="15"/>
      <c r="M1613" s="15"/>
      <c r="N1613" s="15"/>
      <c r="O1613" s="15"/>
      <c r="P1613" s="15"/>
    </row>
    <row r="1614" spans="1:16" x14ac:dyDescent="0.25">
      <c r="A1614" s="15"/>
      <c r="B1614" s="15"/>
      <c r="C1614" s="15"/>
      <c r="D1614" s="15"/>
      <c r="E1614" s="15"/>
      <c r="F1614" s="15"/>
      <c r="G1614" s="15"/>
      <c r="H1614" s="15"/>
      <c r="I1614" s="15"/>
      <c r="J1614" s="15"/>
      <c r="K1614" s="15"/>
      <c r="L1614" s="15"/>
      <c r="M1614" s="15"/>
      <c r="N1614" s="15"/>
      <c r="O1614" s="15"/>
      <c r="P1614" s="15"/>
    </row>
    <row r="1615" spans="1:16" x14ac:dyDescent="0.25">
      <c r="A1615" s="15"/>
      <c r="B1615" s="15"/>
      <c r="C1615" s="15"/>
      <c r="D1615" s="15"/>
      <c r="E1615" s="15"/>
      <c r="F1615" s="15"/>
      <c r="G1615" s="15"/>
      <c r="H1615" s="15"/>
      <c r="I1615" s="15"/>
      <c r="J1615" s="15"/>
      <c r="K1615" s="15"/>
      <c r="L1615" s="15"/>
      <c r="M1615" s="15"/>
      <c r="N1615" s="15"/>
      <c r="O1615" s="15"/>
      <c r="P1615" s="15"/>
    </row>
    <row r="1616" spans="1:16" x14ac:dyDescent="0.25">
      <c r="A1616" s="15"/>
      <c r="B1616" s="15"/>
      <c r="C1616" s="15"/>
      <c r="D1616" s="15"/>
      <c r="E1616" s="15"/>
      <c r="F1616" s="15"/>
      <c r="G1616" s="15"/>
      <c r="H1616" s="15"/>
      <c r="I1616" s="15"/>
      <c r="J1616" s="15"/>
      <c r="K1616" s="15"/>
      <c r="L1616" s="15"/>
      <c r="M1616" s="15"/>
      <c r="N1616" s="15"/>
      <c r="O1616" s="15"/>
      <c r="P1616" s="15"/>
    </row>
    <row r="1617" spans="1:16" x14ac:dyDescent="0.25">
      <c r="A1617" s="15"/>
      <c r="B1617" s="15"/>
      <c r="C1617" s="15"/>
      <c r="D1617" s="15"/>
      <c r="E1617" s="15"/>
      <c r="F1617" s="15"/>
      <c r="G1617" s="15"/>
      <c r="H1617" s="15"/>
      <c r="I1617" s="15"/>
      <c r="J1617" s="15"/>
      <c r="K1617" s="15"/>
      <c r="L1617" s="15"/>
      <c r="M1617" s="15"/>
      <c r="N1617" s="15"/>
      <c r="O1617" s="15"/>
      <c r="P1617" s="15"/>
    </row>
    <row r="1618" spans="1:16" x14ac:dyDescent="0.25">
      <c r="A1618" s="15"/>
      <c r="B1618" s="15"/>
      <c r="C1618" s="15"/>
      <c r="D1618" s="15"/>
      <c r="E1618" s="15"/>
      <c r="F1618" s="15"/>
      <c r="G1618" s="15"/>
      <c r="H1618" s="15"/>
      <c r="I1618" s="15"/>
      <c r="J1618" s="15"/>
      <c r="K1618" s="15"/>
      <c r="L1618" s="15"/>
      <c r="M1618" s="15"/>
      <c r="N1618" s="15"/>
      <c r="O1618" s="15"/>
      <c r="P1618" s="15"/>
    </row>
    <row r="1619" spans="1:16" x14ac:dyDescent="0.25">
      <c r="A1619" s="15"/>
      <c r="B1619" s="15"/>
      <c r="C1619" s="15"/>
      <c r="D1619" s="15"/>
      <c r="E1619" s="15"/>
      <c r="F1619" s="15"/>
      <c r="G1619" s="15"/>
      <c r="H1619" s="15"/>
      <c r="I1619" s="15"/>
      <c r="J1619" s="15"/>
      <c r="K1619" s="15"/>
      <c r="L1619" s="15"/>
      <c r="M1619" s="15"/>
      <c r="N1619" s="15"/>
      <c r="O1619" s="15"/>
      <c r="P1619" s="15"/>
    </row>
    <row r="1620" spans="1:16" x14ac:dyDescent="0.25">
      <c r="A1620" s="15"/>
      <c r="B1620" s="15"/>
      <c r="C1620" s="15"/>
      <c r="D1620" s="15"/>
      <c r="E1620" s="15"/>
      <c r="F1620" s="15"/>
      <c r="G1620" s="15"/>
      <c r="H1620" s="15"/>
      <c r="I1620" s="15"/>
      <c r="J1620" s="15"/>
      <c r="K1620" s="15"/>
      <c r="L1620" s="15"/>
      <c r="M1620" s="15"/>
      <c r="N1620" s="15"/>
      <c r="O1620" s="15"/>
      <c r="P1620" s="15"/>
    </row>
    <row r="1621" spans="1:16" x14ac:dyDescent="0.25">
      <c r="A1621" s="15"/>
      <c r="B1621" s="15"/>
      <c r="C1621" s="15"/>
      <c r="D1621" s="15"/>
      <c r="E1621" s="15"/>
      <c r="F1621" s="15"/>
      <c r="G1621" s="15"/>
      <c r="H1621" s="15"/>
      <c r="I1621" s="15"/>
      <c r="J1621" s="15"/>
      <c r="K1621" s="15"/>
      <c r="L1621" s="15"/>
      <c r="M1621" s="15"/>
      <c r="N1621" s="15"/>
      <c r="O1621" s="15"/>
      <c r="P1621" s="15"/>
    </row>
    <row r="1622" spans="1:16" x14ac:dyDescent="0.25">
      <c r="A1622" s="15"/>
      <c r="B1622" s="15"/>
      <c r="C1622" s="15"/>
      <c r="D1622" s="15"/>
      <c r="E1622" s="15"/>
      <c r="F1622" s="15"/>
      <c r="G1622" s="15"/>
      <c r="H1622" s="15"/>
      <c r="I1622" s="15"/>
      <c r="J1622" s="15"/>
      <c r="K1622" s="15"/>
      <c r="L1622" s="15"/>
      <c r="M1622" s="15"/>
      <c r="N1622" s="15"/>
      <c r="O1622" s="15"/>
      <c r="P1622" s="15"/>
    </row>
    <row r="1623" spans="1:16" x14ac:dyDescent="0.25">
      <c r="A1623" s="15"/>
      <c r="B1623" s="15"/>
      <c r="C1623" s="15"/>
      <c r="D1623" s="15"/>
      <c r="E1623" s="15"/>
      <c r="F1623" s="15"/>
      <c r="G1623" s="15"/>
      <c r="H1623" s="15"/>
      <c r="I1623" s="15"/>
      <c r="J1623" s="15"/>
      <c r="K1623" s="15"/>
      <c r="L1623" s="15"/>
      <c r="M1623" s="15"/>
      <c r="N1623" s="15"/>
      <c r="O1623" s="15"/>
      <c r="P1623" s="15"/>
    </row>
    <row r="1624" spans="1:16" x14ac:dyDescent="0.25">
      <c r="A1624" s="15"/>
      <c r="B1624" s="15"/>
      <c r="C1624" s="15"/>
      <c r="D1624" s="15"/>
      <c r="E1624" s="15"/>
      <c r="F1624" s="15"/>
      <c r="G1624" s="15"/>
      <c r="H1624" s="15"/>
      <c r="I1624" s="15"/>
      <c r="J1624" s="15"/>
      <c r="K1624" s="15"/>
      <c r="L1624" s="15"/>
      <c r="M1624" s="15"/>
      <c r="N1624" s="15"/>
      <c r="O1624" s="15"/>
      <c r="P1624" s="15"/>
    </row>
    <row r="1625" spans="1:16" x14ac:dyDescent="0.25">
      <c r="A1625" s="15"/>
      <c r="B1625" s="15"/>
      <c r="C1625" s="15"/>
      <c r="D1625" s="15"/>
      <c r="E1625" s="15"/>
      <c r="F1625" s="15"/>
      <c r="G1625" s="15"/>
      <c r="H1625" s="15"/>
      <c r="I1625" s="15"/>
      <c r="J1625" s="15"/>
      <c r="K1625" s="15"/>
      <c r="L1625" s="15"/>
      <c r="M1625" s="15"/>
      <c r="N1625" s="15"/>
      <c r="O1625" s="15"/>
      <c r="P1625" s="15"/>
    </row>
    <row r="1626" spans="1:16" x14ac:dyDescent="0.25">
      <c r="A1626" s="15"/>
      <c r="B1626" s="15"/>
      <c r="C1626" s="15"/>
      <c r="D1626" s="15"/>
      <c r="E1626" s="15"/>
      <c r="F1626" s="15"/>
      <c r="G1626" s="15"/>
      <c r="H1626" s="15"/>
      <c r="I1626" s="15"/>
      <c r="J1626" s="15"/>
      <c r="K1626" s="15"/>
      <c r="L1626" s="15"/>
      <c r="M1626" s="15"/>
      <c r="N1626" s="15"/>
      <c r="O1626" s="15"/>
      <c r="P1626" s="15"/>
    </row>
    <row r="1627" spans="1:16" x14ac:dyDescent="0.25">
      <c r="A1627" s="15"/>
      <c r="B1627" s="15"/>
      <c r="C1627" s="15"/>
      <c r="D1627" s="15"/>
      <c r="E1627" s="15"/>
      <c r="F1627" s="15"/>
      <c r="G1627" s="15"/>
      <c r="H1627" s="15"/>
      <c r="I1627" s="15"/>
      <c r="J1627" s="15"/>
      <c r="K1627" s="15"/>
      <c r="L1627" s="15"/>
      <c r="M1627" s="15"/>
      <c r="N1627" s="15"/>
      <c r="O1627" s="15"/>
      <c r="P1627" s="15"/>
    </row>
    <row r="1628" spans="1:16" x14ac:dyDescent="0.25">
      <c r="A1628" s="15"/>
      <c r="B1628" s="15"/>
      <c r="C1628" s="15"/>
      <c r="D1628" s="15"/>
      <c r="E1628" s="15"/>
      <c r="F1628" s="15"/>
      <c r="G1628" s="15"/>
      <c r="H1628" s="15"/>
      <c r="I1628" s="15"/>
      <c r="J1628" s="15"/>
      <c r="K1628" s="15"/>
      <c r="L1628" s="15"/>
      <c r="M1628" s="15"/>
      <c r="N1628" s="15"/>
      <c r="O1628" s="15"/>
      <c r="P1628" s="15"/>
    </row>
    <row r="1629" spans="1:16" x14ac:dyDescent="0.25">
      <c r="A1629" s="15"/>
      <c r="B1629" s="15"/>
      <c r="C1629" s="15"/>
      <c r="D1629" s="15"/>
      <c r="E1629" s="15"/>
      <c r="F1629" s="15"/>
      <c r="G1629" s="15"/>
      <c r="H1629" s="15"/>
      <c r="I1629" s="15"/>
      <c r="J1629" s="15"/>
      <c r="K1629" s="15"/>
      <c r="L1629" s="15"/>
      <c r="M1629" s="15"/>
      <c r="N1629" s="15"/>
      <c r="O1629" s="15"/>
      <c r="P1629" s="15"/>
    </row>
    <row r="1630" spans="1:16" x14ac:dyDescent="0.25">
      <c r="A1630" s="15"/>
      <c r="B1630" s="15"/>
      <c r="C1630" s="15"/>
      <c r="D1630" s="15"/>
      <c r="E1630" s="15"/>
      <c r="F1630" s="15"/>
      <c r="G1630" s="15"/>
      <c r="H1630" s="15"/>
      <c r="I1630" s="15"/>
      <c r="J1630" s="15"/>
      <c r="K1630" s="15"/>
      <c r="L1630" s="15"/>
      <c r="M1630" s="15"/>
      <c r="N1630" s="15"/>
      <c r="O1630" s="15"/>
      <c r="P1630" s="15"/>
    </row>
    <row r="1631" spans="1:16" x14ac:dyDescent="0.25">
      <c r="A1631" s="15"/>
      <c r="B1631" s="15"/>
      <c r="C1631" s="15"/>
      <c r="D1631" s="15"/>
      <c r="E1631" s="15"/>
      <c r="F1631" s="15"/>
      <c r="G1631" s="15"/>
      <c r="H1631" s="15"/>
      <c r="I1631" s="15"/>
      <c r="J1631" s="15"/>
      <c r="K1631" s="15"/>
      <c r="L1631" s="15"/>
      <c r="M1631" s="15"/>
      <c r="N1631" s="15"/>
      <c r="O1631" s="15"/>
      <c r="P1631" s="15"/>
    </row>
    <row r="1632" spans="1:16" x14ac:dyDescent="0.25">
      <c r="A1632" s="15"/>
      <c r="B1632" s="15"/>
      <c r="C1632" s="15"/>
      <c r="D1632" s="15"/>
      <c r="E1632" s="15"/>
      <c r="F1632" s="15"/>
      <c r="G1632" s="15"/>
      <c r="H1632" s="15"/>
      <c r="I1632" s="15"/>
      <c r="J1632" s="15"/>
      <c r="K1632" s="15"/>
      <c r="L1632" s="15"/>
      <c r="M1632" s="15"/>
      <c r="N1632" s="15"/>
      <c r="O1632" s="15"/>
      <c r="P1632" s="15"/>
    </row>
    <row r="1633" spans="1:16" x14ac:dyDescent="0.25">
      <c r="A1633" s="15"/>
      <c r="B1633" s="15"/>
      <c r="C1633" s="15"/>
      <c r="D1633" s="15"/>
      <c r="E1633" s="15"/>
      <c r="F1633" s="15"/>
      <c r="G1633" s="15"/>
      <c r="H1633" s="15"/>
      <c r="I1633" s="15"/>
      <c r="J1633" s="15"/>
      <c r="K1633" s="15"/>
      <c r="L1633" s="15"/>
      <c r="M1633" s="15"/>
      <c r="N1633" s="15"/>
      <c r="O1633" s="15"/>
      <c r="P1633" s="15"/>
    </row>
    <row r="1634" spans="1:16" x14ac:dyDescent="0.25">
      <c r="A1634" s="15"/>
      <c r="B1634" s="15"/>
      <c r="C1634" s="15"/>
      <c r="D1634" s="15"/>
      <c r="E1634" s="15"/>
      <c r="F1634" s="15"/>
      <c r="G1634" s="15"/>
      <c r="H1634" s="15"/>
      <c r="I1634" s="15"/>
      <c r="J1634" s="15"/>
      <c r="K1634" s="15"/>
      <c r="L1634" s="15"/>
      <c r="M1634" s="15"/>
      <c r="N1634" s="15"/>
      <c r="O1634" s="15"/>
      <c r="P1634" s="15"/>
    </row>
    <row r="1635" spans="1:16" x14ac:dyDescent="0.25">
      <c r="A1635" s="15"/>
      <c r="B1635" s="15"/>
      <c r="C1635" s="15"/>
      <c r="D1635" s="15"/>
      <c r="E1635" s="15"/>
      <c r="F1635" s="15"/>
      <c r="G1635" s="15"/>
      <c r="H1635" s="15"/>
      <c r="I1635" s="15"/>
      <c r="J1635" s="15"/>
      <c r="K1635" s="15"/>
      <c r="L1635" s="15"/>
      <c r="M1635" s="15"/>
      <c r="N1635" s="15"/>
      <c r="O1635" s="15"/>
      <c r="P1635" s="15"/>
    </row>
    <row r="1636" spans="1:16" x14ac:dyDescent="0.25">
      <c r="A1636" s="15"/>
      <c r="B1636" s="15"/>
      <c r="C1636" s="15"/>
      <c r="D1636" s="15"/>
      <c r="E1636" s="15"/>
      <c r="F1636" s="15"/>
      <c r="G1636" s="15"/>
      <c r="H1636" s="15"/>
      <c r="I1636" s="15"/>
      <c r="J1636" s="15"/>
      <c r="K1636" s="15"/>
      <c r="L1636" s="15"/>
      <c r="M1636" s="15"/>
      <c r="N1636" s="15"/>
      <c r="O1636" s="15"/>
      <c r="P1636" s="15"/>
    </row>
    <row r="1637" spans="1:16" x14ac:dyDescent="0.25">
      <c r="A1637" s="15"/>
      <c r="B1637" s="15"/>
      <c r="C1637" s="15"/>
      <c r="D1637" s="15"/>
      <c r="E1637" s="15"/>
      <c r="F1637" s="15"/>
      <c r="G1637" s="15"/>
      <c r="H1637" s="15"/>
      <c r="I1637" s="15"/>
      <c r="J1637" s="15"/>
      <c r="K1637" s="15"/>
      <c r="L1637" s="15"/>
      <c r="M1637" s="15"/>
      <c r="N1637" s="15"/>
      <c r="O1637" s="15"/>
      <c r="P1637" s="15"/>
    </row>
    <row r="1638" spans="1:16" x14ac:dyDescent="0.25">
      <c r="A1638" s="15"/>
      <c r="B1638" s="15"/>
      <c r="C1638" s="15"/>
      <c r="D1638" s="15"/>
      <c r="E1638" s="15"/>
      <c r="F1638" s="15"/>
      <c r="G1638" s="15"/>
      <c r="H1638" s="15"/>
      <c r="I1638" s="15"/>
      <c r="J1638" s="15"/>
      <c r="K1638" s="15"/>
      <c r="L1638" s="15"/>
      <c r="M1638" s="15"/>
      <c r="N1638" s="15"/>
      <c r="O1638" s="15"/>
      <c r="P1638" s="15"/>
    </row>
    <row r="1639" spans="1:16" x14ac:dyDescent="0.25">
      <c r="A1639" s="15"/>
      <c r="B1639" s="15"/>
      <c r="C1639" s="15"/>
      <c r="D1639" s="15"/>
      <c r="E1639" s="15"/>
      <c r="F1639" s="15"/>
      <c r="G1639" s="15"/>
      <c r="H1639" s="15"/>
      <c r="I1639" s="15"/>
      <c r="J1639" s="15"/>
      <c r="K1639" s="15"/>
      <c r="L1639" s="15"/>
      <c r="M1639" s="15"/>
      <c r="N1639" s="15"/>
      <c r="O1639" s="15"/>
      <c r="P1639" s="15"/>
    </row>
    <row r="1640" spans="1:16" x14ac:dyDescent="0.25">
      <c r="A1640" s="15"/>
      <c r="B1640" s="15"/>
      <c r="C1640" s="15"/>
      <c r="D1640" s="15"/>
      <c r="E1640" s="15"/>
      <c r="F1640" s="15"/>
      <c r="G1640" s="15"/>
      <c r="H1640" s="15"/>
      <c r="I1640" s="15"/>
      <c r="J1640" s="15"/>
      <c r="K1640" s="15"/>
      <c r="L1640" s="15"/>
      <c r="M1640" s="15"/>
      <c r="N1640" s="15"/>
      <c r="O1640" s="15"/>
      <c r="P1640" s="15"/>
    </row>
    <row r="1641" spans="1:16" x14ac:dyDescent="0.25">
      <c r="A1641" s="15"/>
      <c r="B1641" s="15"/>
      <c r="C1641" s="15"/>
      <c r="D1641" s="15"/>
      <c r="E1641" s="15"/>
      <c r="F1641" s="15"/>
      <c r="G1641" s="15"/>
      <c r="H1641" s="15"/>
      <c r="I1641" s="15"/>
      <c r="J1641" s="15"/>
      <c r="K1641" s="15"/>
      <c r="L1641" s="15"/>
      <c r="M1641" s="15"/>
      <c r="N1641" s="15"/>
      <c r="O1641" s="15"/>
      <c r="P1641" s="15"/>
    </row>
    <row r="1642" spans="1:16" x14ac:dyDescent="0.25">
      <c r="A1642" s="15"/>
      <c r="B1642" s="15"/>
      <c r="C1642" s="15"/>
      <c r="D1642" s="15"/>
      <c r="E1642" s="15"/>
      <c r="F1642" s="15"/>
      <c r="G1642" s="15"/>
      <c r="H1642" s="15"/>
      <c r="I1642" s="15"/>
      <c r="J1642" s="15"/>
      <c r="K1642" s="15"/>
      <c r="L1642" s="15"/>
      <c r="M1642" s="15"/>
      <c r="N1642" s="15"/>
      <c r="O1642" s="15"/>
      <c r="P1642" s="15"/>
    </row>
    <row r="1643" spans="1:16" x14ac:dyDescent="0.25">
      <c r="A1643" s="15"/>
      <c r="B1643" s="15"/>
      <c r="C1643" s="15"/>
      <c r="D1643" s="15"/>
      <c r="E1643" s="15"/>
      <c r="F1643" s="15"/>
      <c r="G1643" s="15"/>
      <c r="H1643" s="15"/>
      <c r="I1643" s="15"/>
      <c r="J1643" s="15"/>
      <c r="K1643" s="15"/>
      <c r="L1643" s="15"/>
      <c r="M1643" s="15"/>
      <c r="N1643" s="15"/>
      <c r="O1643" s="15"/>
      <c r="P1643" s="15"/>
    </row>
    <row r="1644" spans="1:16" x14ac:dyDescent="0.25">
      <c r="A1644" s="15"/>
      <c r="B1644" s="15"/>
      <c r="C1644" s="15"/>
      <c r="D1644" s="15"/>
      <c r="E1644" s="15"/>
      <c r="F1644" s="15"/>
      <c r="G1644" s="15"/>
      <c r="H1644" s="15"/>
      <c r="I1644" s="15"/>
      <c r="J1644" s="15"/>
      <c r="K1644" s="15"/>
      <c r="L1644" s="15"/>
      <c r="M1644" s="15"/>
      <c r="N1644" s="15"/>
      <c r="O1644" s="15"/>
      <c r="P1644" s="15"/>
    </row>
    <row r="1645" spans="1:16" x14ac:dyDescent="0.25">
      <c r="A1645" s="15"/>
      <c r="B1645" s="15"/>
      <c r="C1645" s="15"/>
      <c r="D1645" s="15"/>
      <c r="E1645" s="15"/>
      <c r="F1645" s="15"/>
      <c r="G1645" s="15"/>
      <c r="H1645" s="15"/>
      <c r="I1645" s="15"/>
      <c r="J1645" s="15"/>
      <c r="K1645" s="15"/>
      <c r="L1645" s="15"/>
      <c r="M1645" s="15"/>
      <c r="N1645" s="15"/>
      <c r="O1645" s="15"/>
      <c r="P1645" s="15"/>
    </row>
    <row r="1646" spans="1:16" x14ac:dyDescent="0.25">
      <c r="A1646" s="15"/>
      <c r="B1646" s="15"/>
      <c r="C1646" s="15"/>
      <c r="D1646" s="15"/>
      <c r="E1646" s="15"/>
      <c r="F1646" s="15"/>
      <c r="G1646" s="15"/>
      <c r="H1646" s="15"/>
      <c r="I1646" s="15"/>
      <c r="J1646" s="15"/>
      <c r="K1646" s="15"/>
      <c r="L1646" s="15"/>
      <c r="M1646" s="15"/>
      <c r="N1646" s="15"/>
      <c r="O1646" s="15"/>
      <c r="P1646" s="15"/>
    </row>
    <row r="1647" spans="1:16" x14ac:dyDescent="0.25">
      <c r="A1647" s="15"/>
      <c r="B1647" s="15"/>
      <c r="C1647" s="15"/>
      <c r="D1647" s="15"/>
      <c r="E1647" s="15"/>
      <c r="F1647" s="15"/>
      <c r="G1647" s="15"/>
      <c r="H1647" s="15"/>
      <c r="I1647" s="15"/>
      <c r="J1647" s="15"/>
      <c r="K1647" s="15"/>
      <c r="L1647" s="15"/>
      <c r="M1647" s="15"/>
      <c r="N1647" s="15"/>
      <c r="O1647" s="15"/>
      <c r="P1647" s="15"/>
    </row>
    <row r="1648" spans="1:16" x14ac:dyDescent="0.25">
      <c r="A1648" s="15"/>
      <c r="B1648" s="15"/>
      <c r="C1648" s="15"/>
      <c r="D1648" s="15"/>
      <c r="E1648" s="15"/>
      <c r="F1648" s="15"/>
      <c r="G1648" s="15"/>
      <c r="H1648" s="15"/>
      <c r="I1648" s="15"/>
      <c r="J1648" s="15"/>
      <c r="K1648" s="15"/>
      <c r="L1648" s="15"/>
      <c r="M1648" s="15"/>
      <c r="N1648" s="15"/>
      <c r="O1648" s="15"/>
      <c r="P1648" s="15"/>
    </row>
    <row r="1649" spans="1:16" x14ac:dyDescent="0.25">
      <c r="A1649" s="15"/>
      <c r="B1649" s="15"/>
      <c r="C1649" s="15"/>
      <c r="D1649" s="15"/>
      <c r="E1649" s="15"/>
      <c r="F1649" s="15"/>
      <c r="G1649" s="15"/>
      <c r="H1649" s="15"/>
      <c r="I1649" s="15"/>
      <c r="J1649" s="15"/>
      <c r="K1649" s="15"/>
      <c r="L1649" s="15"/>
      <c r="M1649" s="15"/>
      <c r="N1649" s="15"/>
      <c r="O1649" s="15"/>
      <c r="P1649" s="15"/>
    </row>
    <row r="1650" spans="1:16" x14ac:dyDescent="0.25">
      <c r="A1650" s="15"/>
      <c r="B1650" s="15"/>
      <c r="C1650" s="15"/>
      <c r="D1650" s="15"/>
      <c r="E1650" s="15"/>
      <c r="F1650" s="15"/>
      <c r="G1650" s="15"/>
      <c r="H1650" s="15"/>
      <c r="I1650" s="15"/>
      <c r="J1650" s="15"/>
      <c r="K1650" s="15"/>
      <c r="L1650" s="15"/>
      <c r="M1650" s="15"/>
      <c r="N1650" s="15"/>
      <c r="O1650" s="15"/>
      <c r="P1650" s="15"/>
    </row>
    <row r="1651" spans="1:16" x14ac:dyDescent="0.25">
      <c r="A1651" s="15"/>
      <c r="B1651" s="15"/>
      <c r="C1651" s="15"/>
      <c r="D1651" s="15"/>
      <c r="E1651" s="15"/>
      <c r="F1651" s="15"/>
      <c r="G1651" s="15"/>
      <c r="H1651" s="15"/>
      <c r="I1651" s="15"/>
      <c r="J1651" s="15"/>
      <c r="K1651" s="15"/>
      <c r="L1651" s="15"/>
      <c r="M1651" s="15"/>
      <c r="N1651" s="15"/>
      <c r="O1651" s="15"/>
      <c r="P1651" s="15"/>
    </row>
    <row r="1652" spans="1:16" x14ac:dyDescent="0.25">
      <c r="A1652" s="15"/>
      <c r="B1652" s="15"/>
      <c r="C1652" s="15"/>
      <c r="D1652" s="15"/>
      <c r="E1652" s="15"/>
      <c r="F1652" s="15"/>
      <c r="G1652" s="15"/>
      <c r="H1652" s="15"/>
      <c r="I1652" s="15"/>
      <c r="J1652" s="15"/>
      <c r="K1652" s="15"/>
      <c r="L1652" s="15"/>
      <c r="M1652" s="15"/>
      <c r="N1652" s="15"/>
      <c r="O1652" s="15"/>
      <c r="P1652" s="15"/>
    </row>
    <row r="1653" spans="1:16" x14ac:dyDescent="0.25">
      <c r="A1653" s="15"/>
      <c r="B1653" s="15"/>
      <c r="C1653" s="15"/>
      <c r="D1653" s="15"/>
      <c r="E1653" s="15"/>
      <c r="F1653" s="15"/>
      <c r="G1653" s="15"/>
      <c r="H1653" s="15"/>
      <c r="I1653" s="15"/>
      <c r="J1653" s="15"/>
      <c r="K1653" s="15"/>
      <c r="L1653" s="15"/>
      <c r="M1653" s="15"/>
      <c r="N1653" s="15"/>
      <c r="O1653" s="15"/>
      <c r="P1653" s="15"/>
    </row>
    <row r="1654" spans="1:16" x14ac:dyDescent="0.25">
      <c r="A1654" s="15"/>
      <c r="B1654" s="15"/>
      <c r="C1654" s="15"/>
      <c r="D1654" s="15"/>
      <c r="E1654" s="15"/>
      <c r="F1654" s="15"/>
      <c r="G1654" s="15"/>
      <c r="H1654" s="15"/>
      <c r="I1654" s="15"/>
      <c r="J1654" s="15"/>
      <c r="K1654" s="15"/>
      <c r="L1654" s="15"/>
      <c r="M1654" s="15"/>
      <c r="N1654" s="15"/>
      <c r="O1654" s="15"/>
      <c r="P1654" s="15"/>
    </row>
    <row r="1655" spans="1:16" x14ac:dyDescent="0.25">
      <c r="A1655" s="15"/>
      <c r="B1655" s="15"/>
      <c r="C1655" s="15"/>
      <c r="D1655" s="15"/>
      <c r="E1655" s="15"/>
      <c r="F1655" s="15"/>
      <c r="G1655" s="15"/>
      <c r="H1655" s="15"/>
      <c r="I1655" s="15"/>
      <c r="J1655" s="15"/>
      <c r="K1655" s="15"/>
      <c r="L1655" s="15"/>
      <c r="M1655" s="15"/>
      <c r="N1655" s="15"/>
      <c r="O1655" s="15"/>
      <c r="P1655" s="15"/>
    </row>
    <row r="1656" spans="1:16" x14ac:dyDescent="0.25">
      <c r="A1656" s="15"/>
      <c r="B1656" s="15"/>
      <c r="C1656" s="15"/>
      <c r="D1656" s="15"/>
      <c r="E1656" s="15"/>
      <c r="F1656" s="15"/>
      <c r="G1656" s="15"/>
      <c r="H1656" s="15"/>
      <c r="I1656" s="15"/>
      <c r="J1656" s="15"/>
      <c r="K1656" s="15"/>
      <c r="L1656" s="15"/>
      <c r="M1656" s="15"/>
      <c r="N1656" s="15"/>
      <c r="O1656" s="15"/>
      <c r="P1656" s="15"/>
    </row>
    <row r="1657" spans="1:16" x14ac:dyDescent="0.25">
      <c r="A1657" s="15"/>
      <c r="B1657" s="15"/>
      <c r="C1657" s="15"/>
      <c r="D1657" s="15"/>
      <c r="E1657" s="15"/>
      <c r="F1657" s="15"/>
      <c r="G1657" s="15"/>
      <c r="H1657" s="15"/>
      <c r="I1657" s="15"/>
      <c r="J1657" s="15"/>
      <c r="K1657" s="15"/>
      <c r="L1657" s="15"/>
      <c r="M1657" s="15"/>
      <c r="N1657" s="15"/>
      <c r="O1657" s="15"/>
      <c r="P1657" s="15"/>
    </row>
    <row r="1658" spans="1:16" x14ac:dyDescent="0.25">
      <c r="A1658" s="15"/>
      <c r="B1658" s="15"/>
      <c r="C1658" s="15"/>
      <c r="D1658" s="15"/>
      <c r="E1658" s="15"/>
      <c r="F1658" s="15"/>
      <c r="G1658" s="15"/>
      <c r="H1658" s="15"/>
      <c r="I1658" s="15"/>
      <c r="J1658" s="15"/>
      <c r="K1658" s="15"/>
      <c r="L1658" s="15"/>
      <c r="M1658" s="15"/>
      <c r="N1658" s="15"/>
      <c r="O1658" s="15"/>
      <c r="P1658" s="15"/>
    </row>
    <row r="1659" spans="1:16" x14ac:dyDescent="0.25">
      <c r="A1659" s="15"/>
      <c r="B1659" s="15"/>
      <c r="C1659" s="15"/>
      <c r="D1659" s="15"/>
      <c r="E1659" s="15"/>
      <c r="F1659" s="15"/>
      <c r="G1659" s="15"/>
      <c r="H1659" s="15"/>
      <c r="I1659" s="15"/>
      <c r="J1659" s="15"/>
      <c r="K1659" s="15"/>
      <c r="L1659" s="15"/>
      <c r="M1659" s="15"/>
      <c r="N1659" s="15"/>
      <c r="O1659" s="15"/>
      <c r="P1659" s="15"/>
    </row>
    <row r="1660" spans="1:16" x14ac:dyDescent="0.25">
      <c r="A1660" s="15"/>
      <c r="B1660" s="15"/>
      <c r="C1660" s="15"/>
      <c r="D1660" s="15"/>
      <c r="E1660" s="15"/>
      <c r="F1660" s="15"/>
      <c r="G1660" s="15"/>
      <c r="H1660" s="15"/>
      <c r="I1660" s="15"/>
      <c r="J1660" s="15"/>
      <c r="K1660" s="15"/>
      <c r="L1660" s="15"/>
      <c r="M1660" s="15"/>
      <c r="N1660" s="15"/>
      <c r="O1660" s="15"/>
      <c r="P1660" s="15"/>
    </row>
    <row r="1661" spans="1:16" x14ac:dyDescent="0.25">
      <c r="A1661" s="15"/>
      <c r="B1661" s="15"/>
      <c r="C1661" s="15"/>
      <c r="D1661" s="15"/>
      <c r="E1661" s="15"/>
      <c r="F1661" s="15"/>
      <c r="G1661" s="15"/>
      <c r="H1661" s="15"/>
      <c r="I1661" s="15"/>
      <c r="J1661" s="15"/>
      <c r="K1661" s="15"/>
      <c r="L1661" s="15"/>
      <c r="M1661" s="15"/>
      <c r="N1661" s="15"/>
      <c r="O1661" s="15"/>
      <c r="P1661" s="15"/>
    </row>
    <row r="1662" spans="1:16" x14ac:dyDescent="0.25">
      <c r="A1662" s="15"/>
      <c r="B1662" s="15"/>
      <c r="C1662" s="15"/>
      <c r="D1662" s="15"/>
      <c r="E1662" s="15"/>
      <c r="F1662" s="15"/>
      <c r="G1662" s="15"/>
      <c r="H1662" s="15"/>
      <c r="I1662" s="15"/>
      <c r="J1662" s="15"/>
      <c r="K1662" s="15"/>
      <c r="L1662" s="15"/>
      <c r="M1662" s="15"/>
      <c r="N1662" s="15"/>
      <c r="O1662" s="15"/>
      <c r="P1662" s="15"/>
    </row>
    <row r="1663" spans="1:16" x14ac:dyDescent="0.25">
      <c r="A1663" s="15"/>
      <c r="B1663" s="15"/>
      <c r="C1663" s="15"/>
      <c r="D1663" s="15"/>
      <c r="E1663" s="15"/>
      <c r="F1663" s="15"/>
      <c r="G1663" s="15"/>
      <c r="H1663" s="15"/>
      <c r="I1663" s="15"/>
      <c r="J1663" s="15"/>
      <c r="K1663" s="15"/>
      <c r="L1663" s="15"/>
      <c r="M1663" s="15"/>
      <c r="N1663" s="15"/>
      <c r="O1663" s="15"/>
      <c r="P1663" s="15"/>
    </row>
    <row r="1664" spans="1:16" x14ac:dyDescent="0.25">
      <c r="A1664" s="15"/>
      <c r="B1664" s="15"/>
      <c r="C1664" s="15"/>
      <c r="D1664" s="15"/>
      <c r="E1664" s="15"/>
      <c r="F1664" s="15"/>
      <c r="G1664" s="15"/>
      <c r="H1664" s="15"/>
      <c r="I1664" s="15"/>
      <c r="J1664" s="15"/>
      <c r="K1664" s="15"/>
      <c r="L1664" s="15"/>
      <c r="M1664" s="15"/>
      <c r="N1664" s="15"/>
      <c r="O1664" s="15"/>
      <c r="P1664" s="15"/>
    </row>
    <row r="1665" spans="1:16" x14ac:dyDescent="0.25">
      <c r="A1665" s="15"/>
      <c r="B1665" s="15"/>
      <c r="C1665" s="15"/>
      <c r="D1665" s="15"/>
      <c r="E1665" s="15"/>
      <c r="F1665" s="15"/>
      <c r="G1665" s="15"/>
      <c r="H1665" s="15"/>
      <c r="I1665" s="15"/>
      <c r="J1665" s="15"/>
      <c r="K1665" s="15"/>
      <c r="L1665" s="15"/>
      <c r="M1665" s="15"/>
      <c r="N1665" s="15"/>
      <c r="O1665" s="15"/>
      <c r="P1665" s="15"/>
    </row>
    <row r="1666" spans="1:16" x14ac:dyDescent="0.25">
      <c r="A1666" s="15"/>
      <c r="B1666" s="15"/>
      <c r="C1666" s="15"/>
      <c r="D1666" s="15"/>
      <c r="E1666" s="15"/>
      <c r="F1666" s="15"/>
      <c r="G1666" s="15"/>
      <c r="H1666" s="15"/>
      <c r="I1666" s="15"/>
      <c r="J1666" s="15"/>
      <c r="K1666" s="15"/>
      <c r="L1666" s="15"/>
      <c r="M1666" s="15"/>
      <c r="N1666" s="15"/>
      <c r="O1666" s="15"/>
      <c r="P1666" s="15"/>
    </row>
    <row r="1667" spans="1:16" x14ac:dyDescent="0.25">
      <c r="A1667" s="15"/>
      <c r="B1667" s="15"/>
      <c r="C1667" s="15"/>
      <c r="D1667" s="15"/>
      <c r="E1667" s="15"/>
      <c r="F1667" s="15"/>
      <c r="G1667" s="15"/>
      <c r="H1667" s="15"/>
      <c r="I1667" s="15"/>
      <c r="J1667" s="15"/>
      <c r="K1667" s="15"/>
      <c r="L1667" s="15"/>
      <c r="M1667" s="15"/>
      <c r="N1667" s="15"/>
      <c r="O1667" s="15"/>
      <c r="P1667" s="15"/>
    </row>
    <row r="1668" spans="1:16" x14ac:dyDescent="0.25">
      <c r="A1668" s="15"/>
      <c r="B1668" s="15"/>
      <c r="C1668" s="15"/>
      <c r="D1668" s="15"/>
      <c r="E1668" s="15"/>
      <c r="F1668" s="15"/>
      <c r="G1668" s="15"/>
      <c r="H1668" s="15"/>
      <c r="I1668" s="15"/>
      <c r="J1668" s="15"/>
      <c r="K1668" s="15"/>
      <c r="L1668" s="15"/>
      <c r="M1668" s="15"/>
      <c r="N1668" s="15"/>
      <c r="O1668" s="15"/>
      <c r="P1668" s="15"/>
    </row>
    <row r="1669" spans="1:16" x14ac:dyDescent="0.25">
      <c r="A1669" s="15"/>
      <c r="B1669" s="15"/>
      <c r="C1669" s="15"/>
      <c r="D1669" s="15"/>
      <c r="E1669" s="15"/>
      <c r="F1669" s="15"/>
      <c r="G1669" s="15"/>
      <c r="H1669" s="15"/>
      <c r="I1669" s="15"/>
      <c r="J1669" s="15"/>
      <c r="K1669" s="15"/>
      <c r="L1669" s="15"/>
      <c r="M1669" s="15"/>
      <c r="N1669" s="15"/>
      <c r="O1669" s="15"/>
      <c r="P1669" s="15"/>
    </row>
    <row r="1670" spans="1:16" x14ac:dyDescent="0.25">
      <c r="A1670" s="15"/>
      <c r="B1670" s="15"/>
      <c r="C1670" s="15"/>
      <c r="D1670" s="15"/>
      <c r="E1670" s="15"/>
      <c r="F1670" s="15"/>
      <c r="G1670" s="15"/>
      <c r="H1670" s="15"/>
      <c r="I1670" s="15"/>
      <c r="J1670" s="15"/>
      <c r="K1670" s="15"/>
      <c r="L1670" s="15"/>
      <c r="M1670" s="15"/>
      <c r="N1670" s="15"/>
      <c r="O1670" s="15"/>
      <c r="P1670" s="15"/>
    </row>
    <row r="1671" spans="1:16" x14ac:dyDescent="0.25">
      <c r="A1671" s="15"/>
      <c r="B1671" s="15"/>
      <c r="C1671" s="15"/>
      <c r="D1671" s="15"/>
      <c r="E1671" s="15"/>
      <c r="F1671" s="15"/>
      <c r="G1671" s="15"/>
      <c r="H1671" s="15"/>
      <c r="I1671" s="15"/>
      <c r="J1671" s="15"/>
      <c r="K1671" s="15"/>
      <c r="L1671" s="15"/>
      <c r="M1671" s="15"/>
      <c r="N1671" s="15"/>
      <c r="O1671" s="15"/>
      <c r="P1671" s="15"/>
    </row>
    <row r="1672" spans="1:16" x14ac:dyDescent="0.25">
      <c r="A1672" s="15"/>
      <c r="B1672" s="15"/>
      <c r="C1672" s="15"/>
      <c r="D1672" s="15"/>
      <c r="E1672" s="15"/>
      <c r="F1672" s="15"/>
      <c r="G1672" s="15"/>
      <c r="H1672" s="15"/>
      <c r="I1672" s="15"/>
      <c r="J1672" s="15"/>
      <c r="K1672" s="15"/>
      <c r="L1672" s="15"/>
      <c r="M1672" s="15"/>
      <c r="N1672" s="15"/>
      <c r="O1672" s="15"/>
      <c r="P1672" s="15"/>
    </row>
    <row r="1673" spans="1:16" x14ac:dyDescent="0.25">
      <c r="A1673" s="15"/>
      <c r="B1673" s="15"/>
      <c r="C1673" s="15"/>
      <c r="D1673" s="15"/>
      <c r="E1673" s="15"/>
      <c r="F1673" s="15"/>
      <c r="G1673" s="15"/>
      <c r="H1673" s="15"/>
      <c r="I1673" s="15"/>
      <c r="J1673" s="15"/>
      <c r="K1673" s="15"/>
      <c r="L1673" s="15"/>
      <c r="M1673" s="15"/>
      <c r="N1673" s="15"/>
      <c r="O1673" s="15"/>
      <c r="P1673" s="15"/>
    </row>
    <row r="1674" spans="1:16" x14ac:dyDescent="0.25">
      <c r="A1674" s="15"/>
      <c r="B1674" s="15"/>
      <c r="C1674" s="15"/>
      <c r="D1674" s="15"/>
      <c r="E1674" s="15"/>
      <c r="F1674" s="15"/>
      <c r="G1674" s="15"/>
      <c r="H1674" s="15"/>
      <c r="I1674" s="15"/>
      <c r="J1674" s="15"/>
      <c r="K1674" s="15"/>
      <c r="L1674" s="15"/>
      <c r="M1674" s="15"/>
      <c r="N1674" s="15"/>
      <c r="O1674" s="15"/>
      <c r="P1674" s="15"/>
    </row>
    <row r="1675" spans="1:16" x14ac:dyDescent="0.25">
      <c r="A1675" s="15"/>
      <c r="B1675" s="15"/>
      <c r="C1675" s="15"/>
      <c r="D1675" s="15"/>
      <c r="E1675" s="15"/>
      <c r="F1675" s="15"/>
      <c r="G1675" s="15"/>
      <c r="H1675" s="15"/>
      <c r="I1675" s="15"/>
      <c r="J1675" s="15"/>
      <c r="K1675" s="15"/>
      <c r="L1675" s="15"/>
      <c r="M1675" s="15"/>
      <c r="N1675" s="15"/>
      <c r="O1675" s="15"/>
      <c r="P1675" s="15"/>
    </row>
    <row r="1676" spans="1:16" x14ac:dyDescent="0.25">
      <c r="A1676" s="15"/>
      <c r="B1676" s="15"/>
      <c r="C1676" s="15"/>
      <c r="D1676" s="15"/>
      <c r="E1676" s="15"/>
      <c r="F1676" s="15"/>
      <c r="G1676" s="15"/>
      <c r="H1676" s="15"/>
      <c r="I1676" s="15"/>
      <c r="J1676" s="15"/>
      <c r="K1676" s="15"/>
      <c r="L1676" s="15"/>
      <c r="M1676" s="15"/>
      <c r="N1676" s="15"/>
      <c r="O1676" s="15"/>
      <c r="P1676" s="15"/>
    </row>
    <row r="1677" spans="1:16" x14ac:dyDescent="0.25">
      <c r="A1677" s="15"/>
      <c r="B1677" s="15"/>
      <c r="C1677" s="15"/>
      <c r="D1677" s="15"/>
      <c r="E1677" s="15"/>
      <c r="F1677" s="15"/>
      <c r="G1677" s="15"/>
      <c r="H1677" s="15"/>
      <c r="I1677" s="15"/>
      <c r="J1677" s="15"/>
      <c r="K1677" s="15"/>
      <c r="L1677" s="15"/>
      <c r="M1677" s="15"/>
      <c r="N1677" s="15"/>
      <c r="O1677" s="15"/>
      <c r="P1677" s="15"/>
    </row>
    <row r="1678" spans="1:16" x14ac:dyDescent="0.25">
      <c r="A1678" s="15"/>
      <c r="B1678" s="15"/>
      <c r="C1678" s="15"/>
      <c r="D1678" s="15"/>
      <c r="E1678" s="15"/>
      <c r="F1678" s="15"/>
      <c r="G1678" s="15"/>
      <c r="H1678" s="15"/>
      <c r="I1678" s="15"/>
      <c r="J1678" s="15"/>
      <c r="K1678" s="15"/>
      <c r="L1678" s="15"/>
      <c r="M1678" s="15"/>
      <c r="N1678" s="15"/>
      <c r="O1678" s="15"/>
      <c r="P1678" s="15"/>
    </row>
    <row r="1679" spans="1:16" x14ac:dyDescent="0.25">
      <c r="A1679" s="15"/>
      <c r="B1679" s="15"/>
      <c r="C1679" s="15"/>
      <c r="D1679" s="15"/>
      <c r="E1679" s="15"/>
      <c r="F1679" s="15"/>
      <c r="G1679" s="15"/>
      <c r="H1679" s="15"/>
      <c r="I1679" s="15"/>
      <c r="J1679" s="15"/>
      <c r="K1679" s="15"/>
      <c r="L1679" s="15"/>
      <c r="M1679" s="15"/>
      <c r="N1679" s="15"/>
      <c r="O1679" s="15"/>
      <c r="P1679" s="15"/>
    </row>
    <row r="1680" spans="1:16" x14ac:dyDescent="0.25">
      <c r="A1680" s="15"/>
      <c r="B1680" s="15"/>
      <c r="C1680" s="15"/>
      <c r="D1680" s="15"/>
      <c r="E1680" s="15"/>
      <c r="F1680" s="15"/>
      <c r="G1680" s="15"/>
      <c r="H1680" s="15"/>
      <c r="I1680" s="15"/>
      <c r="J1680" s="15"/>
      <c r="K1680" s="15"/>
      <c r="L1680" s="15"/>
      <c r="M1680" s="15"/>
      <c r="N1680" s="15"/>
      <c r="O1680" s="15"/>
      <c r="P1680" s="15"/>
    </row>
    <row r="1681" spans="1:16" x14ac:dyDescent="0.25">
      <c r="A1681" s="15"/>
      <c r="B1681" s="15"/>
      <c r="C1681" s="15"/>
      <c r="D1681" s="15"/>
      <c r="E1681" s="15"/>
      <c r="F1681" s="15"/>
      <c r="G1681" s="15"/>
      <c r="H1681" s="15"/>
      <c r="I1681" s="15"/>
      <c r="J1681" s="15"/>
      <c r="K1681" s="15"/>
      <c r="L1681" s="15"/>
      <c r="M1681" s="15"/>
      <c r="N1681" s="15"/>
      <c r="O1681" s="15"/>
      <c r="P1681" s="15"/>
    </row>
    <row r="1682" spans="1:16" x14ac:dyDescent="0.25">
      <c r="A1682" s="15"/>
      <c r="B1682" s="15"/>
      <c r="C1682" s="15"/>
      <c r="D1682" s="15"/>
      <c r="E1682" s="15"/>
      <c r="F1682" s="15"/>
      <c r="G1682" s="15"/>
      <c r="H1682" s="15"/>
      <c r="I1682" s="15"/>
      <c r="J1682" s="15"/>
      <c r="K1682" s="15"/>
      <c r="L1682" s="15"/>
      <c r="M1682" s="15"/>
      <c r="N1682" s="15"/>
      <c r="O1682" s="15"/>
      <c r="P1682" s="15"/>
    </row>
    <row r="1683" spans="1:16" x14ac:dyDescent="0.25">
      <c r="A1683" s="15"/>
      <c r="B1683" s="15"/>
      <c r="C1683" s="15"/>
      <c r="D1683" s="15"/>
      <c r="E1683" s="15"/>
      <c r="F1683" s="15"/>
      <c r="G1683" s="15"/>
      <c r="H1683" s="15"/>
      <c r="I1683" s="15"/>
      <c r="J1683" s="15"/>
      <c r="K1683" s="15"/>
      <c r="L1683" s="15"/>
      <c r="M1683" s="15"/>
      <c r="N1683" s="15"/>
      <c r="O1683" s="15"/>
      <c r="P1683" s="15"/>
    </row>
    <row r="1684" spans="1:16" x14ac:dyDescent="0.25">
      <c r="A1684" s="15"/>
      <c r="B1684" s="15"/>
      <c r="C1684" s="15"/>
      <c r="D1684" s="15"/>
      <c r="E1684" s="15"/>
      <c r="F1684" s="15"/>
      <c r="G1684" s="15"/>
      <c r="H1684" s="15"/>
      <c r="I1684" s="15"/>
      <c r="J1684" s="15"/>
      <c r="K1684" s="15"/>
      <c r="L1684" s="15"/>
      <c r="M1684" s="15"/>
      <c r="N1684" s="15"/>
      <c r="O1684" s="15"/>
      <c r="P1684" s="15"/>
    </row>
    <row r="1685" spans="1:16" x14ac:dyDescent="0.25">
      <c r="A1685" s="15"/>
      <c r="B1685" s="15"/>
      <c r="C1685" s="15"/>
      <c r="D1685" s="15"/>
      <c r="E1685" s="15"/>
      <c r="F1685" s="15"/>
      <c r="G1685" s="15"/>
      <c r="H1685" s="15"/>
      <c r="I1685" s="15"/>
      <c r="J1685" s="15"/>
      <c r="K1685" s="15"/>
      <c r="L1685" s="15"/>
      <c r="M1685" s="15"/>
      <c r="N1685" s="15"/>
      <c r="O1685" s="15"/>
      <c r="P1685" s="15"/>
    </row>
    <row r="1686" spans="1:16" x14ac:dyDescent="0.25">
      <c r="A1686" s="15"/>
      <c r="B1686" s="15"/>
      <c r="C1686" s="15"/>
      <c r="D1686" s="15"/>
      <c r="E1686" s="15"/>
      <c r="F1686" s="15"/>
      <c r="G1686" s="15"/>
      <c r="H1686" s="15"/>
      <c r="I1686" s="15"/>
      <c r="J1686" s="15"/>
      <c r="K1686" s="15"/>
      <c r="L1686" s="15"/>
      <c r="M1686" s="15"/>
      <c r="N1686" s="15"/>
      <c r="O1686" s="15"/>
      <c r="P1686" s="15"/>
    </row>
    <row r="1687" spans="1:16" x14ac:dyDescent="0.25">
      <c r="A1687" s="15"/>
      <c r="B1687" s="15"/>
      <c r="C1687" s="15"/>
      <c r="D1687" s="15"/>
      <c r="E1687" s="15"/>
      <c r="F1687" s="15"/>
      <c r="G1687" s="15"/>
      <c r="H1687" s="15"/>
      <c r="I1687" s="15"/>
      <c r="J1687" s="15"/>
      <c r="K1687" s="15"/>
      <c r="L1687" s="15"/>
      <c r="M1687" s="15"/>
      <c r="N1687" s="15"/>
      <c r="O1687" s="15"/>
      <c r="P1687" s="15"/>
    </row>
    <row r="1688" spans="1:16" x14ac:dyDescent="0.25">
      <c r="A1688" s="15"/>
      <c r="B1688" s="15"/>
      <c r="C1688" s="15"/>
      <c r="D1688" s="15"/>
      <c r="E1688" s="15"/>
      <c r="F1688" s="15"/>
      <c r="G1688" s="15"/>
      <c r="H1688" s="15"/>
      <c r="I1688" s="15"/>
      <c r="J1688" s="15"/>
      <c r="K1688" s="15"/>
      <c r="L1688" s="15"/>
      <c r="M1688" s="15"/>
      <c r="N1688" s="15"/>
      <c r="O1688" s="15"/>
      <c r="P1688" s="15"/>
    </row>
    <row r="1689" spans="1:16" x14ac:dyDescent="0.25">
      <c r="A1689" s="15"/>
      <c r="B1689" s="15"/>
      <c r="C1689" s="15"/>
      <c r="D1689" s="15"/>
      <c r="E1689" s="15"/>
      <c r="F1689" s="15"/>
      <c r="G1689" s="15"/>
      <c r="H1689" s="15"/>
      <c r="I1689" s="15"/>
      <c r="J1689" s="15"/>
      <c r="K1689" s="15"/>
      <c r="L1689" s="15"/>
      <c r="M1689" s="15"/>
      <c r="N1689" s="15"/>
      <c r="O1689" s="15"/>
      <c r="P1689" s="15"/>
    </row>
    <row r="1690" spans="1:16" x14ac:dyDescent="0.25">
      <c r="A1690" s="15"/>
      <c r="B1690" s="15"/>
      <c r="C1690" s="15"/>
      <c r="D1690" s="15"/>
      <c r="E1690" s="15"/>
      <c r="F1690" s="15"/>
      <c r="G1690" s="15"/>
      <c r="H1690" s="15"/>
      <c r="I1690" s="15"/>
      <c r="J1690" s="15"/>
      <c r="K1690" s="15"/>
      <c r="L1690" s="15"/>
      <c r="M1690" s="15"/>
      <c r="N1690" s="15"/>
      <c r="O1690" s="15"/>
      <c r="P1690" s="15"/>
    </row>
    <row r="1691" spans="1:16" x14ac:dyDescent="0.25">
      <c r="A1691" s="15"/>
      <c r="B1691" s="15"/>
      <c r="C1691" s="15"/>
      <c r="D1691" s="15"/>
      <c r="E1691" s="15"/>
      <c r="F1691" s="15"/>
      <c r="G1691" s="15"/>
      <c r="H1691" s="15"/>
      <c r="I1691" s="15"/>
      <c r="J1691" s="15"/>
      <c r="K1691" s="15"/>
      <c r="L1691" s="15"/>
      <c r="M1691" s="15"/>
      <c r="N1691" s="15"/>
      <c r="O1691" s="15"/>
      <c r="P1691" s="15"/>
    </row>
    <row r="1692" spans="1:16" x14ac:dyDescent="0.25">
      <c r="A1692" s="15"/>
      <c r="B1692" s="15"/>
      <c r="C1692" s="15"/>
      <c r="D1692" s="15"/>
      <c r="E1692" s="15"/>
      <c r="F1692" s="15"/>
      <c r="G1692" s="15"/>
      <c r="H1692" s="15"/>
      <c r="I1692" s="15"/>
      <c r="J1692" s="15"/>
      <c r="K1692" s="15"/>
      <c r="L1692" s="15"/>
      <c r="M1692" s="15"/>
      <c r="N1692" s="15"/>
      <c r="O1692" s="15"/>
      <c r="P1692" s="15"/>
    </row>
    <row r="1693" spans="1:16" x14ac:dyDescent="0.25">
      <c r="A1693" s="15"/>
      <c r="B1693" s="15"/>
      <c r="C1693" s="15"/>
      <c r="D1693" s="15"/>
      <c r="E1693" s="15"/>
      <c r="F1693" s="15"/>
      <c r="G1693" s="15"/>
      <c r="H1693" s="15"/>
      <c r="I1693" s="15"/>
      <c r="J1693" s="15"/>
      <c r="K1693" s="15"/>
      <c r="L1693" s="15"/>
      <c r="M1693" s="15"/>
      <c r="N1693" s="15"/>
      <c r="O1693" s="15"/>
      <c r="P1693" s="15"/>
    </row>
    <row r="1694" spans="1:16" x14ac:dyDescent="0.25">
      <c r="A1694" s="15"/>
      <c r="B1694" s="15"/>
      <c r="C1694" s="15"/>
      <c r="D1694" s="15"/>
      <c r="E1694" s="15"/>
      <c r="F1694" s="15"/>
      <c r="G1694" s="15"/>
      <c r="H1694" s="15"/>
      <c r="I1694" s="15"/>
      <c r="J1694" s="15"/>
      <c r="K1694" s="15"/>
      <c r="L1694" s="15"/>
      <c r="M1694" s="15"/>
      <c r="N1694" s="15"/>
      <c r="O1694" s="15"/>
      <c r="P1694" s="15"/>
    </row>
    <row r="1695" spans="1:16" x14ac:dyDescent="0.25">
      <c r="A1695" s="15"/>
      <c r="B1695" s="15"/>
      <c r="C1695" s="15"/>
      <c r="D1695" s="15"/>
      <c r="E1695" s="15"/>
      <c r="F1695" s="15"/>
      <c r="G1695" s="15"/>
      <c r="H1695" s="15"/>
      <c r="I1695" s="15"/>
      <c r="J1695" s="15"/>
      <c r="K1695" s="15"/>
      <c r="L1695" s="15"/>
      <c r="M1695" s="15"/>
      <c r="N1695" s="15"/>
      <c r="O1695" s="15"/>
      <c r="P1695" s="15"/>
    </row>
    <row r="1696" spans="1:16" x14ac:dyDescent="0.25">
      <c r="A1696" s="15"/>
      <c r="B1696" s="15"/>
      <c r="C1696" s="15"/>
      <c r="D1696" s="15"/>
      <c r="E1696" s="15"/>
      <c r="F1696" s="15"/>
      <c r="G1696" s="15"/>
      <c r="H1696" s="15"/>
      <c r="I1696" s="15"/>
      <c r="J1696" s="15"/>
      <c r="K1696" s="15"/>
      <c r="L1696" s="15"/>
      <c r="M1696" s="15"/>
      <c r="N1696" s="15"/>
      <c r="O1696" s="15"/>
      <c r="P1696" s="15"/>
    </row>
    <row r="1697" spans="1:16" x14ac:dyDescent="0.25">
      <c r="A1697" s="15"/>
      <c r="B1697" s="15"/>
      <c r="C1697" s="15"/>
      <c r="D1697" s="15"/>
      <c r="E1697" s="15"/>
      <c r="F1697" s="15"/>
      <c r="G1697" s="15"/>
      <c r="H1697" s="15"/>
      <c r="I1697" s="15"/>
      <c r="J1697" s="15"/>
      <c r="K1697" s="15"/>
      <c r="L1697" s="15"/>
      <c r="M1697" s="15"/>
      <c r="N1697" s="15"/>
      <c r="O1697" s="15"/>
      <c r="P1697" s="15"/>
    </row>
    <row r="1698" spans="1:16" x14ac:dyDescent="0.25">
      <c r="A1698" s="15"/>
      <c r="B1698" s="15"/>
      <c r="C1698" s="15"/>
      <c r="D1698" s="15"/>
      <c r="E1698" s="15"/>
      <c r="F1698" s="15"/>
      <c r="G1698" s="15"/>
      <c r="H1698" s="15"/>
      <c r="I1698" s="15"/>
      <c r="J1698" s="15"/>
      <c r="K1698" s="15"/>
      <c r="L1698" s="15"/>
      <c r="M1698" s="15"/>
      <c r="N1698" s="15"/>
      <c r="O1698" s="15"/>
      <c r="P1698" s="15"/>
    </row>
    <row r="1699" spans="1:16" x14ac:dyDescent="0.25">
      <c r="A1699" s="15"/>
      <c r="B1699" s="15"/>
      <c r="C1699" s="15"/>
      <c r="D1699" s="15"/>
      <c r="E1699" s="15"/>
      <c r="F1699" s="15"/>
      <c r="G1699" s="15"/>
      <c r="H1699" s="15"/>
      <c r="I1699" s="15"/>
      <c r="J1699" s="15"/>
      <c r="K1699" s="15"/>
      <c r="L1699" s="15"/>
      <c r="M1699" s="15"/>
      <c r="N1699" s="15"/>
      <c r="O1699" s="15"/>
      <c r="P1699" s="15"/>
    </row>
    <row r="1700" spans="1:16" x14ac:dyDescent="0.25">
      <c r="A1700" s="15"/>
      <c r="B1700" s="15"/>
      <c r="C1700" s="15"/>
      <c r="D1700" s="15"/>
      <c r="E1700" s="15"/>
      <c r="F1700" s="15"/>
      <c r="G1700" s="15"/>
      <c r="H1700" s="15"/>
      <c r="I1700" s="15"/>
      <c r="J1700" s="15"/>
      <c r="K1700" s="15"/>
      <c r="L1700" s="15"/>
      <c r="M1700" s="15"/>
      <c r="N1700" s="15"/>
      <c r="O1700" s="15"/>
      <c r="P1700" s="15"/>
    </row>
    <row r="1701" spans="1:16" x14ac:dyDescent="0.25">
      <c r="A1701" s="15"/>
      <c r="B1701" s="15"/>
      <c r="C1701" s="15"/>
      <c r="D1701" s="15"/>
      <c r="E1701" s="15"/>
      <c r="F1701" s="15"/>
      <c r="G1701" s="15"/>
      <c r="H1701" s="15"/>
      <c r="I1701" s="15"/>
      <c r="J1701" s="15"/>
      <c r="K1701" s="15"/>
      <c r="L1701" s="15"/>
      <c r="M1701" s="15"/>
      <c r="N1701" s="15"/>
      <c r="O1701" s="15"/>
      <c r="P1701" s="15"/>
    </row>
    <row r="1702" spans="1:16" x14ac:dyDescent="0.25">
      <c r="A1702" s="15"/>
      <c r="B1702" s="15"/>
      <c r="C1702" s="15"/>
      <c r="D1702" s="15"/>
      <c r="E1702" s="15"/>
      <c r="F1702" s="15"/>
      <c r="G1702" s="15"/>
      <c r="H1702" s="15"/>
      <c r="I1702" s="15"/>
      <c r="J1702" s="15"/>
      <c r="K1702" s="15"/>
      <c r="L1702" s="15"/>
      <c r="M1702" s="15"/>
      <c r="N1702" s="15"/>
      <c r="O1702" s="15"/>
      <c r="P1702" s="15"/>
    </row>
    <row r="1703" spans="1:16" x14ac:dyDescent="0.25">
      <c r="A1703" s="15"/>
      <c r="B1703" s="15"/>
      <c r="C1703" s="15"/>
      <c r="D1703" s="15"/>
      <c r="E1703" s="15"/>
      <c r="F1703" s="15"/>
      <c r="G1703" s="15"/>
      <c r="H1703" s="15"/>
      <c r="I1703" s="15"/>
      <c r="J1703" s="15"/>
      <c r="K1703" s="15"/>
      <c r="L1703" s="15"/>
      <c r="M1703" s="15"/>
      <c r="N1703" s="15"/>
      <c r="O1703" s="15"/>
      <c r="P1703" s="15"/>
    </row>
    <row r="1704" spans="1:16" x14ac:dyDescent="0.25">
      <c r="A1704" s="15"/>
      <c r="B1704" s="15"/>
      <c r="C1704" s="15"/>
      <c r="D1704" s="15"/>
      <c r="E1704" s="15"/>
      <c r="F1704" s="15"/>
      <c r="G1704" s="15"/>
      <c r="H1704" s="15"/>
      <c r="I1704" s="15"/>
      <c r="J1704" s="15"/>
      <c r="K1704" s="15"/>
      <c r="L1704" s="15"/>
      <c r="M1704" s="15"/>
      <c r="N1704" s="15"/>
      <c r="O1704" s="15"/>
      <c r="P1704" s="15"/>
    </row>
    <row r="1705" spans="1:16" x14ac:dyDescent="0.25">
      <c r="A1705" s="15"/>
      <c r="B1705" s="15"/>
      <c r="C1705" s="15"/>
      <c r="D1705" s="15"/>
      <c r="E1705" s="15"/>
      <c r="F1705" s="15"/>
      <c r="G1705" s="15"/>
      <c r="H1705" s="15"/>
      <c r="I1705" s="15"/>
      <c r="J1705" s="15"/>
      <c r="K1705" s="15"/>
      <c r="L1705" s="15"/>
      <c r="M1705" s="15"/>
      <c r="N1705" s="15"/>
      <c r="O1705" s="15"/>
      <c r="P1705" s="15"/>
    </row>
    <row r="1706" spans="1:16" x14ac:dyDescent="0.25">
      <c r="A1706" s="15"/>
      <c r="B1706" s="15"/>
      <c r="C1706" s="15"/>
      <c r="D1706" s="15"/>
      <c r="E1706" s="15"/>
      <c r="F1706" s="15"/>
      <c r="G1706" s="15"/>
      <c r="H1706" s="15"/>
      <c r="I1706" s="15"/>
      <c r="J1706" s="15"/>
      <c r="K1706" s="15"/>
      <c r="L1706" s="15"/>
      <c r="M1706" s="15"/>
      <c r="N1706" s="15"/>
      <c r="O1706" s="15"/>
      <c r="P1706" s="15"/>
    </row>
    <row r="1707" spans="1:16" x14ac:dyDescent="0.25">
      <c r="A1707" s="15"/>
      <c r="B1707" s="15"/>
      <c r="C1707" s="15"/>
      <c r="D1707" s="15"/>
      <c r="E1707" s="15"/>
      <c r="F1707" s="15"/>
      <c r="G1707" s="15"/>
      <c r="H1707" s="15"/>
      <c r="I1707" s="15"/>
      <c r="J1707" s="15"/>
      <c r="K1707" s="15"/>
      <c r="L1707" s="15"/>
      <c r="M1707" s="15"/>
      <c r="N1707" s="15"/>
      <c r="O1707" s="15"/>
      <c r="P1707" s="15"/>
    </row>
    <row r="1708" spans="1:16" x14ac:dyDescent="0.25">
      <c r="A1708" s="15"/>
      <c r="B1708" s="15"/>
      <c r="C1708" s="15"/>
      <c r="D1708" s="15"/>
      <c r="E1708" s="15"/>
      <c r="F1708" s="15"/>
      <c r="G1708" s="15"/>
      <c r="H1708" s="15"/>
      <c r="I1708" s="15"/>
      <c r="J1708" s="15"/>
      <c r="K1708" s="15"/>
      <c r="L1708" s="15"/>
      <c r="M1708" s="15"/>
      <c r="N1708" s="15"/>
      <c r="O1708" s="15"/>
      <c r="P1708" s="15"/>
    </row>
    <row r="1709" spans="1:16" x14ac:dyDescent="0.25">
      <c r="A1709" s="15"/>
      <c r="B1709" s="15"/>
      <c r="C1709" s="15"/>
      <c r="D1709" s="15"/>
      <c r="E1709" s="15"/>
      <c r="F1709" s="15"/>
      <c r="G1709" s="15"/>
      <c r="H1709" s="15"/>
      <c r="I1709" s="15"/>
      <c r="J1709" s="15"/>
      <c r="K1709" s="15"/>
      <c r="L1709" s="15"/>
      <c r="M1709" s="15"/>
      <c r="N1709" s="15"/>
      <c r="O1709" s="15"/>
      <c r="P1709" s="15"/>
    </row>
    <row r="1710" spans="1:16" x14ac:dyDescent="0.25">
      <c r="A1710" s="15"/>
      <c r="B1710" s="15"/>
      <c r="C1710" s="15"/>
      <c r="D1710" s="15"/>
      <c r="E1710" s="15"/>
      <c r="F1710" s="15"/>
      <c r="G1710" s="15"/>
      <c r="H1710" s="15"/>
      <c r="I1710" s="15"/>
      <c r="J1710" s="15"/>
      <c r="K1710" s="15"/>
      <c r="L1710" s="15"/>
      <c r="M1710" s="15"/>
      <c r="N1710" s="15"/>
      <c r="O1710" s="15"/>
      <c r="P1710" s="15"/>
    </row>
    <row r="1711" spans="1:16" x14ac:dyDescent="0.25">
      <c r="A1711" s="15"/>
      <c r="B1711" s="15"/>
      <c r="C1711" s="15"/>
      <c r="D1711" s="15"/>
      <c r="E1711" s="15"/>
      <c r="F1711" s="15"/>
      <c r="G1711" s="15"/>
      <c r="H1711" s="15"/>
      <c r="I1711" s="15"/>
      <c r="J1711" s="15"/>
      <c r="K1711" s="15"/>
      <c r="L1711" s="15"/>
      <c r="M1711" s="15"/>
      <c r="N1711" s="15"/>
      <c r="O1711" s="15"/>
      <c r="P1711" s="15"/>
    </row>
    <row r="1712" spans="1:16" x14ac:dyDescent="0.25">
      <c r="A1712" s="15"/>
      <c r="B1712" s="15"/>
      <c r="C1712" s="15"/>
      <c r="D1712" s="15"/>
      <c r="E1712" s="15"/>
      <c r="F1712" s="15"/>
      <c r="G1712" s="15"/>
      <c r="H1712" s="15"/>
      <c r="I1712" s="15"/>
      <c r="J1712" s="15"/>
      <c r="K1712" s="15"/>
      <c r="L1712" s="15"/>
      <c r="M1712" s="15"/>
      <c r="N1712" s="15"/>
      <c r="O1712" s="15"/>
      <c r="P1712" s="15"/>
    </row>
    <row r="1713" spans="1:16" x14ac:dyDescent="0.25">
      <c r="A1713" s="15"/>
      <c r="B1713" s="15"/>
      <c r="C1713" s="15"/>
      <c r="D1713" s="15"/>
      <c r="E1713" s="15"/>
      <c r="F1713" s="15"/>
      <c r="G1713" s="15"/>
      <c r="H1713" s="15"/>
      <c r="I1713" s="15"/>
      <c r="J1713" s="15"/>
      <c r="K1713" s="15"/>
      <c r="L1713" s="15"/>
      <c r="M1713" s="15"/>
      <c r="N1713" s="15"/>
      <c r="O1713" s="15"/>
      <c r="P1713" s="15"/>
    </row>
    <row r="1714" spans="1:16" x14ac:dyDescent="0.25">
      <c r="A1714" s="15"/>
      <c r="B1714" s="15"/>
      <c r="C1714" s="15"/>
      <c r="D1714" s="15"/>
      <c r="E1714" s="15"/>
      <c r="F1714" s="15"/>
      <c r="G1714" s="15"/>
      <c r="H1714" s="15"/>
      <c r="I1714" s="15"/>
      <c r="J1714" s="15"/>
      <c r="K1714" s="15"/>
      <c r="L1714" s="15"/>
      <c r="M1714" s="15"/>
      <c r="N1714" s="15"/>
      <c r="O1714" s="15"/>
      <c r="P1714" s="15"/>
    </row>
    <row r="1715" spans="1:16" x14ac:dyDescent="0.25">
      <c r="A1715" s="15"/>
      <c r="B1715" s="15"/>
      <c r="C1715" s="15"/>
      <c r="D1715" s="15"/>
      <c r="E1715" s="15"/>
      <c r="F1715" s="15"/>
      <c r="G1715" s="15"/>
      <c r="H1715" s="15"/>
      <c r="I1715" s="15"/>
      <c r="J1715" s="15"/>
      <c r="K1715" s="15"/>
      <c r="L1715" s="15"/>
      <c r="M1715" s="15"/>
      <c r="N1715" s="15"/>
      <c r="O1715" s="15"/>
      <c r="P1715" s="15"/>
    </row>
    <row r="1716" spans="1:16" x14ac:dyDescent="0.25">
      <c r="A1716" s="15"/>
      <c r="B1716" s="15"/>
      <c r="C1716" s="15"/>
      <c r="D1716" s="15"/>
      <c r="E1716" s="15"/>
      <c r="F1716" s="15"/>
      <c r="G1716" s="15"/>
      <c r="H1716" s="15"/>
      <c r="I1716" s="15"/>
      <c r="J1716" s="15"/>
      <c r="K1716" s="15"/>
      <c r="L1716" s="15"/>
      <c r="M1716" s="15"/>
      <c r="N1716" s="15"/>
      <c r="O1716" s="15"/>
      <c r="P1716" s="15"/>
    </row>
    <row r="1717" spans="1:16" x14ac:dyDescent="0.25">
      <c r="A1717" s="15"/>
      <c r="B1717" s="15"/>
      <c r="C1717" s="15"/>
      <c r="D1717" s="15"/>
      <c r="E1717" s="15"/>
      <c r="F1717" s="15"/>
      <c r="G1717" s="15"/>
      <c r="H1717" s="15"/>
      <c r="I1717" s="15"/>
      <c r="J1717" s="15"/>
      <c r="K1717" s="15"/>
      <c r="L1717" s="15"/>
      <c r="M1717" s="15"/>
      <c r="N1717" s="15"/>
      <c r="O1717" s="15"/>
      <c r="P1717" s="15"/>
    </row>
    <row r="1718" spans="1:16" x14ac:dyDescent="0.25">
      <c r="A1718" s="15"/>
      <c r="B1718" s="15"/>
      <c r="C1718" s="15"/>
      <c r="D1718" s="15"/>
      <c r="E1718" s="15"/>
      <c r="F1718" s="15"/>
      <c r="G1718" s="15"/>
      <c r="H1718" s="15"/>
      <c r="I1718" s="15"/>
      <c r="J1718" s="15"/>
      <c r="K1718" s="15"/>
      <c r="L1718" s="15"/>
      <c r="M1718" s="15"/>
      <c r="N1718" s="15"/>
      <c r="O1718" s="15"/>
      <c r="P1718" s="15"/>
    </row>
    <row r="1719" spans="1:16" x14ac:dyDescent="0.25">
      <c r="A1719" s="15"/>
      <c r="B1719" s="15"/>
      <c r="C1719" s="15"/>
      <c r="D1719" s="15"/>
      <c r="E1719" s="15"/>
      <c r="F1719" s="15"/>
      <c r="G1719" s="15"/>
      <c r="H1719" s="15"/>
      <c r="I1719" s="15"/>
      <c r="J1719" s="15"/>
      <c r="K1719" s="15"/>
      <c r="L1719" s="15"/>
      <c r="M1719" s="15"/>
      <c r="N1719" s="15"/>
      <c r="O1719" s="15"/>
      <c r="P1719" s="15"/>
    </row>
    <row r="1720" spans="1:16" x14ac:dyDescent="0.25">
      <c r="A1720" s="15"/>
      <c r="B1720" s="15"/>
      <c r="C1720" s="15"/>
      <c r="D1720" s="15"/>
      <c r="E1720" s="15"/>
      <c r="F1720" s="15"/>
      <c r="G1720" s="15"/>
      <c r="H1720" s="15"/>
      <c r="I1720" s="15"/>
      <c r="J1720" s="15"/>
      <c r="K1720" s="15"/>
      <c r="L1720" s="15"/>
      <c r="M1720" s="15"/>
      <c r="N1720" s="15"/>
      <c r="O1720" s="15"/>
      <c r="P1720" s="15"/>
    </row>
    <row r="1721" spans="1:16" x14ac:dyDescent="0.25">
      <c r="A1721" s="15"/>
      <c r="B1721" s="15"/>
      <c r="C1721" s="15"/>
      <c r="D1721" s="15"/>
      <c r="E1721" s="15"/>
      <c r="F1721" s="15"/>
      <c r="G1721" s="15"/>
      <c r="H1721" s="15"/>
      <c r="I1721" s="15"/>
      <c r="J1721" s="15"/>
      <c r="K1721" s="15"/>
      <c r="L1721" s="15"/>
      <c r="M1721" s="15"/>
      <c r="N1721" s="15"/>
      <c r="O1721" s="15"/>
      <c r="P1721" s="15"/>
    </row>
    <row r="1722" spans="1:16" x14ac:dyDescent="0.25">
      <c r="A1722" s="15"/>
      <c r="B1722" s="15"/>
      <c r="C1722" s="15"/>
      <c r="D1722" s="15"/>
      <c r="E1722" s="15"/>
      <c r="F1722" s="15"/>
      <c r="G1722" s="15"/>
      <c r="H1722" s="15"/>
      <c r="I1722" s="15"/>
      <c r="J1722" s="15"/>
      <c r="K1722" s="15"/>
      <c r="L1722" s="15"/>
      <c r="M1722" s="15"/>
      <c r="N1722" s="15"/>
      <c r="O1722" s="15"/>
      <c r="P1722" s="15"/>
    </row>
    <row r="1723" spans="1:16" x14ac:dyDescent="0.25">
      <c r="A1723" s="15"/>
      <c r="B1723" s="15"/>
      <c r="C1723" s="15"/>
      <c r="D1723" s="15"/>
      <c r="E1723" s="15"/>
      <c r="F1723" s="15"/>
      <c r="G1723" s="15"/>
      <c r="H1723" s="15"/>
      <c r="I1723" s="15"/>
      <c r="J1723" s="15"/>
      <c r="K1723" s="15"/>
      <c r="L1723" s="15"/>
      <c r="M1723" s="15"/>
      <c r="N1723" s="15"/>
      <c r="O1723" s="15"/>
      <c r="P1723" s="15"/>
    </row>
    <row r="1724" spans="1:16" x14ac:dyDescent="0.25">
      <c r="A1724" s="15"/>
      <c r="B1724" s="15"/>
      <c r="C1724" s="15"/>
      <c r="D1724" s="15"/>
      <c r="E1724" s="15"/>
      <c r="F1724" s="15"/>
      <c r="G1724" s="15"/>
      <c r="H1724" s="15"/>
      <c r="I1724" s="15"/>
      <c r="J1724" s="15"/>
      <c r="K1724" s="15"/>
      <c r="L1724" s="15"/>
      <c r="M1724" s="15"/>
      <c r="N1724" s="15"/>
      <c r="O1724" s="15"/>
      <c r="P1724" s="15"/>
    </row>
    <row r="1725" spans="1:16" x14ac:dyDescent="0.25">
      <c r="A1725" s="15"/>
      <c r="B1725" s="15"/>
      <c r="C1725" s="15"/>
      <c r="D1725" s="15"/>
      <c r="E1725" s="15"/>
      <c r="F1725" s="15"/>
      <c r="G1725" s="15"/>
      <c r="H1725" s="15"/>
      <c r="I1725" s="15"/>
      <c r="J1725" s="15"/>
      <c r="K1725" s="15"/>
      <c r="L1725" s="15"/>
      <c r="M1725" s="15"/>
      <c r="N1725" s="15"/>
      <c r="O1725" s="15"/>
      <c r="P1725" s="15"/>
    </row>
    <row r="1726" spans="1:16" x14ac:dyDescent="0.25">
      <c r="A1726" s="15"/>
      <c r="B1726" s="15"/>
      <c r="C1726" s="15"/>
      <c r="D1726" s="15"/>
      <c r="E1726" s="15"/>
      <c r="F1726" s="15"/>
      <c r="G1726" s="15"/>
      <c r="H1726" s="15"/>
      <c r="I1726" s="15"/>
      <c r="J1726" s="15"/>
      <c r="K1726" s="15"/>
      <c r="L1726" s="15"/>
      <c r="M1726" s="15"/>
      <c r="N1726" s="15"/>
      <c r="O1726" s="15"/>
      <c r="P1726" s="15"/>
    </row>
    <row r="1727" spans="1:16" x14ac:dyDescent="0.25">
      <c r="A1727" s="15"/>
      <c r="B1727" s="15"/>
      <c r="C1727" s="15"/>
      <c r="D1727" s="15"/>
      <c r="E1727" s="15"/>
      <c r="F1727" s="15"/>
      <c r="G1727" s="15"/>
      <c r="H1727" s="15"/>
      <c r="I1727" s="15"/>
      <c r="J1727" s="15"/>
      <c r="K1727" s="15"/>
      <c r="L1727" s="15"/>
      <c r="M1727" s="15"/>
      <c r="N1727" s="15"/>
      <c r="O1727" s="15"/>
      <c r="P1727" s="15"/>
    </row>
    <row r="1728" spans="1:16" x14ac:dyDescent="0.25">
      <c r="A1728" s="15"/>
      <c r="B1728" s="15"/>
      <c r="C1728" s="15"/>
      <c r="D1728" s="15"/>
      <c r="E1728" s="15"/>
      <c r="F1728" s="15"/>
      <c r="G1728" s="15"/>
      <c r="H1728" s="15"/>
      <c r="I1728" s="15"/>
      <c r="J1728" s="15"/>
      <c r="K1728" s="15"/>
      <c r="L1728" s="15"/>
      <c r="M1728" s="15"/>
      <c r="N1728" s="15"/>
      <c r="O1728" s="15"/>
      <c r="P1728" s="15"/>
    </row>
    <row r="1729" spans="1:16" x14ac:dyDescent="0.25">
      <c r="A1729" s="15"/>
      <c r="B1729" s="15"/>
      <c r="C1729" s="15"/>
      <c r="D1729" s="15"/>
      <c r="E1729" s="15"/>
      <c r="F1729" s="15"/>
      <c r="G1729" s="15"/>
      <c r="H1729" s="15"/>
      <c r="I1729" s="15"/>
      <c r="J1729" s="15"/>
      <c r="K1729" s="15"/>
      <c r="L1729" s="15"/>
      <c r="M1729" s="15"/>
      <c r="N1729" s="15"/>
      <c r="O1729" s="15"/>
      <c r="P1729" s="15"/>
    </row>
    <row r="1730" spans="1:16" x14ac:dyDescent="0.25">
      <c r="A1730" s="15"/>
      <c r="B1730" s="15"/>
      <c r="C1730" s="15"/>
      <c r="D1730" s="15"/>
      <c r="E1730" s="15"/>
      <c r="F1730" s="15"/>
      <c r="G1730" s="15"/>
      <c r="H1730" s="15"/>
      <c r="I1730" s="15"/>
      <c r="J1730" s="15"/>
      <c r="K1730" s="15"/>
      <c r="L1730" s="15"/>
      <c r="M1730" s="15"/>
      <c r="N1730" s="15"/>
      <c r="O1730" s="15"/>
      <c r="P1730" s="15"/>
    </row>
    <row r="1731" spans="1:16" x14ac:dyDescent="0.25">
      <c r="A1731" s="15"/>
      <c r="B1731" s="15"/>
      <c r="C1731" s="15"/>
      <c r="D1731" s="15"/>
      <c r="E1731" s="15"/>
      <c r="F1731" s="15"/>
      <c r="G1731" s="15"/>
      <c r="H1731" s="15"/>
      <c r="I1731" s="15"/>
      <c r="J1731" s="15"/>
      <c r="K1731" s="15"/>
      <c r="L1731" s="15"/>
      <c r="M1731" s="15"/>
      <c r="N1731" s="15"/>
      <c r="O1731" s="15"/>
      <c r="P1731" s="15"/>
    </row>
    <row r="1732" spans="1:16" x14ac:dyDescent="0.25">
      <c r="A1732" s="15"/>
      <c r="B1732" s="15"/>
      <c r="C1732" s="15"/>
      <c r="D1732" s="15"/>
      <c r="E1732" s="15"/>
      <c r="F1732" s="15"/>
      <c r="G1732" s="15"/>
      <c r="H1732" s="15"/>
      <c r="I1732" s="15"/>
      <c r="J1732" s="15"/>
      <c r="K1732" s="15"/>
      <c r="L1732" s="15"/>
      <c r="M1732" s="15"/>
      <c r="N1732" s="15"/>
      <c r="O1732" s="15"/>
      <c r="P1732" s="15"/>
    </row>
    <row r="1733" spans="1:16" x14ac:dyDescent="0.25">
      <c r="A1733" s="15"/>
      <c r="B1733" s="15"/>
      <c r="C1733" s="15"/>
      <c r="D1733" s="15"/>
      <c r="E1733" s="15"/>
      <c r="F1733" s="15"/>
      <c r="G1733" s="15"/>
      <c r="H1733" s="15"/>
      <c r="I1733" s="15"/>
      <c r="J1733" s="15"/>
      <c r="K1733" s="15"/>
      <c r="L1733" s="15"/>
      <c r="M1733" s="15"/>
      <c r="N1733" s="15"/>
      <c r="O1733" s="15"/>
      <c r="P1733" s="15"/>
    </row>
    <row r="1734" spans="1:16" x14ac:dyDescent="0.25">
      <c r="A1734" s="15"/>
      <c r="B1734" s="15"/>
      <c r="C1734" s="15"/>
      <c r="D1734" s="15"/>
      <c r="E1734" s="15"/>
      <c r="F1734" s="15"/>
      <c r="G1734" s="15"/>
      <c r="H1734" s="15"/>
      <c r="I1734" s="15"/>
      <c r="J1734" s="15"/>
      <c r="K1734" s="15"/>
      <c r="L1734" s="15"/>
      <c r="M1734" s="15"/>
      <c r="N1734" s="15"/>
      <c r="O1734" s="15"/>
      <c r="P1734" s="15"/>
    </row>
    <row r="1735" spans="1:16" x14ac:dyDescent="0.25">
      <c r="A1735" s="15"/>
      <c r="B1735" s="15"/>
      <c r="C1735" s="15"/>
      <c r="D1735" s="15"/>
      <c r="E1735" s="15"/>
      <c r="F1735" s="15"/>
      <c r="G1735" s="15"/>
      <c r="H1735" s="15"/>
      <c r="I1735" s="15"/>
      <c r="J1735" s="15"/>
      <c r="K1735" s="15"/>
      <c r="L1735" s="15"/>
      <c r="M1735" s="15"/>
      <c r="N1735" s="15"/>
      <c r="O1735" s="15"/>
      <c r="P1735" s="15"/>
    </row>
    <row r="1736" spans="1:16" x14ac:dyDescent="0.25">
      <c r="A1736" s="15"/>
      <c r="B1736" s="15"/>
      <c r="C1736" s="15"/>
      <c r="D1736" s="15"/>
      <c r="E1736" s="15"/>
      <c r="F1736" s="15"/>
      <c r="G1736" s="15"/>
      <c r="H1736" s="15"/>
      <c r="I1736" s="15"/>
      <c r="J1736" s="15"/>
      <c r="K1736" s="15"/>
      <c r="L1736" s="15"/>
      <c r="M1736" s="15"/>
      <c r="N1736" s="15"/>
      <c r="O1736" s="15"/>
      <c r="P1736" s="15"/>
    </row>
    <row r="1737" spans="1:16" x14ac:dyDescent="0.25">
      <c r="A1737" s="15"/>
      <c r="B1737" s="15"/>
      <c r="C1737" s="15"/>
      <c r="D1737" s="15"/>
      <c r="E1737" s="15"/>
      <c r="F1737" s="15"/>
      <c r="G1737" s="15"/>
      <c r="H1737" s="15"/>
      <c r="I1737" s="15"/>
      <c r="J1737" s="15"/>
      <c r="K1737" s="15"/>
      <c r="L1737" s="15"/>
      <c r="M1737" s="15"/>
      <c r="N1737" s="15"/>
      <c r="O1737" s="15"/>
      <c r="P1737" s="15"/>
    </row>
    <row r="1738" spans="1:16" x14ac:dyDescent="0.25">
      <c r="A1738" s="15"/>
      <c r="B1738" s="15"/>
      <c r="C1738" s="15"/>
      <c r="D1738" s="15"/>
      <c r="E1738" s="15"/>
      <c r="F1738" s="15"/>
      <c r="G1738" s="15"/>
      <c r="H1738" s="15"/>
      <c r="I1738" s="15"/>
      <c r="J1738" s="15"/>
      <c r="K1738" s="15"/>
      <c r="L1738" s="15"/>
      <c r="M1738" s="15"/>
      <c r="N1738" s="15"/>
      <c r="O1738" s="15"/>
      <c r="P1738" s="15"/>
    </row>
    <row r="1739" spans="1:16" x14ac:dyDescent="0.25">
      <c r="A1739" s="15"/>
      <c r="B1739" s="15"/>
      <c r="C1739" s="15"/>
      <c r="D1739" s="15"/>
      <c r="E1739" s="15"/>
      <c r="F1739" s="15"/>
      <c r="G1739" s="15"/>
      <c r="H1739" s="15"/>
      <c r="I1739" s="15"/>
      <c r="J1739" s="15"/>
      <c r="K1739" s="15"/>
      <c r="L1739" s="15"/>
      <c r="M1739" s="15"/>
      <c r="N1739" s="15"/>
      <c r="O1739" s="15"/>
      <c r="P1739" s="15"/>
    </row>
    <row r="1740" spans="1:16" x14ac:dyDescent="0.25">
      <c r="A1740" s="15"/>
      <c r="B1740" s="15"/>
      <c r="C1740" s="15"/>
      <c r="D1740" s="15"/>
      <c r="E1740" s="15"/>
      <c r="F1740" s="15"/>
      <c r="G1740" s="15"/>
      <c r="H1740" s="15"/>
      <c r="I1740" s="15"/>
      <c r="J1740" s="15"/>
      <c r="K1740" s="15"/>
      <c r="L1740" s="15"/>
      <c r="M1740" s="15"/>
      <c r="N1740" s="15"/>
      <c r="O1740" s="15"/>
      <c r="P1740" s="15"/>
    </row>
    <row r="1741" spans="1:16" x14ac:dyDescent="0.25">
      <c r="A1741" s="15"/>
      <c r="B1741" s="15"/>
      <c r="C1741" s="15"/>
      <c r="D1741" s="15"/>
      <c r="E1741" s="15"/>
      <c r="F1741" s="15"/>
      <c r="G1741" s="15"/>
      <c r="H1741" s="15"/>
      <c r="I1741" s="15"/>
      <c r="J1741" s="15"/>
      <c r="K1741" s="15"/>
      <c r="L1741" s="15"/>
      <c r="M1741" s="15"/>
      <c r="N1741" s="15"/>
      <c r="O1741" s="15"/>
      <c r="P1741" s="15"/>
    </row>
    <row r="1742" spans="1:16" x14ac:dyDescent="0.25">
      <c r="A1742" s="15"/>
      <c r="B1742" s="15"/>
      <c r="C1742" s="15"/>
      <c r="D1742" s="15"/>
      <c r="E1742" s="15"/>
      <c r="F1742" s="15"/>
      <c r="G1742" s="15"/>
      <c r="H1742" s="15"/>
      <c r="I1742" s="15"/>
      <c r="J1742" s="15"/>
      <c r="K1742" s="15"/>
      <c r="L1742" s="15"/>
      <c r="M1742" s="15"/>
      <c r="N1742" s="15"/>
      <c r="O1742" s="15"/>
      <c r="P1742" s="15"/>
    </row>
    <row r="1743" spans="1:16" x14ac:dyDescent="0.25">
      <c r="A1743" s="15"/>
      <c r="B1743" s="15"/>
      <c r="C1743" s="15"/>
      <c r="D1743" s="15"/>
      <c r="E1743" s="15"/>
      <c r="F1743" s="15"/>
      <c r="G1743" s="15"/>
      <c r="H1743" s="15"/>
      <c r="I1743" s="15"/>
      <c r="J1743" s="15"/>
      <c r="K1743" s="15"/>
      <c r="L1743" s="15"/>
      <c r="M1743" s="15"/>
      <c r="N1743" s="15"/>
      <c r="O1743" s="15"/>
      <c r="P1743" s="15"/>
    </row>
    <row r="1744" spans="1:16" x14ac:dyDescent="0.25">
      <c r="A1744" s="15"/>
      <c r="B1744" s="15"/>
      <c r="C1744" s="15"/>
      <c r="D1744" s="15"/>
      <c r="E1744" s="15"/>
      <c r="F1744" s="15"/>
      <c r="G1744" s="15"/>
      <c r="H1744" s="15"/>
      <c r="I1744" s="15"/>
      <c r="J1744" s="15"/>
      <c r="K1744" s="15"/>
      <c r="L1744" s="15"/>
      <c r="M1744" s="15"/>
      <c r="N1744" s="15"/>
      <c r="O1744" s="15"/>
      <c r="P1744" s="15"/>
    </row>
    <row r="1745" spans="1:16" x14ac:dyDescent="0.25">
      <c r="A1745" s="15"/>
      <c r="B1745" s="15"/>
      <c r="C1745" s="15"/>
      <c r="D1745" s="15"/>
      <c r="E1745" s="15"/>
      <c r="F1745" s="15"/>
      <c r="G1745" s="15"/>
      <c r="H1745" s="15"/>
      <c r="I1745" s="15"/>
      <c r="J1745" s="15"/>
      <c r="K1745" s="15"/>
      <c r="L1745" s="15"/>
      <c r="M1745" s="15"/>
      <c r="N1745" s="15"/>
      <c r="O1745" s="15"/>
      <c r="P1745" s="15"/>
    </row>
    <row r="1746" spans="1:16" x14ac:dyDescent="0.25">
      <c r="A1746" s="15"/>
      <c r="B1746" s="15"/>
      <c r="C1746" s="15"/>
      <c r="D1746" s="15"/>
      <c r="E1746" s="15"/>
      <c r="F1746" s="15"/>
      <c r="G1746" s="15"/>
      <c r="H1746" s="15"/>
      <c r="I1746" s="15"/>
      <c r="J1746" s="15"/>
      <c r="K1746" s="15"/>
      <c r="L1746" s="15"/>
      <c r="M1746" s="15"/>
      <c r="N1746" s="15"/>
      <c r="O1746" s="15"/>
      <c r="P1746" s="15"/>
    </row>
    <row r="1747" spans="1:16" x14ac:dyDescent="0.25">
      <c r="A1747" s="15"/>
      <c r="B1747" s="15"/>
      <c r="C1747" s="15"/>
      <c r="D1747" s="15"/>
      <c r="E1747" s="15"/>
      <c r="F1747" s="15"/>
      <c r="G1747" s="15"/>
      <c r="H1747" s="15"/>
      <c r="I1747" s="15"/>
      <c r="J1747" s="15"/>
      <c r="K1747" s="15"/>
      <c r="L1747" s="15"/>
      <c r="M1747" s="15"/>
      <c r="N1747" s="15"/>
      <c r="O1747" s="15"/>
      <c r="P1747" s="15"/>
    </row>
    <row r="1748" spans="1:16" x14ac:dyDescent="0.25">
      <c r="A1748" s="15"/>
      <c r="B1748" s="15"/>
      <c r="C1748" s="15"/>
      <c r="D1748" s="15"/>
      <c r="E1748" s="15"/>
      <c r="F1748" s="15"/>
      <c r="G1748" s="15"/>
      <c r="H1748" s="15"/>
      <c r="I1748" s="15"/>
      <c r="J1748" s="15"/>
      <c r="K1748" s="15"/>
      <c r="L1748" s="15"/>
      <c r="M1748" s="15"/>
      <c r="N1748" s="15"/>
      <c r="O1748" s="15"/>
      <c r="P1748" s="15"/>
    </row>
    <row r="1749" spans="1:16" x14ac:dyDescent="0.25">
      <c r="A1749" s="15"/>
      <c r="B1749" s="15"/>
      <c r="C1749" s="15"/>
      <c r="D1749" s="15"/>
      <c r="E1749" s="15"/>
      <c r="F1749" s="15"/>
      <c r="G1749" s="15"/>
      <c r="H1749" s="15"/>
      <c r="I1749" s="15"/>
      <c r="J1749" s="15"/>
      <c r="K1749" s="15"/>
      <c r="L1749" s="15"/>
      <c r="M1749" s="15"/>
      <c r="N1749" s="15"/>
      <c r="O1749" s="15"/>
      <c r="P1749" s="15"/>
    </row>
    <row r="1750" spans="1:16" x14ac:dyDescent="0.25">
      <c r="A1750" s="15"/>
      <c r="B1750" s="15"/>
      <c r="C1750" s="15"/>
      <c r="D1750" s="15"/>
      <c r="E1750" s="15"/>
      <c r="F1750" s="15"/>
      <c r="G1750" s="15"/>
      <c r="H1750" s="15"/>
      <c r="I1750" s="15"/>
      <c r="J1750" s="15"/>
      <c r="K1750" s="15"/>
      <c r="L1750" s="15"/>
      <c r="M1750" s="15"/>
      <c r="N1750" s="15"/>
      <c r="O1750" s="15"/>
      <c r="P1750" s="15"/>
    </row>
    <row r="1751" spans="1:16" x14ac:dyDescent="0.25">
      <c r="A1751" s="15"/>
      <c r="B1751" s="15"/>
      <c r="C1751" s="15"/>
      <c r="D1751" s="15"/>
      <c r="E1751" s="15"/>
      <c r="F1751" s="15"/>
      <c r="G1751" s="15"/>
      <c r="H1751" s="15"/>
      <c r="I1751" s="15"/>
      <c r="J1751" s="15"/>
      <c r="K1751" s="15"/>
      <c r="L1751" s="15"/>
      <c r="M1751" s="15"/>
      <c r="N1751" s="15"/>
      <c r="O1751" s="15"/>
      <c r="P1751" s="15"/>
    </row>
    <row r="1752" spans="1:16" x14ac:dyDescent="0.25">
      <c r="A1752" s="15"/>
      <c r="B1752" s="15"/>
      <c r="C1752" s="15"/>
      <c r="D1752" s="15"/>
      <c r="E1752" s="15"/>
      <c r="F1752" s="15"/>
      <c r="G1752" s="15"/>
      <c r="H1752" s="15"/>
      <c r="I1752" s="15"/>
      <c r="J1752" s="15"/>
      <c r="K1752" s="15"/>
      <c r="L1752" s="15"/>
      <c r="M1752" s="15"/>
      <c r="N1752" s="15"/>
      <c r="O1752" s="15"/>
      <c r="P1752" s="15"/>
    </row>
    <row r="1753" spans="1:16" x14ac:dyDescent="0.25">
      <c r="A1753" s="15"/>
      <c r="B1753" s="15"/>
      <c r="C1753" s="15"/>
      <c r="D1753" s="15"/>
      <c r="E1753" s="15"/>
      <c r="F1753" s="15"/>
      <c r="G1753" s="15"/>
      <c r="H1753" s="15"/>
      <c r="I1753" s="15"/>
      <c r="J1753" s="15"/>
      <c r="K1753" s="15"/>
      <c r="L1753" s="15"/>
      <c r="M1753" s="15"/>
      <c r="N1753" s="15"/>
      <c r="O1753" s="15"/>
      <c r="P1753" s="15"/>
    </row>
    <row r="1754" spans="1:16" x14ac:dyDescent="0.25">
      <c r="A1754" s="15"/>
      <c r="B1754" s="15"/>
      <c r="C1754" s="15"/>
      <c r="D1754" s="15"/>
      <c r="E1754" s="15"/>
      <c r="F1754" s="15"/>
      <c r="G1754" s="15"/>
      <c r="H1754" s="15"/>
      <c r="I1754" s="15"/>
      <c r="J1754" s="15"/>
      <c r="K1754" s="15"/>
      <c r="L1754" s="15"/>
      <c r="M1754" s="15"/>
      <c r="N1754" s="15"/>
      <c r="O1754" s="15"/>
      <c r="P1754" s="15"/>
    </row>
    <row r="1755" spans="1:16" x14ac:dyDescent="0.25">
      <c r="A1755" s="15"/>
      <c r="B1755" s="15"/>
      <c r="C1755" s="15"/>
      <c r="D1755" s="15"/>
      <c r="E1755" s="15"/>
      <c r="F1755" s="15"/>
      <c r="G1755" s="15"/>
      <c r="H1755" s="15"/>
      <c r="I1755" s="15"/>
      <c r="J1755" s="15"/>
      <c r="K1755" s="15"/>
      <c r="L1755" s="15"/>
      <c r="M1755" s="15"/>
      <c r="N1755" s="15"/>
      <c r="O1755" s="15"/>
      <c r="P1755" s="15"/>
    </row>
    <row r="1756" spans="1:16" x14ac:dyDescent="0.25">
      <c r="A1756" s="15"/>
      <c r="B1756" s="15"/>
      <c r="C1756" s="15"/>
      <c r="D1756" s="15"/>
      <c r="E1756" s="15"/>
      <c r="F1756" s="15"/>
      <c r="G1756" s="15"/>
      <c r="H1756" s="15"/>
      <c r="I1756" s="15"/>
      <c r="J1756" s="15"/>
      <c r="K1756" s="15"/>
      <c r="L1756" s="15"/>
      <c r="M1756" s="15"/>
      <c r="N1756" s="15"/>
      <c r="O1756" s="15"/>
      <c r="P1756" s="15"/>
    </row>
    <row r="1757" spans="1:16" x14ac:dyDescent="0.25">
      <c r="A1757" s="15"/>
      <c r="B1757" s="15"/>
      <c r="C1757" s="15"/>
      <c r="D1757" s="15"/>
      <c r="E1757" s="15"/>
      <c r="F1757" s="15"/>
      <c r="G1757" s="15"/>
      <c r="H1757" s="15"/>
      <c r="I1757" s="15"/>
      <c r="J1757" s="15"/>
      <c r="K1757" s="15"/>
      <c r="L1757" s="15"/>
      <c r="M1757" s="15"/>
      <c r="N1757" s="15"/>
      <c r="O1757" s="15"/>
      <c r="P1757" s="15"/>
    </row>
    <row r="1758" spans="1:16" x14ac:dyDescent="0.25">
      <c r="A1758" s="15"/>
      <c r="B1758" s="15"/>
      <c r="C1758" s="15"/>
      <c r="D1758" s="15"/>
      <c r="E1758" s="15"/>
      <c r="F1758" s="15"/>
      <c r="G1758" s="15"/>
      <c r="H1758" s="15"/>
      <c r="I1758" s="15"/>
      <c r="J1758" s="15"/>
      <c r="K1758" s="15"/>
      <c r="L1758" s="15"/>
      <c r="M1758" s="15"/>
      <c r="N1758" s="15"/>
      <c r="O1758" s="15"/>
      <c r="P1758" s="15"/>
    </row>
    <row r="1759" spans="1:16" x14ac:dyDescent="0.25">
      <c r="A1759" s="15"/>
      <c r="B1759" s="15"/>
      <c r="C1759" s="15"/>
      <c r="D1759" s="15"/>
      <c r="E1759" s="15"/>
      <c r="F1759" s="15"/>
      <c r="G1759" s="15"/>
      <c r="H1759" s="15"/>
      <c r="I1759" s="15"/>
      <c r="J1759" s="15"/>
      <c r="K1759" s="15"/>
      <c r="L1759" s="15"/>
      <c r="M1759" s="15"/>
      <c r="N1759" s="15"/>
      <c r="O1759" s="15"/>
      <c r="P1759" s="15"/>
    </row>
    <row r="1760" spans="1:16" x14ac:dyDescent="0.25">
      <c r="A1760" s="15"/>
      <c r="B1760" s="15"/>
      <c r="C1760" s="15"/>
      <c r="D1760" s="15"/>
      <c r="E1760" s="15"/>
      <c r="F1760" s="15"/>
      <c r="G1760" s="15"/>
      <c r="H1760" s="15"/>
      <c r="I1760" s="15"/>
      <c r="J1760" s="15"/>
      <c r="K1760" s="15"/>
      <c r="L1760" s="15"/>
      <c r="M1760" s="15"/>
      <c r="N1760" s="15"/>
      <c r="O1760" s="15"/>
      <c r="P1760" s="15"/>
    </row>
    <row r="1761" spans="1:16" x14ac:dyDescent="0.25">
      <c r="A1761" s="15"/>
      <c r="B1761" s="15"/>
      <c r="C1761" s="15"/>
      <c r="D1761" s="15"/>
      <c r="E1761" s="15"/>
      <c r="F1761" s="15"/>
      <c r="G1761" s="15"/>
      <c r="H1761" s="15"/>
      <c r="I1761" s="15"/>
      <c r="J1761" s="15"/>
      <c r="K1761" s="15"/>
      <c r="L1761" s="15"/>
      <c r="M1761" s="15"/>
      <c r="N1761" s="15"/>
      <c r="O1761" s="15"/>
      <c r="P1761" s="15"/>
    </row>
    <row r="1762" spans="1:16" x14ac:dyDescent="0.25">
      <c r="A1762" s="15"/>
      <c r="B1762" s="15"/>
      <c r="C1762" s="15"/>
      <c r="D1762" s="15"/>
      <c r="E1762" s="15"/>
      <c r="F1762" s="15"/>
      <c r="G1762" s="15"/>
      <c r="H1762" s="15"/>
      <c r="I1762" s="15"/>
      <c r="J1762" s="15"/>
      <c r="K1762" s="15"/>
      <c r="L1762" s="15"/>
      <c r="M1762" s="15"/>
      <c r="N1762" s="15"/>
      <c r="O1762" s="15"/>
      <c r="P1762" s="15"/>
    </row>
    <row r="1763" spans="1:16" x14ac:dyDescent="0.25">
      <c r="A1763" s="15"/>
      <c r="B1763" s="15"/>
      <c r="C1763" s="15"/>
      <c r="D1763" s="15"/>
      <c r="E1763" s="15"/>
      <c r="F1763" s="15"/>
      <c r="G1763" s="15"/>
      <c r="H1763" s="15"/>
      <c r="I1763" s="15"/>
      <c r="J1763" s="15"/>
      <c r="K1763" s="15"/>
      <c r="L1763" s="15"/>
      <c r="M1763" s="15"/>
      <c r="N1763" s="15"/>
      <c r="O1763" s="15"/>
      <c r="P1763" s="15"/>
    </row>
    <row r="1764" spans="1:16" x14ac:dyDescent="0.25">
      <c r="A1764" s="15"/>
      <c r="B1764" s="15"/>
      <c r="C1764" s="15"/>
      <c r="D1764" s="15"/>
      <c r="E1764" s="15"/>
      <c r="F1764" s="15"/>
      <c r="G1764" s="15"/>
      <c r="H1764" s="15"/>
      <c r="I1764" s="15"/>
      <c r="J1764" s="15"/>
      <c r="K1764" s="15"/>
      <c r="L1764" s="15"/>
      <c r="M1764" s="15"/>
      <c r="N1764" s="15"/>
      <c r="O1764" s="15"/>
      <c r="P1764" s="15"/>
    </row>
    <row r="1765" spans="1:16" x14ac:dyDescent="0.25">
      <c r="A1765" s="15"/>
      <c r="B1765" s="15"/>
      <c r="C1765" s="15"/>
      <c r="D1765" s="15"/>
      <c r="E1765" s="15"/>
      <c r="F1765" s="15"/>
      <c r="G1765" s="15"/>
      <c r="H1765" s="15"/>
      <c r="I1765" s="15"/>
      <c r="J1765" s="15"/>
      <c r="K1765" s="15"/>
      <c r="L1765" s="15"/>
      <c r="M1765" s="15"/>
      <c r="N1765" s="15"/>
      <c r="O1765" s="15"/>
      <c r="P1765" s="15"/>
    </row>
    <row r="1766" spans="1:16" x14ac:dyDescent="0.25">
      <c r="A1766" s="15"/>
      <c r="B1766" s="15"/>
      <c r="C1766" s="15"/>
      <c r="D1766" s="15"/>
      <c r="E1766" s="15"/>
      <c r="F1766" s="15"/>
      <c r="G1766" s="15"/>
      <c r="H1766" s="15"/>
      <c r="I1766" s="15"/>
      <c r="J1766" s="15"/>
      <c r="K1766" s="15"/>
      <c r="L1766" s="15"/>
      <c r="M1766" s="15"/>
      <c r="N1766" s="15"/>
      <c r="O1766" s="15"/>
      <c r="P1766" s="15"/>
    </row>
    <row r="1767" spans="1:16" x14ac:dyDescent="0.25">
      <c r="A1767" s="15"/>
      <c r="B1767" s="15"/>
      <c r="C1767" s="15"/>
      <c r="D1767" s="15"/>
      <c r="E1767" s="15"/>
      <c r="F1767" s="15"/>
      <c r="G1767" s="15"/>
      <c r="H1767" s="15"/>
      <c r="I1767" s="15"/>
      <c r="J1767" s="15"/>
      <c r="K1767" s="15"/>
      <c r="L1767" s="15"/>
      <c r="M1767" s="15"/>
      <c r="N1767" s="15"/>
      <c r="O1767" s="15"/>
      <c r="P1767" s="15"/>
    </row>
    <row r="1768" spans="1:16" x14ac:dyDescent="0.25">
      <c r="A1768" s="15"/>
      <c r="B1768" s="15"/>
      <c r="C1768" s="15"/>
      <c r="D1768" s="15"/>
      <c r="E1768" s="15"/>
      <c r="F1768" s="15"/>
      <c r="G1768" s="15"/>
      <c r="H1768" s="15"/>
      <c r="I1768" s="15"/>
      <c r="J1768" s="15"/>
      <c r="K1768" s="15"/>
      <c r="L1768" s="15"/>
      <c r="M1768" s="15"/>
      <c r="N1768" s="15"/>
      <c r="O1768" s="15"/>
      <c r="P1768" s="15"/>
    </row>
    <row r="1769" spans="1:16" x14ac:dyDescent="0.25">
      <c r="A1769" s="15"/>
      <c r="B1769" s="15"/>
      <c r="C1769" s="15"/>
      <c r="D1769" s="15"/>
      <c r="E1769" s="15"/>
      <c r="F1769" s="15"/>
      <c r="G1769" s="15"/>
      <c r="H1769" s="15"/>
      <c r="I1769" s="15"/>
      <c r="J1769" s="15"/>
      <c r="K1769" s="15"/>
      <c r="L1769" s="15"/>
      <c r="M1769" s="15"/>
      <c r="N1769" s="15"/>
      <c r="O1769" s="15"/>
      <c r="P1769" s="15"/>
    </row>
    <row r="1770" spans="1:16" x14ac:dyDescent="0.25">
      <c r="A1770" s="15"/>
      <c r="B1770" s="15"/>
      <c r="C1770" s="15"/>
      <c r="D1770" s="15"/>
      <c r="E1770" s="15"/>
      <c r="F1770" s="15"/>
      <c r="G1770" s="15"/>
      <c r="H1770" s="15"/>
      <c r="I1770" s="15"/>
      <c r="J1770" s="15"/>
      <c r="K1770" s="15"/>
      <c r="L1770" s="15"/>
      <c r="M1770" s="15"/>
      <c r="N1770" s="15"/>
      <c r="O1770" s="15"/>
      <c r="P1770" s="15"/>
    </row>
    <row r="1771" spans="1:16" x14ac:dyDescent="0.25">
      <c r="A1771" s="15"/>
      <c r="B1771" s="15"/>
      <c r="C1771" s="15"/>
      <c r="D1771" s="15"/>
      <c r="E1771" s="15"/>
      <c r="F1771" s="15"/>
      <c r="G1771" s="15"/>
      <c r="H1771" s="15"/>
      <c r="I1771" s="15"/>
      <c r="J1771" s="15"/>
      <c r="K1771" s="15"/>
      <c r="L1771" s="15"/>
      <c r="M1771" s="15"/>
      <c r="N1771" s="15"/>
      <c r="O1771" s="15"/>
      <c r="P1771" s="15"/>
    </row>
    <row r="1772" spans="1:16" x14ac:dyDescent="0.25">
      <c r="A1772" s="15"/>
      <c r="B1772" s="15"/>
      <c r="C1772" s="15"/>
      <c r="D1772" s="15"/>
      <c r="E1772" s="15"/>
      <c r="F1772" s="15"/>
      <c r="G1772" s="15"/>
      <c r="H1772" s="15"/>
      <c r="I1772" s="15"/>
      <c r="J1772" s="15"/>
      <c r="K1772" s="15"/>
      <c r="L1772" s="15"/>
      <c r="M1772" s="15"/>
      <c r="N1772" s="15"/>
      <c r="O1772" s="15"/>
      <c r="P1772" s="15"/>
    </row>
    <row r="1773" spans="1:16" x14ac:dyDescent="0.25">
      <c r="A1773" s="15"/>
      <c r="B1773" s="15"/>
      <c r="C1773" s="15"/>
      <c r="D1773" s="15"/>
      <c r="E1773" s="15"/>
      <c r="F1773" s="15"/>
      <c r="G1773" s="15"/>
      <c r="H1773" s="15"/>
      <c r="I1773" s="15"/>
      <c r="J1773" s="15"/>
      <c r="K1773" s="15"/>
      <c r="L1773" s="15"/>
      <c r="M1773" s="15"/>
      <c r="N1773" s="15"/>
      <c r="O1773" s="15"/>
      <c r="P1773" s="15"/>
    </row>
    <row r="1774" spans="1:16" x14ac:dyDescent="0.25">
      <c r="A1774" s="15"/>
      <c r="B1774" s="15"/>
      <c r="C1774" s="15"/>
      <c r="D1774" s="15"/>
      <c r="E1774" s="15"/>
      <c r="F1774" s="15"/>
      <c r="G1774" s="15"/>
      <c r="H1774" s="15"/>
      <c r="I1774" s="15"/>
      <c r="J1774" s="15"/>
      <c r="K1774" s="15"/>
      <c r="L1774" s="15"/>
      <c r="M1774" s="15"/>
      <c r="N1774" s="15"/>
      <c r="O1774" s="15"/>
      <c r="P1774" s="15"/>
    </row>
    <row r="1775" spans="1:16" x14ac:dyDescent="0.25">
      <c r="A1775" s="15"/>
      <c r="B1775" s="15"/>
      <c r="C1775" s="15"/>
      <c r="D1775" s="15"/>
      <c r="E1775" s="15"/>
      <c r="F1775" s="15"/>
      <c r="G1775" s="15"/>
      <c r="H1775" s="15"/>
      <c r="I1775" s="15"/>
      <c r="J1775" s="15"/>
      <c r="K1775" s="15"/>
      <c r="L1775" s="15"/>
      <c r="M1775" s="15"/>
      <c r="N1775" s="15"/>
      <c r="O1775" s="15"/>
      <c r="P1775" s="15"/>
    </row>
    <row r="1776" spans="1:16" x14ac:dyDescent="0.25">
      <c r="A1776" s="15"/>
      <c r="B1776" s="15"/>
      <c r="C1776" s="15"/>
      <c r="D1776" s="15"/>
      <c r="E1776" s="15"/>
      <c r="F1776" s="15"/>
      <c r="G1776" s="15"/>
      <c r="H1776" s="15"/>
      <c r="I1776" s="15"/>
      <c r="J1776" s="15"/>
      <c r="K1776" s="15"/>
      <c r="L1776" s="15"/>
      <c r="M1776" s="15"/>
      <c r="N1776" s="15"/>
      <c r="O1776" s="15"/>
      <c r="P1776" s="15"/>
    </row>
    <row r="1777" spans="1:16" x14ac:dyDescent="0.25">
      <c r="A1777" s="15"/>
      <c r="B1777" s="15"/>
      <c r="C1777" s="15"/>
      <c r="D1777" s="15"/>
      <c r="E1777" s="15"/>
      <c r="F1777" s="15"/>
      <c r="G1777" s="15"/>
      <c r="H1777" s="15"/>
      <c r="I1777" s="15"/>
      <c r="J1777" s="15"/>
      <c r="K1777" s="15"/>
      <c r="L1777" s="15"/>
      <c r="M1777" s="15"/>
      <c r="N1777" s="15"/>
      <c r="O1777" s="15"/>
      <c r="P1777" s="15"/>
    </row>
    <row r="1778" spans="1:16" x14ac:dyDescent="0.25">
      <c r="A1778" s="15"/>
      <c r="B1778" s="15"/>
      <c r="C1778" s="15"/>
      <c r="D1778" s="15"/>
      <c r="E1778" s="15"/>
      <c r="F1778" s="15"/>
      <c r="G1778" s="15"/>
      <c r="H1778" s="15"/>
      <c r="I1778" s="15"/>
      <c r="J1778" s="15"/>
      <c r="K1778" s="15"/>
      <c r="L1778" s="15"/>
      <c r="M1778" s="15"/>
      <c r="N1778" s="15"/>
      <c r="O1778" s="15"/>
      <c r="P1778" s="15"/>
    </row>
    <row r="1779" spans="1:16" x14ac:dyDescent="0.25">
      <c r="A1779" s="15"/>
      <c r="B1779" s="15"/>
      <c r="C1779" s="15"/>
      <c r="D1779" s="15"/>
      <c r="E1779" s="15"/>
      <c r="F1779" s="15"/>
      <c r="G1779" s="15"/>
      <c r="H1779" s="15"/>
      <c r="I1779" s="15"/>
      <c r="J1779" s="15"/>
      <c r="K1779" s="15"/>
      <c r="L1779" s="15"/>
      <c r="M1779" s="15"/>
      <c r="N1779" s="15"/>
      <c r="O1779" s="15"/>
      <c r="P1779" s="15"/>
    </row>
    <row r="1780" spans="1:16" x14ac:dyDescent="0.25">
      <c r="A1780" s="15"/>
      <c r="B1780" s="15"/>
      <c r="C1780" s="15"/>
      <c r="D1780" s="15"/>
      <c r="E1780" s="15"/>
      <c r="F1780" s="15"/>
      <c r="G1780" s="15"/>
      <c r="H1780" s="15"/>
      <c r="I1780" s="15"/>
      <c r="J1780" s="15"/>
      <c r="K1780" s="15"/>
      <c r="L1780" s="15"/>
      <c r="M1780" s="15"/>
      <c r="N1780" s="15"/>
      <c r="O1780" s="15"/>
      <c r="P1780" s="15"/>
    </row>
    <row r="1781" spans="1:16" x14ac:dyDescent="0.25">
      <c r="A1781" s="15"/>
      <c r="B1781" s="15"/>
      <c r="C1781" s="15"/>
      <c r="D1781" s="15"/>
      <c r="E1781" s="15"/>
      <c r="F1781" s="15"/>
      <c r="G1781" s="15"/>
      <c r="H1781" s="15"/>
      <c r="I1781" s="15"/>
      <c r="J1781" s="15"/>
      <c r="K1781" s="15"/>
      <c r="L1781" s="15"/>
      <c r="M1781" s="15"/>
      <c r="N1781" s="15"/>
      <c r="O1781" s="15"/>
      <c r="P1781" s="15"/>
    </row>
    <row r="1782" spans="1:16" x14ac:dyDescent="0.25">
      <c r="A1782" s="15"/>
      <c r="B1782" s="15"/>
      <c r="C1782" s="15"/>
      <c r="D1782" s="15"/>
      <c r="E1782" s="15"/>
      <c r="F1782" s="15"/>
      <c r="G1782" s="15"/>
      <c r="H1782" s="15"/>
      <c r="I1782" s="15"/>
      <c r="J1782" s="15"/>
      <c r="K1782" s="15"/>
      <c r="L1782" s="15"/>
      <c r="M1782" s="15"/>
      <c r="N1782" s="15"/>
      <c r="O1782" s="15"/>
      <c r="P1782" s="15"/>
    </row>
    <row r="1783" spans="1:16" x14ac:dyDescent="0.25">
      <c r="A1783" s="15"/>
      <c r="B1783" s="15"/>
      <c r="C1783" s="15"/>
      <c r="D1783" s="15"/>
      <c r="E1783" s="15"/>
      <c r="F1783" s="15"/>
      <c r="G1783" s="15"/>
      <c r="H1783" s="15"/>
      <c r="I1783" s="15"/>
      <c r="J1783" s="15"/>
      <c r="K1783" s="15"/>
      <c r="L1783" s="15"/>
      <c r="M1783" s="15"/>
      <c r="N1783" s="15"/>
      <c r="O1783" s="15"/>
      <c r="P1783" s="15"/>
    </row>
    <row r="1784" spans="1:16" x14ac:dyDescent="0.25">
      <c r="A1784" s="15"/>
      <c r="B1784" s="15"/>
      <c r="C1784" s="15"/>
      <c r="D1784" s="15"/>
      <c r="E1784" s="15"/>
      <c r="F1784" s="15"/>
      <c r="G1784" s="15"/>
      <c r="H1784" s="15"/>
      <c r="I1784" s="15"/>
      <c r="J1784" s="15"/>
      <c r="K1784" s="15"/>
      <c r="L1784" s="15"/>
      <c r="M1784" s="15"/>
      <c r="N1784" s="15"/>
      <c r="O1784" s="15"/>
      <c r="P1784" s="15"/>
    </row>
    <row r="1785" spans="1:16" x14ac:dyDescent="0.25">
      <c r="A1785" s="15"/>
      <c r="B1785" s="15"/>
      <c r="C1785" s="15"/>
      <c r="D1785" s="15"/>
      <c r="E1785" s="15"/>
      <c r="F1785" s="15"/>
      <c r="G1785" s="15"/>
      <c r="H1785" s="15"/>
      <c r="I1785" s="15"/>
      <c r="J1785" s="15"/>
      <c r="K1785" s="15"/>
      <c r="L1785" s="15"/>
      <c r="M1785" s="15"/>
      <c r="N1785" s="15"/>
      <c r="O1785" s="15"/>
      <c r="P1785" s="15"/>
    </row>
    <row r="1786" spans="1:16" x14ac:dyDescent="0.25">
      <c r="A1786" s="15"/>
      <c r="B1786" s="15"/>
      <c r="C1786" s="15"/>
      <c r="D1786" s="15"/>
      <c r="E1786" s="15"/>
      <c r="F1786" s="15"/>
      <c r="G1786" s="15"/>
      <c r="H1786" s="15"/>
      <c r="I1786" s="15"/>
      <c r="J1786" s="15"/>
      <c r="K1786" s="15"/>
      <c r="L1786" s="15"/>
      <c r="M1786" s="15"/>
      <c r="N1786" s="15"/>
      <c r="O1786" s="15"/>
      <c r="P1786" s="15"/>
    </row>
    <row r="1787" spans="1:16" x14ac:dyDescent="0.25">
      <c r="A1787" s="15"/>
      <c r="B1787" s="15"/>
      <c r="C1787" s="15"/>
      <c r="D1787" s="15"/>
      <c r="E1787" s="15"/>
      <c r="F1787" s="15"/>
      <c r="G1787" s="15"/>
      <c r="H1787" s="15"/>
      <c r="I1787" s="15"/>
      <c r="J1787" s="15"/>
      <c r="K1787" s="15"/>
      <c r="L1787" s="15"/>
      <c r="M1787" s="15"/>
      <c r="N1787" s="15"/>
      <c r="O1787" s="15"/>
      <c r="P1787" s="15"/>
    </row>
    <row r="1788" spans="1:16" x14ac:dyDescent="0.25">
      <c r="A1788" s="15"/>
      <c r="B1788" s="15"/>
      <c r="C1788" s="15"/>
      <c r="D1788" s="15"/>
      <c r="E1788" s="15"/>
      <c r="F1788" s="15"/>
      <c r="G1788" s="15"/>
      <c r="H1788" s="15"/>
      <c r="I1788" s="15"/>
      <c r="J1788" s="15"/>
      <c r="K1788" s="15"/>
      <c r="L1788" s="15"/>
      <c r="M1788" s="15"/>
      <c r="N1788" s="15"/>
      <c r="O1788" s="15"/>
      <c r="P1788" s="15"/>
    </row>
    <row r="1789" spans="1:16" x14ac:dyDescent="0.25">
      <c r="A1789" s="15"/>
      <c r="B1789" s="15"/>
      <c r="C1789" s="15"/>
      <c r="D1789" s="15"/>
      <c r="E1789" s="15"/>
      <c r="F1789" s="15"/>
      <c r="G1789" s="15"/>
      <c r="H1789" s="15"/>
      <c r="I1789" s="15"/>
      <c r="J1789" s="15"/>
      <c r="K1789" s="15"/>
      <c r="L1789" s="15"/>
      <c r="M1789" s="15"/>
      <c r="N1789" s="15"/>
      <c r="O1789" s="15"/>
      <c r="P1789" s="15"/>
    </row>
    <row r="1790" spans="1:16" x14ac:dyDescent="0.25">
      <c r="A1790" s="15"/>
      <c r="B1790" s="15"/>
      <c r="C1790" s="15"/>
      <c r="D1790" s="15"/>
      <c r="E1790" s="15"/>
      <c r="F1790" s="15"/>
      <c r="G1790" s="15"/>
      <c r="H1790" s="15"/>
      <c r="I1790" s="15"/>
      <c r="J1790" s="15"/>
      <c r="K1790" s="15"/>
      <c r="L1790" s="15"/>
      <c r="M1790" s="15"/>
      <c r="N1790" s="15"/>
      <c r="O1790" s="15"/>
      <c r="P1790" s="15"/>
    </row>
    <row r="1791" spans="1:16" x14ac:dyDescent="0.25">
      <c r="A1791" s="15"/>
      <c r="B1791" s="15"/>
      <c r="C1791" s="15"/>
      <c r="D1791" s="15"/>
      <c r="E1791" s="15"/>
      <c r="F1791" s="15"/>
      <c r="G1791" s="15"/>
      <c r="H1791" s="15"/>
      <c r="I1791" s="15"/>
      <c r="J1791" s="15"/>
      <c r="K1791" s="15"/>
      <c r="L1791" s="15"/>
      <c r="M1791" s="15"/>
      <c r="N1791" s="15"/>
      <c r="O1791" s="15"/>
      <c r="P1791" s="15"/>
    </row>
    <row r="1792" spans="1:16" x14ac:dyDescent="0.25">
      <c r="A1792" s="15"/>
      <c r="B1792" s="15"/>
      <c r="C1792" s="15"/>
      <c r="D1792" s="15"/>
      <c r="E1792" s="15"/>
      <c r="F1792" s="15"/>
      <c r="G1792" s="15"/>
      <c r="H1792" s="15"/>
      <c r="I1792" s="15"/>
      <c r="J1792" s="15"/>
      <c r="K1792" s="15"/>
      <c r="L1792" s="15"/>
      <c r="M1792" s="15"/>
      <c r="N1792" s="15"/>
      <c r="O1792" s="15"/>
      <c r="P1792" s="15"/>
    </row>
    <row r="1793" spans="1:16" x14ac:dyDescent="0.25">
      <c r="A1793" s="15"/>
      <c r="B1793" s="15"/>
      <c r="C1793" s="15"/>
      <c r="D1793" s="15"/>
      <c r="E1793" s="15"/>
      <c r="F1793" s="15"/>
      <c r="G1793" s="15"/>
      <c r="H1793" s="15"/>
      <c r="I1793" s="15"/>
      <c r="J1793" s="15"/>
      <c r="K1793" s="15"/>
      <c r="L1793" s="15"/>
      <c r="M1793" s="15"/>
      <c r="N1793" s="15"/>
      <c r="O1793" s="15"/>
      <c r="P1793" s="15"/>
    </row>
    <row r="1794" spans="1:16" x14ac:dyDescent="0.25">
      <c r="A1794" s="15"/>
      <c r="B1794" s="15"/>
      <c r="C1794" s="15"/>
      <c r="D1794" s="15"/>
      <c r="E1794" s="15"/>
      <c r="F1794" s="15"/>
      <c r="G1794" s="15"/>
      <c r="H1794" s="15"/>
      <c r="I1794" s="15"/>
      <c r="J1794" s="15"/>
      <c r="K1794" s="15"/>
      <c r="L1794" s="15"/>
      <c r="M1794" s="15"/>
      <c r="N1794" s="15"/>
      <c r="O1794" s="15"/>
      <c r="P1794" s="15"/>
    </row>
    <row r="1795" spans="1:16" x14ac:dyDescent="0.25">
      <c r="A1795" s="15"/>
      <c r="B1795" s="15"/>
      <c r="C1795" s="15"/>
      <c r="D1795" s="15"/>
      <c r="E1795" s="15"/>
      <c r="F1795" s="15"/>
      <c r="G1795" s="15"/>
      <c r="H1795" s="15"/>
      <c r="I1795" s="15"/>
      <c r="J1795" s="15"/>
      <c r="K1795" s="15"/>
      <c r="L1795" s="15"/>
      <c r="M1795" s="15"/>
      <c r="N1795" s="15"/>
      <c r="O1795" s="15"/>
      <c r="P1795" s="15"/>
    </row>
    <row r="1796" spans="1:16" x14ac:dyDescent="0.25">
      <c r="A1796" s="15"/>
      <c r="B1796" s="15"/>
      <c r="C1796" s="15"/>
      <c r="D1796" s="15"/>
      <c r="E1796" s="15"/>
      <c r="F1796" s="15"/>
      <c r="G1796" s="15"/>
      <c r="H1796" s="15"/>
      <c r="I1796" s="15"/>
      <c r="J1796" s="15"/>
      <c r="K1796" s="15"/>
      <c r="L1796" s="15"/>
      <c r="M1796" s="15"/>
      <c r="N1796" s="15"/>
      <c r="O1796" s="15"/>
      <c r="P1796" s="15"/>
    </row>
    <row r="1797" spans="1:16" x14ac:dyDescent="0.25">
      <c r="A1797" s="15"/>
      <c r="B1797" s="15"/>
      <c r="C1797" s="15"/>
      <c r="D1797" s="15"/>
      <c r="E1797" s="15"/>
      <c r="F1797" s="15"/>
      <c r="G1797" s="15"/>
      <c r="H1797" s="15"/>
      <c r="I1797" s="15"/>
      <c r="J1797" s="15"/>
      <c r="K1797" s="15"/>
      <c r="L1797" s="15"/>
      <c r="M1797" s="15"/>
      <c r="N1797" s="15"/>
      <c r="O1797" s="15"/>
      <c r="P1797" s="15"/>
    </row>
    <row r="1798" spans="1:16" x14ac:dyDescent="0.25">
      <c r="A1798" s="15"/>
      <c r="B1798" s="15"/>
      <c r="C1798" s="15"/>
      <c r="D1798" s="15"/>
      <c r="E1798" s="15"/>
      <c r="F1798" s="15"/>
      <c r="G1798" s="15"/>
      <c r="H1798" s="15"/>
      <c r="I1798" s="15"/>
      <c r="J1798" s="15"/>
      <c r="K1798" s="15"/>
      <c r="L1798" s="15"/>
      <c r="M1798" s="15"/>
      <c r="N1798" s="15"/>
      <c r="O1798" s="15"/>
      <c r="P1798" s="15"/>
    </row>
    <row r="1799" spans="1:16" x14ac:dyDescent="0.25">
      <c r="A1799" s="15"/>
      <c r="B1799" s="15"/>
      <c r="C1799" s="15"/>
      <c r="D1799" s="15"/>
      <c r="E1799" s="15"/>
      <c r="F1799" s="15"/>
      <c r="G1799" s="15"/>
      <c r="H1799" s="15"/>
      <c r="I1799" s="15"/>
      <c r="J1799" s="15"/>
      <c r="K1799" s="15"/>
      <c r="L1799" s="15"/>
      <c r="M1799" s="15"/>
      <c r="N1799" s="15"/>
      <c r="O1799" s="15"/>
      <c r="P1799" s="15"/>
    </row>
    <row r="1800" spans="1:16" x14ac:dyDescent="0.25">
      <c r="A1800" s="15"/>
      <c r="B1800" s="15"/>
      <c r="C1800" s="15"/>
      <c r="D1800" s="15"/>
      <c r="E1800" s="15"/>
      <c r="F1800" s="15"/>
      <c r="G1800" s="15"/>
      <c r="H1800" s="15"/>
      <c r="I1800" s="15"/>
      <c r="J1800" s="15"/>
      <c r="K1800" s="15"/>
      <c r="L1800" s="15"/>
      <c r="M1800" s="15"/>
      <c r="N1800" s="15"/>
      <c r="O1800" s="15"/>
      <c r="P1800" s="15"/>
    </row>
    <row r="1801" spans="1:16" x14ac:dyDescent="0.25">
      <c r="A1801" s="15"/>
      <c r="B1801" s="15"/>
      <c r="C1801" s="15"/>
      <c r="D1801" s="15"/>
      <c r="E1801" s="15"/>
      <c r="F1801" s="15"/>
      <c r="G1801" s="15"/>
      <c r="H1801" s="15"/>
      <c r="I1801" s="15"/>
      <c r="J1801" s="15"/>
      <c r="K1801" s="15"/>
      <c r="L1801" s="15"/>
      <c r="M1801" s="15"/>
      <c r="N1801" s="15"/>
      <c r="O1801" s="15"/>
      <c r="P1801" s="15"/>
    </row>
    <row r="1802" spans="1:16" x14ac:dyDescent="0.25">
      <c r="A1802" s="15"/>
      <c r="B1802" s="15"/>
      <c r="C1802" s="15"/>
      <c r="D1802" s="15"/>
      <c r="E1802" s="15"/>
      <c r="F1802" s="15"/>
      <c r="G1802" s="15"/>
      <c r="H1802" s="15"/>
      <c r="I1802" s="15"/>
      <c r="J1802" s="15"/>
      <c r="K1802" s="15"/>
      <c r="L1802" s="15"/>
      <c r="M1802" s="15"/>
      <c r="N1802" s="15"/>
      <c r="O1802" s="15"/>
      <c r="P1802" s="15"/>
    </row>
    <row r="1803" spans="1:16" x14ac:dyDescent="0.25">
      <c r="A1803" s="15"/>
      <c r="B1803" s="15"/>
      <c r="C1803" s="15"/>
      <c r="D1803" s="15"/>
      <c r="E1803" s="15"/>
      <c r="F1803" s="15"/>
      <c r="G1803" s="15"/>
      <c r="H1803" s="15"/>
      <c r="I1803" s="15"/>
      <c r="J1803" s="15"/>
      <c r="K1803" s="15"/>
      <c r="L1803" s="15"/>
      <c r="M1803" s="15"/>
      <c r="N1803" s="15"/>
      <c r="O1803" s="15"/>
      <c r="P1803" s="15"/>
    </row>
    <row r="1804" spans="1:16" x14ac:dyDescent="0.25">
      <c r="A1804" s="15"/>
      <c r="B1804" s="15"/>
      <c r="C1804" s="15"/>
      <c r="D1804" s="15"/>
      <c r="E1804" s="15"/>
      <c r="F1804" s="15"/>
      <c r="G1804" s="15"/>
      <c r="H1804" s="15"/>
      <c r="I1804" s="15"/>
      <c r="J1804" s="15"/>
      <c r="K1804" s="15"/>
      <c r="L1804" s="15"/>
      <c r="M1804" s="15"/>
      <c r="N1804" s="15"/>
      <c r="O1804" s="15"/>
      <c r="P1804" s="15"/>
    </row>
    <row r="1805" spans="1:16" x14ac:dyDescent="0.25">
      <c r="A1805" s="15"/>
      <c r="B1805" s="15"/>
      <c r="C1805" s="15"/>
      <c r="D1805" s="15"/>
      <c r="E1805" s="15"/>
      <c r="F1805" s="15"/>
      <c r="G1805" s="15"/>
      <c r="H1805" s="15"/>
      <c r="I1805" s="15"/>
      <c r="J1805" s="15"/>
      <c r="K1805" s="15"/>
      <c r="L1805" s="15"/>
      <c r="M1805" s="15"/>
      <c r="N1805" s="15"/>
      <c r="O1805" s="15"/>
      <c r="P1805" s="15"/>
    </row>
    <row r="1806" spans="1:16" x14ac:dyDescent="0.25">
      <c r="A1806" s="15"/>
      <c r="B1806" s="15"/>
      <c r="C1806" s="15"/>
      <c r="D1806" s="15"/>
      <c r="E1806" s="15"/>
      <c r="F1806" s="15"/>
      <c r="G1806" s="15"/>
      <c r="H1806" s="15"/>
      <c r="I1806" s="15"/>
      <c r="J1806" s="15"/>
      <c r="K1806" s="15"/>
      <c r="L1806" s="15"/>
      <c r="M1806" s="15"/>
      <c r="N1806" s="15"/>
      <c r="O1806" s="15"/>
      <c r="P1806" s="15"/>
    </row>
    <row r="1807" spans="1:16" x14ac:dyDescent="0.25">
      <c r="A1807" s="15"/>
      <c r="B1807" s="15"/>
      <c r="C1807" s="15"/>
      <c r="D1807" s="15"/>
      <c r="E1807" s="15"/>
      <c r="F1807" s="15"/>
      <c r="G1807" s="15"/>
      <c r="H1807" s="15"/>
      <c r="I1807" s="15"/>
      <c r="J1807" s="15"/>
      <c r="K1807" s="15"/>
      <c r="L1807" s="15"/>
      <c r="M1807" s="15"/>
      <c r="N1807" s="15"/>
      <c r="O1807" s="15"/>
      <c r="P1807" s="15"/>
    </row>
    <row r="1808" spans="1:16" x14ac:dyDescent="0.25">
      <c r="A1808" s="15"/>
      <c r="B1808" s="15"/>
      <c r="C1808" s="15"/>
      <c r="D1808" s="15"/>
      <c r="E1808" s="15"/>
      <c r="F1808" s="15"/>
      <c r="G1808" s="15"/>
      <c r="H1808" s="15"/>
      <c r="I1808" s="15"/>
      <c r="J1808" s="15"/>
      <c r="K1808" s="15"/>
      <c r="L1808" s="15"/>
      <c r="M1808" s="15"/>
      <c r="N1808" s="15"/>
      <c r="O1808" s="15"/>
      <c r="P1808" s="15"/>
    </row>
    <row r="1809" spans="1:16" x14ac:dyDescent="0.25">
      <c r="A1809" s="15"/>
      <c r="B1809" s="15"/>
      <c r="C1809" s="15"/>
      <c r="D1809" s="15"/>
      <c r="E1809" s="15"/>
      <c r="F1809" s="15"/>
      <c r="G1809" s="15"/>
      <c r="H1809" s="15"/>
      <c r="I1809" s="15"/>
      <c r="J1809" s="15"/>
      <c r="K1809" s="15"/>
      <c r="L1809" s="15"/>
      <c r="M1809" s="15"/>
      <c r="N1809" s="15"/>
      <c r="O1809" s="15"/>
      <c r="P1809" s="15"/>
    </row>
    <row r="1810" spans="1:16" x14ac:dyDescent="0.25">
      <c r="A1810" s="15"/>
      <c r="B1810" s="15"/>
      <c r="C1810" s="15"/>
      <c r="D1810" s="15"/>
      <c r="E1810" s="15"/>
      <c r="F1810" s="15"/>
      <c r="G1810" s="15"/>
      <c r="H1810" s="15"/>
      <c r="I1810" s="15"/>
      <c r="J1810" s="15"/>
      <c r="K1810" s="15"/>
      <c r="L1810" s="15"/>
      <c r="M1810" s="15"/>
      <c r="N1810" s="15"/>
      <c r="O1810" s="15"/>
      <c r="P1810" s="15"/>
    </row>
    <row r="1811" spans="1:16" x14ac:dyDescent="0.25">
      <c r="A1811" s="15"/>
      <c r="B1811" s="15"/>
      <c r="C1811" s="15"/>
      <c r="D1811" s="15"/>
      <c r="E1811" s="15"/>
      <c r="F1811" s="15"/>
      <c r="G1811" s="15"/>
      <c r="H1811" s="15"/>
      <c r="I1811" s="15"/>
      <c r="J1811" s="15"/>
      <c r="K1811" s="15"/>
      <c r="L1811" s="15"/>
      <c r="M1811" s="15"/>
      <c r="N1811" s="15"/>
      <c r="O1811" s="15"/>
      <c r="P1811" s="15"/>
    </row>
    <row r="1812" spans="1:16" x14ac:dyDescent="0.25">
      <c r="A1812" s="15"/>
      <c r="B1812" s="15"/>
      <c r="C1812" s="15"/>
      <c r="D1812" s="15"/>
      <c r="E1812" s="15"/>
      <c r="F1812" s="15"/>
      <c r="G1812" s="15"/>
      <c r="H1812" s="15"/>
      <c r="I1812" s="15"/>
      <c r="J1812" s="15"/>
      <c r="K1812" s="15"/>
      <c r="L1812" s="15"/>
      <c r="M1812" s="15"/>
      <c r="N1812" s="15"/>
      <c r="O1812" s="15"/>
      <c r="P1812" s="15"/>
    </row>
    <row r="1813" spans="1:16" x14ac:dyDescent="0.25">
      <c r="A1813" s="15"/>
      <c r="B1813" s="15"/>
      <c r="C1813" s="15"/>
      <c r="D1813" s="15"/>
      <c r="E1813" s="15"/>
      <c r="F1813" s="15"/>
      <c r="G1813" s="15"/>
      <c r="H1813" s="15"/>
      <c r="I1813" s="15"/>
      <c r="J1813" s="15"/>
      <c r="K1813" s="15"/>
      <c r="L1813" s="15"/>
      <c r="M1813" s="15"/>
      <c r="N1813" s="15"/>
      <c r="O1813" s="15"/>
      <c r="P1813" s="15"/>
    </row>
    <row r="1814" spans="1:16" x14ac:dyDescent="0.25">
      <c r="A1814" s="15"/>
      <c r="B1814" s="15"/>
      <c r="C1814" s="15"/>
      <c r="D1814" s="15"/>
      <c r="E1814" s="15"/>
      <c r="F1814" s="15"/>
      <c r="G1814" s="15"/>
      <c r="H1814" s="15"/>
      <c r="I1814" s="15"/>
      <c r="J1814" s="15"/>
      <c r="K1814" s="15"/>
      <c r="L1814" s="15"/>
      <c r="M1814" s="15"/>
      <c r="N1814" s="15"/>
      <c r="O1814" s="15"/>
      <c r="P1814" s="15"/>
    </row>
    <row r="1815" spans="1:16" x14ac:dyDescent="0.25">
      <c r="A1815" s="15"/>
      <c r="B1815" s="15"/>
      <c r="C1815" s="15"/>
      <c r="D1815" s="15"/>
      <c r="E1815" s="15"/>
      <c r="F1815" s="15"/>
      <c r="G1815" s="15"/>
      <c r="H1815" s="15"/>
      <c r="I1815" s="15"/>
      <c r="J1815" s="15"/>
      <c r="K1815" s="15"/>
      <c r="L1815" s="15"/>
      <c r="M1815" s="15"/>
      <c r="N1815" s="15"/>
      <c r="O1815" s="15"/>
      <c r="P1815" s="15"/>
    </row>
    <row r="1816" spans="1:16" x14ac:dyDescent="0.25">
      <c r="A1816" s="15"/>
      <c r="B1816" s="15"/>
      <c r="C1816" s="15"/>
      <c r="D1816" s="15"/>
      <c r="E1816" s="15"/>
      <c r="F1816" s="15"/>
      <c r="G1816" s="15"/>
      <c r="H1816" s="15"/>
      <c r="I1816" s="15"/>
      <c r="J1816" s="15"/>
      <c r="K1816" s="15"/>
      <c r="L1816" s="15"/>
      <c r="M1816" s="15"/>
      <c r="N1816" s="15"/>
      <c r="O1816" s="15"/>
      <c r="P1816" s="15"/>
    </row>
    <row r="1817" spans="1:16" x14ac:dyDescent="0.25">
      <c r="A1817" s="15"/>
      <c r="B1817" s="15"/>
      <c r="C1817" s="15"/>
      <c r="D1817" s="15"/>
      <c r="E1817" s="15"/>
      <c r="F1817" s="15"/>
      <c r="G1817" s="15"/>
      <c r="H1817" s="15"/>
      <c r="I1817" s="15"/>
      <c r="J1817" s="15"/>
      <c r="K1817" s="15"/>
      <c r="L1817" s="15"/>
      <c r="M1817" s="15"/>
      <c r="N1817" s="15"/>
      <c r="O1817" s="15"/>
      <c r="P1817" s="15"/>
    </row>
    <row r="1818" spans="1:16" x14ac:dyDescent="0.25">
      <c r="A1818" s="15"/>
      <c r="B1818" s="15"/>
      <c r="C1818" s="15"/>
      <c r="D1818" s="15"/>
      <c r="E1818" s="15"/>
      <c r="F1818" s="15"/>
      <c r="G1818" s="15"/>
      <c r="H1818" s="15"/>
      <c r="I1818" s="15"/>
      <c r="J1818" s="15"/>
      <c r="K1818" s="15"/>
      <c r="L1818" s="15"/>
      <c r="M1818" s="15"/>
      <c r="N1818" s="15"/>
      <c r="O1818" s="15"/>
      <c r="P1818" s="15"/>
    </row>
    <row r="1819" spans="1:16" x14ac:dyDescent="0.25">
      <c r="A1819" s="15"/>
      <c r="B1819" s="15"/>
      <c r="C1819" s="15"/>
      <c r="D1819" s="15"/>
      <c r="E1819" s="15"/>
      <c r="F1819" s="15"/>
      <c r="G1819" s="15"/>
      <c r="H1819" s="15"/>
      <c r="I1819" s="15"/>
      <c r="J1819" s="15"/>
      <c r="K1819" s="15"/>
      <c r="L1819" s="15"/>
      <c r="M1819" s="15"/>
      <c r="N1819" s="15"/>
      <c r="O1819" s="15"/>
      <c r="P1819" s="15"/>
    </row>
    <row r="1820" spans="1:16" x14ac:dyDescent="0.25">
      <c r="A1820" s="15"/>
      <c r="B1820" s="15"/>
      <c r="C1820" s="15"/>
      <c r="D1820" s="15"/>
      <c r="E1820" s="15"/>
      <c r="F1820" s="15"/>
      <c r="G1820" s="15"/>
      <c r="H1820" s="15"/>
      <c r="I1820" s="15"/>
      <c r="J1820" s="15"/>
      <c r="K1820" s="15"/>
      <c r="L1820" s="15"/>
      <c r="M1820" s="15"/>
      <c r="N1820" s="15"/>
      <c r="O1820" s="15"/>
      <c r="P1820" s="15"/>
    </row>
    <row r="1821" spans="1:16" x14ac:dyDescent="0.25">
      <c r="A1821" s="15"/>
      <c r="B1821" s="15"/>
      <c r="C1821" s="15"/>
      <c r="D1821" s="15"/>
      <c r="E1821" s="15"/>
      <c r="F1821" s="15"/>
      <c r="G1821" s="15"/>
      <c r="H1821" s="15"/>
      <c r="I1821" s="15"/>
      <c r="J1821" s="15"/>
      <c r="K1821" s="15"/>
      <c r="L1821" s="15"/>
      <c r="M1821" s="15"/>
      <c r="N1821" s="15"/>
      <c r="O1821" s="15"/>
      <c r="P1821" s="15"/>
    </row>
    <row r="1822" spans="1:16" x14ac:dyDescent="0.25">
      <c r="A1822" s="15"/>
      <c r="B1822" s="15"/>
      <c r="C1822" s="15"/>
      <c r="D1822" s="15"/>
      <c r="E1822" s="15"/>
      <c r="F1822" s="15"/>
      <c r="G1822" s="15"/>
      <c r="H1822" s="15"/>
      <c r="I1822" s="15"/>
      <c r="J1822" s="15"/>
      <c r="K1822" s="15"/>
      <c r="L1822" s="15"/>
      <c r="M1822" s="15"/>
      <c r="N1822" s="15"/>
      <c r="O1822" s="15"/>
      <c r="P1822" s="15"/>
    </row>
    <row r="1823" spans="1:16" x14ac:dyDescent="0.25">
      <c r="A1823" s="15"/>
      <c r="B1823" s="15"/>
      <c r="C1823" s="15"/>
      <c r="D1823" s="15"/>
      <c r="E1823" s="15"/>
      <c r="F1823" s="15"/>
      <c r="G1823" s="15"/>
      <c r="H1823" s="15"/>
      <c r="I1823" s="15"/>
      <c r="J1823" s="15"/>
      <c r="K1823" s="15"/>
      <c r="L1823" s="15"/>
      <c r="M1823" s="15"/>
      <c r="N1823" s="15"/>
      <c r="O1823" s="15"/>
      <c r="P1823" s="15"/>
    </row>
    <row r="1824" spans="1:16" x14ac:dyDescent="0.25">
      <c r="A1824" s="15"/>
      <c r="B1824" s="15"/>
      <c r="C1824" s="15"/>
      <c r="D1824" s="15"/>
      <c r="E1824" s="15"/>
      <c r="F1824" s="15"/>
      <c r="G1824" s="15"/>
      <c r="H1824" s="15"/>
      <c r="I1824" s="15"/>
      <c r="J1824" s="15"/>
      <c r="K1824" s="15"/>
      <c r="L1824" s="15"/>
      <c r="M1824" s="15"/>
      <c r="N1824" s="15"/>
      <c r="O1824" s="15"/>
      <c r="P1824" s="15"/>
    </row>
    <row r="1825" spans="1:16" x14ac:dyDescent="0.25">
      <c r="A1825" s="15"/>
      <c r="B1825" s="15"/>
      <c r="C1825" s="15"/>
      <c r="D1825" s="15"/>
      <c r="E1825" s="15"/>
      <c r="F1825" s="15"/>
      <c r="G1825" s="15"/>
      <c r="H1825" s="15"/>
      <c r="I1825" s="15"/>
      <c r="J1825" s="15"/>
      <c r="K1825" s="15"/>
      <c r="L1825" s="15"/>
      <c r="M1825" s="15"/>
      <c r="N1825" s="15"/>
      <c r="O1825" s="15"/>
      <c r="P1825" s="15"/>
    </row>
    <row r="1826" spans="1:16" x14ac:dyDescent="0.25">
      <c r="A1826" s="15"/>
      <c r="B1826" s="15"/>
      <c r="C1826" s="15"/>
      <c r="D1826" s="15"/>
      <c r="E1826" s="15"/>
      <c r="F1826" s="15"/>
      <c r="G1826" s="15"/>
      <c r="H1826" s="15"/>
      <c r="I1826" s="15"/>
      <c r="J1826" s="15"/>
      <c r="K1826" s="15"/>
      <c r="L1826" s="15"/>
      <c r="M1826" s="15"/>
      <c r="N1826" s="15"/>
      <c r="O1826" s="15"/>
      <c r="P1826" s="15"/>
    </row>
    <row r="1827" spans="1:16" x14ac:dyDescent="0.25">
      <c r="A1827" s="15"/>
      <c r="B1827" s="15"/>
      <c r="C1827" s="15"/>
      <c r="D1827" s="15"/>
      <c r="E1827" s="15"/>
      <c r="F1827" s="15"/>
      <c r="G1827" s="15"/>
      <c r="H1827" s="15"/>
      <c r="I1827" s="15"/>
      <c r="J1827" s="15"/>
      <c r="K1827" s="15"/>
      <c r="L1827" s="15"/>
      <c r="M1827" s="15"/>
      <c r="N1827" s="15"/>
      <c r="O1827" s="15"/>
      <c r="P1827" s="15"/>
    </row>
    <row r="1828" spans="1:16" x14ac:dyDescent="0.25">
      <c r="A1828" s="15"/>
      <c r="B1828" s="15"/>
      <c r="C1828" s="15"/>
      <c r="D1828" s="15"/>
      <c r="E1828" s="15"/>
      <c r="F1828" s="15"/>
      <c r="G1828" s="15"/>
      <c r="H1828" s="15"/>
      <c r="I1828" s="15"/>
      <c r="J1828" s="15"/>
      <c r="K1828" s="15"/>
      <c r="L1828" s="15"/>
      <c r="M1828" s="15"/>
      <c r="N1828" s="15"/>
      <c r="O1828" s="15"/>
      <c r="P1828" s="15"/>
    </row>
    <row r="1829" spans="1:16" x14ac:dyDescent="0.25">
      <c r="A1829" s="15"/>
      <c r="B1829" s="15"/>
      <c r="C1829" s="15"/>
      <c r="D1829" s="15"/>
      <c r="E1829" s="15"/>
      <c r="F1829" s="15"/>
      <c r="G1829" s="15"/>
      <c r="H1829" s="15"/>
      <c r="I1829" s="15"/>
      <c r="J1829" s="15"/>
      <c r="K1829" s="15"/>
      <c r="L1829" s="15"/>
      <c r="M1829" s="15"/>
      <c r="N1829" s="15"/>
      <c r="O1829" s="15"/>
      <c r="P1829" s="15"/>
    </row>
    <row r="1830" spans="1:16" x14ac:dyDescent="0.25">
      <c r="A1830" s="15"/>
      <c r="B1830" s="15"/>
      <c r="C1830" s="15"/>
      <c r="D1830" s="15"/>
      <c r="E1830" s="15"/>
      <c r="F1830" s="15"/>
      <c r="G1830" s="15"/>
      <c r="H1830" s="15"/>
      <c r="I1830" s="15"/>
      <c r="J1830" s="15"/>
      <c r="K1830" s="15"/>
      <c r="L1830" s="15"/>
      <c r="M1830" s="15"/>
      <c r="N1830" s="15"/>
      <c r="O1830" s="15"/>
      <c r="P1830" s="15"/>
    </row>
    <row r="1831" spans="1:16" x14ac:dyDescent="0.25">
      <c r="A1831" s="15"/>
      <c r="B1831" s="15"/>
      <c r="C1831" s="15"/>
      <c r="D1831" s="15"/>
      <c r="E1831" s="15"/>
      <c r="F1831" s="15"/>
      <c r="G1831" s="15"/>
      <c r="H1831" s="15"/>
      <c r="I1831" s="15"/>
      <c r="J1831" s="15"/>
      <c r="K1831" s="15"/>
      <c r="L1831" s="15"/>
      <c r="M1831" s="15"/>
      <c r="N1831" s="15"/>
      <c r="O1831" s="15"/>
      <c r="P1831" s="15"/>
    </row>
    <row r="1832" spans="1:16" x14ac:dyDescent="0.25">
      <c r="A1832" s="15"/>
      <c r="B1832" s="15"/>
      <c r="C1832" s="15"/>
      <c r="D1832" s="15"/>
      <c r="E1832" s="15"/>
      <c r="F1832" s="15"/>
      <c r="G1832" s="15"/>
      <c r="H1832" s="15"/>
      <c r="I1832" s="15"/>
      <c r="J1832" s="15"/>
      <c r="K1832" s="15"/>
      <c r="L1832" s="15"/>
      <c r="M1832" s="15"/>
      <c r="N1832" s="15"/>
      <c r="O1832" s="15"/>
      <c r="P1832" s="15"/>
    </row>
    <row r="1833" spans="1:16" x14ac:dyDescent="0.25">
      <c r="A1833" s="15"/>
      <c r="B1833" s="15"/>
      <c r="C1833" s="15"/>
      <c r="D1833" s="15"/>
      <c r="E1833" s="15"/>
      <c r="F1833" s="15"/>
      <c r="G1833" s="15"/>
      <c r="H1833" s="15"/>
      <c r="I1833" s="15"/>
      <c r="J1833" s="15"/>
      <c r="K1833" s="15"/>
      <c r="L1833" s="15"/>
      <c r="M1833" s="15"/>
      <c r="N1833" s="15"/>
      <c r="O1833" s="15"/>
      <c r="P1833" s="15"/>
    </row>
    <row r="1834" spans="1:16" x14ac:dyDescent="0.25">
      <c r="A1834" s="15"/>
      <c r="B1834" s="15"/>
      <c r="C1834" s="15"/>
      <c r="D1834" s="15"/>
      <c r="E1834" s="15"/>
      <c r="F1834" s="15"/>
      <c r="G1834" s="15"/>
      <c r="H1834" s="15"/>
      <c r="I1834" s="15"/>
      <c r="J1834" s="15"/>
      <c r="K1834" s="15"/>
      <c r="L1834" s="15"/>
      <c r="M1834" s="15"/>
      <c r="N1834" s="15"/>
      <c r="O1834" s="15"/>
      <c r="P1834" s="15"/>
    </row>
    <row r="1835" spans="1:16" x14ac:dyDescent="0.25">
      <c r="A1835" s="15"/>
      <c r="B1835" s="15"/>
      <c r="C1835" s="15"/>
      <c r="D1835" s="15"/>
      <c r="E1835" s="15"/>
      <c r="F1835" s="15"/>
      <c r="G1835" s="15"/>
      <c r="H1835" s="15"/>
      <c r="I1835" s="15"/>
      <c r="J1835" s="15"/>
      <c r="K1835" s="15"/>
      <c r="L1835" s="15"/>
      <c r="M1835" s="15"/>
      <c r="N1835" s="15"/>
      <c r="O1835" s="15"/>
      <c r="P1835" s="15"/>
    </row>
    <row r="1836" spans="1:16" x14ac:dyDescent="0.25">
      <c r="A1836" s="15"/>
      <c r="B1836" s="15"/>
      <c r="C1836" s="15"/>
      <c r="D1836" s="15"/>
      <c r="E1836" s="15"/>
      <c r="F1836" s="15"/>
      <c r="G1836" s="15"/>
      <c r="H1836" s="15"/>
      <c r="I1836" s="15"/>
      <c r="J1836" s="15"/>
      <c r="K1836" s="15"/>
      <c r="L1836" s="15"/>
      <c r="M1836" s="15"/>
      <c r="N1836" s="15"/>
      <c r="O1836" s="15"/>
      <c r="P1836" s="15"/>
    </row>
    <row r="1837" spans="1:16" x14ac:dyDescent="0.25">
      <c r="A1837" s="15"/>
      <c r="B1837" s="15"/>
      <c r="C1837" s="15"/>
      <c r="D1837" s="15"/>
      <c r="E1837" s="15"/>
      <c r="F1837" s="15"/>
      <c r="G1837" s="15"/>
      <c r="H1837" s="15"/>
      <c r="I1837" s="15"/>
      <c r="J1837" s="15"/>
      <c r="K1837" s="15"/>
      <c r="L1837" s="15"/>
      <c r="M1837" s="15"/>
      <c r="N1837" s="15"/>
      <c r="O1837" s="15"/>
      <c r="P1837" s="15"/>
    </row>
    <row r="1838" spans="1:16" x14ac:dyDescent="0.25">
      <c r="A1838" s="15"/>
      <c r="B1838" s="15"/>
      <c r="C1838" s="15"/>
      <c r="D1838" s="15"/>
      <c r="E1838" s="15"/>
      <c r="F1838" s="15"/>
      <c r="G1838" s="15"/>
      <c r="H1838" s="15"/>
      <c r="I1838" s="15"/>
      <c r="J1838" s="15"/>
      <c r="K1838" s="15"/>
      <c r="L1838" s="15"/>
      <c r="M1838" s="15"/>
      <c r="N1838" s="15"/>
      <c r="O1838" s="15"/>
      <c r="P1838" s="15"/>
    </row>
    <row r="1839" spans="1:16" x14ac:dyDescent="0.25">
      <c r="A1839" s="15"/>
      <c r="B1839" s="15"/>
      <c r="C1839" s="15"/>
      <c r="D1839" s="15"/>
      <c r="E1839" s="15"/>
      <c r="F1839" s="15"/>
      <c r="G1839" s="15"/>
      <c r="H1839" s="15"/>
      <c r="I1839" s="15"/>
      <c r="J1839" s="15"/>
      <c r="K1839" s="15"/>
      <c r="L1839" s="15"/>
      <c r="M1839" s="15"/>
      <c r="N1839" s="15"/>
      <c r="O1839" s="15"/>
      <c r="P1839" s="15"/>
    </row>
    <row r="1840" spans="1:16" x14ac:dyDescent="0.25">
      <c r="A1840" s="15"/>
      <c r="B1840" s="15"/>
      <c r="C1840" s="15"/>
      <c r="D1840" s="15"/>
      <c r="E1840" s="15"/>
      <c r="F1840" s="15"/>
      <c r="G1840" s="15"/>
      <c r="H1840" s="15"/>
      <c r="I1840" s="15"/>
      <c r="J1840" s="15"/>
      <c r="K1840" s="15"/>
      <c r="L1840" s="15"/>
      <c r="M1840" s="15"/>
      <c r="N1840" s="15"/>
      <c r="O1840" s="15"/>
      <c r="P1840" s="15"/>
    </row>
    <row r="1841" spans="1:16" x14ac:dyDescent="0.25">
      <c r="A1841" s="15"/>
      <c r="B1841" s="15"/>
      <c r="C1841" s="15"/>
      <c r="D1841" s="15"/>
      <c r="E1841" s="15"/>
      <c r="F1841" s="15"/>
      <c r="G1841" s="15"/>
      <c r="H1841" s="15"/>
      <c r="I1841" s="15"/>
      <c r="J1841" s="15"/>
      <c r="K1841" s="15"/>
      <c r="L1841" s="15"/>
      <c r="M1841" s="15"/>
      <c r="N1841" s="15"/>
      <c r="O1841" s="15"/>
      <c r="P1841" s="15"/>
    </row>
    <row r="1842" spans="1:16" x14ac:dyDescent="0.25">
      <c r="A1842" s="15"/>
      <c r="B1842" s="15"/>
      <c r="C1842" s="15"/>
      <c r="D1842" s="15"/>
      <c r="E1842" s="15"/>
      <c r="F1842" s="15"/>
      <c r="G1842" s="15"/>
      <c r="H1842" s="15"/>
      <c r="I1842" s="15"/>
      <c r="J1842" s="15"/>
      <c r="K1842" s="15"/>
      <c r="L1842" s="15"/>
      <c r="M1842" s="15"/>
      <c r="N1842" s="15"/>
      <c r="O1842" s="15"/>
      <c r="P1842" s="15"/>
    </row>
    <row r="1843" spans="1:16" x14ac:dyDescent="0.25">
      <c r="A1843" s="15"/>
      <c r="B1843" s="15"/>
      <c r="C1843" s="15"/>
      <c r="D1843" s="15"/>
      <c r="E1843" s="15"/>
      <c r="F1843" s="15"/>
      <c r="G1843" s="15"/>
      <c r="H1843" s="15"/>
      <c r="I1843" s="15"/>
      <c r="J1843" s="15"/>
      <c r="K1843" s="15"/>
      <c r="L1843" s="15"/>
      <c r="M1843" s="15"/>
      <c r="N1843" s="15"/>
      <c r="O1843" s="15"/>
      <c r="P1843" s="15"/>
    </row>
    <row r="1844" spans="1:16" x14ac:dyDescent="0.25">
      <c r="A1844" s="15"/>
      <c r="B1844" s="15"/>
      <c r="C1844" s="15"/>
      <c r="D1844" s="15"/>
      <c r="E1844" s="15"/>
      <c r="F1844" s="15"/>
      <c r="G1844" s="15"/>
      <c r="H1844" s="15"/>
      <c r="I1844" s="15"/>
      <c r="J1844" s="15"/>
      <c r="K1844" s="15"/>
      <c r="L1844" s="15"/>
      <c r="M1844" s="15"/>
      <c r="N1844" s="15"/>
      <c r="O1844" s="15"/>
      <c r="P1844" s="15"/>
    </row>
    <row r="1845" spans="1:16" x14ac:dyDescent="0.25">
      <c r="A1845" s="15"/>
      <c r="B1845" s="15"/>
      <c r="C1845" s="15"/>
      <c r="D1845" s="15"/>
      <c r="E1845" s="15"/>
      <c r="F1845" s="15"/>
      <c r="G1845" s="15"/>
      <c r="H1845" s="15"/>
      <c r="I1845" s="15"/>
      <c r="J1845" s="15"/>
      <c r="K1845" s="15"/>
      <c r="L1845" s="15"/>
      <c r="M1845" s="15"/>
      <c r="N1845" s="15"/>
      <c r="O1845" s="15"/>
      <c r="P1845" s="15"/>
    </row>
    <row r="1846" spans="1:16" x14ac:dyDescent="0.25">
      <c r="A1846" s="15"/>
      <c r="B1846" s="15"/>
      <c r="C1846" s="15"/>
      <c r="D1846" s="15"/>
      <c r="E1846" s="15"/>
      <c r="F1846" s="15"/>
      <c r="G1846" s="15"/>
      <c r="H1846" s="15"/>
      <c r="I1846" s="15"/>
      <c r="J1846" s="15"/>
      <c r="K1846" s="15"/>
      <c r="L1846" s="15"/>
      <c r="M1846" s="15"/>
      <c r="N1846" s="15"/>
      <c r="O1846" s="15"/>
      <c r="P1846" s="15"/>
    </row>
    <row r="1847" spans="1:16" x14ac:dyDescent="0.25">
      <c r="A1847" s="15"/>
      <c r="B1847" s="15"/>
      <c r="C1847" s="15"/>
      <c r="D1847" s="15"/>
      <c r="E1847" s="15"/>
      <c r="F1847" s="15"/>
      <c r="G1847" s="15"/>
      <c r="H1847" s="15"/>
      <c r="I1847" s="15"/>
      <c r="J1847" s="15"/>
      <c r="K1847" s="15"/>
      <c r="L1847" s="15"/>
      <c r="M1847" s="15"/>
      <c r="N1847" s="15"/>
      <c r="O1847" s="15"/>
      <c r="P1847" s="15"/>
    </row>
    <row r="1848" spans="1:16" x14ac:dyDescent="0.25">
      <c r="A1848" s="15"/>
      <c r="B1848" s="15"/>
      <c r="C1848" s="15"/>
      <c r="D1848" s="15"/>
      <c r="E1848" s="15"/>
      <c r="F1848" s="15"/>
      <c r="G1848" s="15"/>
      <c r="H1848" s="15"/>
      <c r="I1848" s="15"/>
      <c r="J1848" s="15"/>
      <c r="K1848" s="15"/>
      <c r="L1848" s="15"/>
      <c r="M1848" s="15"/>
      <c r="N1848" s="15"/>
      <c r="O1848" s="15"/>
      <c r="P1848" s="15"/>
    </row>
    <row r="1849" spans="1:16" x14ac:dyDescent="0.25">
      <c r="A1849" s="15"/>
      <c r="B1849" s="15"/>
      <c r="C1849" s="15"/>
      <c r="D1849" s="15"/>
      <c r="E1849" s="15"/>
      <c r="F1849" s="15"/>
      <c r="G1849" s="15"/>
      <c r="H1849" s="15"/>
      <c r="I1849" s="15"/>
      <c r="J1849" s="15"/>
      <c r="K1849" s="15"/>
      <c r="L1849" s="15"/>
      <c r="M1849" s="15"/>
      <c r="N1849" s="15"/>
      <c r="O1849" s="15"/>
      <c r="P1849" s="15"/>
    </row>
    <row r="1850" spans="1:16" x14ac:dyDescent="0.25">
      <c r="A1850" s="15"/>
      <c r="B1850" s="15"/>
      <c r="C1850" s="15"/>
      <c r="D1850" s="15"/>
      <c r="E1850" s="15"/>
      <c r="F1850" s="15"/>
      <c r="G1850" s="15"/>
      <c r="H1850" s="15"/>
      <c r="I1850" s="15"/>
      <c r="J1850" s="15"/>
      <c r="K1850" s="15"/>
      <c r="L1850" s="15"/>
      <c r="M1850" s="15"/>
      <c r="N1850" s="15"/>
      <c r="O1850" s="15"/>
      <c r="P1850" s="15"/>
    </row>
    <row r="1851" spans="1:16" x14ac:dyDescent="0.25">
      <c r="A1851" s="15"/>
      <c r="B1851" s="15"/>
      <c r="C1851" s="15"/>
      <c r="D1851" s="15"/>
      <c r="E1851" s="15"/>
      <c r="F1851" s="15"/>
      <c r="G1851" s="15"/>
      <c r="H1851" s="15"/>
      <c r="I1851" s="15"/>
      <c r="J1851" s="15"/>
      <c r="K1851" s="15"/>
      <c r="L1851" s="15"/>
      <c r="M1851" s="15"/>
      <c r="N1851" s="15"/>
      <c r="O1851" s="15"/>
      <c r="P1851" s="15"/>
    </row>
    <row r="1852" spans="1:16" x14ac:dyDescent="0.25">
      <c r="A1852" s="15"/>
      <c r="B1852" s="15"/>
      <c r="C1852" s="15"/>
      <c r="D1852" s="15"/>
      <c r="E1852" s="15"/>
      <c r="F1852" s="15"/>
      <c r="G1852" s="15"/>
      <c r="H1852" s="15"/>
      <c r="I1852" s="15"/>
      <c r="J1852" s="15"/>
      <c r="K1852" s="15"/>
      <c r="L1852" s="15"/>
      <c r="M1852" s="15"/>
      <c r="N1852" s="15"/>
      <c r="O1852" s="15"/>
      <c r="P1852" s="15"/>
    </row>
    <row r="1853" spans="1:16" x14ac:dyDescent="0.25">
      <c r="A1853" s="15"/>
      <c r="B1853" s="15"/>
      <c r="C1853" s="15"/>
      <c r="D1853" s="15"/>
      <c r="E1853" s="15"/>
      <c r="F1853" s="15"/>
      <c r="G1853" s="15"/>
      <c r="H1853" s="15"/>
      <c r="I1853" s="15"/>
      <c r="J1853" s="15"/>
      <c r="K1853" s="15"/>
      <c r="L1853" s="15"/>
      <c r="M1853" s="15"/>
      <c r="N1853" s="15"/>
      <c r="O1853" s="15"/>
      <c r="P1853" s="15"/>
    </row>
    <row r="1854" spans="1:16" x14ac:dyDescent="0.25">
      <c r="A1854" s="15"/>
      <c r="B1854" s="15"/>
      <c r="C1854" s="15"/>
      <c r="D1854" s="15"/>
      <c r="E1854" s="15"/>
      <c r="F1854" s="15"/>
      <c r="G1854" s="15"/>
      <c r="H1854" s="15"/>
      <c r="I1854" s="15"/>
      <c r="J1854" s="15"/>
      <c r="K1854" s="15"/>
      <c r="L1854" s="15"/>
      <c r="M1854" s="15"/>
      <c r="N1854" s="15"/>
      <c r="O1854" s="15"/>
      <c r="P1854" s="15"/>
    </row>
    <row r="1855" spans="1:16" x14ac:dyDescent="0.25">
      <c r="A1855" s="15"/>
      <c r="B1855" s="15"/>
      <c r="C1855" s="15"/>
      <c r="D1855" s="15"/>
      <c r="E1855" s="15"/>
      <c r="F1855" s="15"/>
      <c r="G1855" s="15"/>
      <c r="H1855" s="15"/>
      <c r="I1855" s="15"/>
      <c r="J1855" s="15"/>
      <c r="K1855" s="15"/>
      <c r="L1855" s="15"/>
      <c r="M1855" s="15"/>
      <c r="N1855" s="15"/>
      <c r="O1855" s="15"/>
      <c r="P1855" s="15"/>
    </row>
    <row r="1856" spans="1:16" x14ac:dyDescent="0.25">
      <c r="A1856" s="15"/>
      <c r="B1856" s="15"/>
      <c r="C1856" s="15"/>
      <c r="D1856" s="15"/>
      <c r="E1856" s="15"/>
      <c r="F1856" s="15"/>
      <c r="G1856" s="15"/>
      <c r="H1856" s="15"/>
      <c r="I1856" s="15"/>
      <c r="J1856" s="15"/>
      <c r="K1856" s="15"/>
      <c r="L1856" s="15"/>
      <c r="M1856" s="15"/>
      <c r="N1856" s="15"/>
      <c r="O1856" s="15"/>
      <c r="P1856" s="15"/>
    </row>
    <row r="1857" spans="1:16" x14ac:dyDescent="0.25">
      <c r="A1857" s="15"/>
      <c r="B1857" s="15"/>
      <c r="C1857" s="15"/>
      <c r="D1857" s="15"/>
      <c r="E1857" s="15"/>
      <c r="F1857" s="15"/>
      <c r="G1857" s="15"/>
      <c r="H1857" s="15"/>
      <c r="I1857" s="15"/>
      <c r="J1857" s="15"/>
      <c r="K1857" s="15"/>
      <c r="L1857" s="15"/>
      <c r="M1857" s="15"/>
      <c r="N1857" s="15"/>
      <c r="O1857" s="15"/>
      <c r="P1857" s="15"/>
    </row>
    <row r="1858" spans="1:16" x14ac:dyDescent="0.25">
      <c r="A1858" s="15"/>
      <c r="B1858" s="15"/>
      <c r="C1858" s="15"/>
      <c r="D1858" s="15"/>
      <c r="E1858" s="15"/>
      <c r="F1858" s="15"/>
      <c r="G1858" s="15"/>
      <c r="H1858" s="15"/>
      <c r="I1858" s="15"/>
      <c r="J1858" s="15"/>
      <c r="K1858" s="15"/>
      <c r="L1858" s="15"/>
      <c r="M1858" s="15"/>
      <c r="N1858" s="15"/>
      <c r="O1858" s="15"/>
      <c r="P1858" s="15"/>
    </row>
    <row r="1859" spans="1:16" x14ac:dyDescent="0.25">
      <c r="A1859" s="15"/>
      <c r="B1859" s="15"/>
      <c r="C1859" s="15"/>
      <c r="D1859" s="15"/>
      <c r="E1859" s="15"/>
      <c r="F1859" s="15"/>
      <c r="G1859" s="15"/>
      <c r="H1859" s="15"/>
      <c r="I1859" s="15"/>
      <c r="J1859" s="15"/>
      <c r="K1859" s="15"/>
      <c r="L1859" s="15"/>
      <c r="M1859" s="15"/>
      <c r="N1859" s="15"/>
      <c r="O1859" s="15"/>
      <c r="P1859" s="15"/>
    </row>
    <row r="1860" spans="1:16" x14ac:dyDescent="0.25">
      <c r="A1860" s="15"/>
      <c r="B1860" s="15"/>
      <c r="C1860" s="15"/>
      <c r="D1860" s="15"/>
      <c r="E1860" s="15"/>
      <c r="F1860" s="15"/>
      <c r="G1860" s="15"/>
      <c r="H1860" s="15"/>
      <c r="I1860" s="15"/>
      <c r="J1860" s="15"/>
      <c r="K1860" s="15"/>
      <c r="L1860" s="15"/>
      <c r="M1860" s="15"/>
      <c r="N1860" s="15"/>
      <c r="O1860" s="15"/>
      <c r="P1860" s="15"/>
    </row>
    <row r="1861" spans="1:16" x14ac:dyDescent="0.25">
      <c r="A1861" s="15"/>
      <c r="B1861" s="15"/>
      <c r="C1861" s="15"/>
      <c r="D1861" s="15"/>
      <c r="E1861" s="15"/>
      <c r="F1861" s="15"/>
      <c r="G1861" s="15"/>
      <c r="H1861" s="15"/>
      <c r="I1861" s="15"/>
      <c r="J1861" s="15"/>
      <c r="K1861" s="15"/>
      <c r="L1861" s="15"/>
      <c r="M1861" s="15"/>
      <c r="N1861" s="15"/>
      <c r="O1861" s="15"/>
      <c r="P1861" s="15"/>
    </row>
    <row r="1862" spans="1:16" x14ac:dyDescent="0.25">
      <c r="A1862" s="15"/>
      <c r="B1862" s="15"/>
      <c r="C1862" s="15"/>
      <c r="D1862" s="15"/>
      <c r="E1862" s="15"/>
      <c r="F1862" s="15"/>
      <c r="G1862" s="15"/>
      <c r="H1862" s="15"/>
      <c r="I1862" s="15"/>
      <c r="J1862" s="15"/>
      <c r="K1862" s="15"/>
      <c r="L1862" s="15"/>
      <c r="M1862" s="15"/>
      <c r="N1862" s="15"/>
      <c r="O1862" s="15"/>
      <c r="P1862" s="15"/>
    </row>
    <row r="1863" spans="1:16" x14ac:dyDescent="0.25">
      <c r="A1863" s="15"/>
      <c r="B1863" s="15"/>
      <c r="C1863" s="15"/>
      <c r="D1863" s="15"/>
      <c r="E1863" s="15"/>
      <c r="F1863" s="15"/>
      <c r="G1863" s="15"/>
      <c r="H1863" s="15"/>
      <c r="I1863" s="15"/>
      <c r="J1863" s="15"/>
      <c r="K1863" s="15"/>
      <c r="L1863" s="15"/>
      <c r="M1863" s="15"/>
      <c r="N1863" s="15"/>
      <c r="O1863" s="15"/>
      <c r="P1863" s="15"/>
    </row>
    <row r="1864" spans="1:16" x14ac:dyDescent="0.25">
      <c r="A1864" s="15"/>
      <c r="B1864" s="15"/>
      <c r="C1864" s="15"/>
      <c r="D1864" s="15"/>
      <c r="E1864" s="15"/>
      <c r="F1864" s="15"/>
      <c r="G1864" s="15"/>
      <c r="H1864" s="15"/>
      <c r="I1864" s="15"/>
      <c r="J1864" s="15"/>
      <c r="K1864" s="15"/>
      <c r="L1864" s="15"/>
      <c r="M1864" s="15"/>
      <c r="N1864" s="15"/>
      <c r="O1864" s="15"/>
      <c r="P1864" s="15"/>
    </row>
    <row r="1865" spans="1:16" x14ac:dyDescent="0.25">
      <c r="A1865" s="15"/>
      <c r="B1865" s="15"/>
      <c r="C1865" s="15"/>
      <c r="D1865" s="15"/>
      <c r="E1865" s="15"/>
      <c r="F1865" s="15"/>
      <c r="G1865" s="15"/>
      <c r="H1865" s="15"/>
      <c r="I1865" s="15"/>
      <c r="J1865" s="15"/>
      <c r="K1865" s="15"/>
      <c r="L1865" s="15"/>
      <c r="M1865" s="15"/>
      <c r="N1865" s="15"/>
      <c r="O1865" s="15"/>
      <c r="P1865" s="15"/>
    </row>
    <row r="1866" spans="1:16" x14ac:dyDescent="0.25">
      <c r="A1866" s="15"/>
      <c r="B1866" s="15"/>
      <c r="C1866" s="15"/>
      <c r="D1866" s="15"/>
      <c r="E1866" s="15"/>
      <c r="F1866" s="15"/>
      <c r="G1866" s="15"/>
      <c r="H1866" s="15"/>
      <c r="I1866" s="15"/>
      <c r="J1866" s="15"/>
      <c r="K1866" s="15"/>
      <c r="L1866" s="15"/>
      <c r="M1866" s="15"/>
      <c r="N1866" s="15"/>
      <c r="O1866" s="15"/>
      <c r="P1866" s="15"/>
    </row>
    <row r="1867" spans="1:16" x14ac:dyDescent="0.25">
      <c r="A1867" s="15"/>
      <c r="B1867" s="15"/>
      <c r="C1867" s="15"/>
      <c r="D1867" s="15"/>
      <c r="E1867" s="15"/>
      <c r="F1867" s="15"/>
      <c r="G1867" s="15"/>
      <c r="H1867" s="15"/>
      <c r="I1867" s="15"/>
      <c r="J1867" s="15"/>
      <c r="K1867" s="15"/>
      <c r="L1867" s="15"/>
      <c r="M1867" s="15"/>
      <c r="N1867" s="15"/>
      <c r="O1867" s="15"/>
      <c r="P1867" s="15"/>
    </row>
    <row r="1868" spans="1:16" x14ac:dyDescent="0.25">
      <c r="A1868" s="15"/>
      <c r="B1868" s="15"/>
      <c r="C1868" s="15"/>
      <c r="D1868" s="15"/>
      <c r="E1868" s="15"/>
      <c r="F1868" s="15"/>
      <c r="G1868" s="15"/>
      <c r="H1868" s="15"/>
      <c r="I1868" s="15"/>
      <c r="J1868" s="15"/>
      <c r="K1868" s="15"/>
      <c r="L1868" s="15"/>
      <c r="M1868" s="15"/>
      <c r="N1868" s="15"/>
      <c r="O1868" s="15"/>
      <c r="P1868" s="15"/>
    </row>
    <row r="1869" spans="1:16" x14ac:dyDescent="0.25">
      <c r="A1869" s="15"/>
      <c r="B1869" s="15"/>
      <c r="C1869" s="15"/>
      <c r="D1869" s="15"/>
      <c r="E1869" s="15"/>
      <c r="F1869" s="15"/>
      <c r="G1869" s="15"/>
      <c r="H1869" s="15"/>
      <c r="I1869" s="15"/>
      <c r="J1869" s="15"/>
      <c r="K1869" s="15"/>
      <c r="L1869" s="15"/>
      <c r="M1869" s="15"/>
      <c r="N1869" s="15"/>
      <c r="O1869" s="15"/>
      <c r="P1869" s="15"/>
    </row>
    <row r="1870" spans="1:16" x14ac:dyDescent="0.25">
      <c r="A1870" s="15"/>
      <c r="B1870" s="15"/>
      <c r="C1870" s="15"/>
      <c r="D1870" s="15"/>
      <c r="E1870" s="15"/>
      <c r="F1870" s="15"/>
      <c r="G1870" s="15"/>
      <c r="H1870" s="15"/>
      <c r="I1870" s="15"/>
      <c r="J1870" s="15"/>
      <c r="K1870" s="15"/>
      <c r="L1870" s="15"/>
      <c r="M1870" s="15"/>
      <c r="N1870" s="15"/>
      <c r="O1870" s="15"/>
      <c r="P1870" s="15"/>
    </row>
    <row r="1871" spans="1:16" x14ac:dyDescent="0.25">
      <c r="A1871" s="15"/>
      <c r="B1871" s="15"/>
      <c r="C1871" s="15"/>
      <c r="D1871" s="15"/>
      <c r="E1871" s="15"/>
      <c r="F1871" s="15"/>
      <c r="G1871" s="15"/>
      <c r="H1871" s="15"/>
      <c r="I1871" s="15"/>
      <c r="J1871" s="15"/>
      <c r="K1871" s="15"/>
      <c r="L1871" s="15"/>
      <c r="M1871" s="15"/>
      <c r="N1871" s="15"/>
      <c r="O1871" s="15"/>
      <c r="P1871" s="15"/>
    </row>
    <row r="1872" spans="1:16" x14ac:dyDescent="0.25">
      <c r="A1872" s="15"/>
      <c r="B1872" s="15"/>
      <c r="C1872" s="15"/>
      <c r="D1872" s="15"/>
      <c r="E1872" s="15"/>
      <c r="F1872" s="15"/>
      <c r="G1872" s="15"/>
      <c r="H1872" s="15"/>
      <c r="I1872" s="15"/>
      <c r="J1872" s="15"/>
      <c r="K1872" s="15"/>
      <c r="L1872" s="15"/>
      <c r="M1872" s="15"/>
      <c r="N1872" s="15"/>
      <c r="O1872" s="15"/>
      <c r="P1872" s="15"/>
    </row>
    <row r="1873" spans="1:16" x14ac:dyDescent="0.25">
      <c r="A1873" s="15"/>
      <c r="B1873" s="15"/>
      <c r="C1873" s="15"/>
      <c r="D1873" s="15"/>
      <c r="E1873" s="15"/>
      <c r="F1873" s="15"/>
      <c r="G1873" s="15"/>
      <c r="H1873" s="15"/>
      <c r="I1873" s="15"/>
      <c r="J1873" s="15"/>
      <c r="K1873" s="15"/>
      <c r="L1873" s="15"/>
      <c r="M1873" s="15"/>
      <c r="N1873" s="15"/>
      <c r="O1873" s="15"/>
      <c r="P1873" s="15"/>
    </row>
    <row r="1874" spans="1:16" x14ac:dyDescent="0.25">
      <c r="A1874" s="15"/>
      <c r="B1874" s="15"/>
      <c r="C1874" s="15"/>
      <c r="D1874" s="15"/>
      <c r="E1874" s="15"/>
      <c r="F1874" s="15"/>
      <c r="G1874" s="15"/>
      <c r="H1874" s="15"/>
      <c r="I1874" s="15"/>
      <c r="J1874" s="15"/>
      <c r="K1874" s="15"/>
      <c r="L1874" s="15"/>
      <c r="M1874" s="15"/>
      <c r="N1874" s="15"/>
      <c r="O1874" s="15"/>
      <c r="P1874" s="15"/>
    </row>
    <row r="1875" spans="1:16" x14ac:dyDescent="0.25">
      <c r="A1875" s="15"/>
      <c r="B1875" s="15"/>
      <c r="C1875" s="15"/>
      <c r="D1875" s="15"/>
      <c r="E1875" s="15"/>
      <c r="F1875" s="15"/>
      <c r="G1875" s="15"/>
      <c r="H1875" s="15"/>
      <c r="I1875" s="15"/>
      <c r="J1875" s="15"/>
      <c r="K1875" s="15"/>
      <c r="L1875" s="15"/>
      <c r="M1875" s="15"/>
      <c r="N1875" s="15"/>
      <c r="O1875" s="15"/>
      <c r="P1875" s="15"/>
    </row>
    <row r="1876" spans="1:16" x14ac:dyDescent="0.25">
      <c r="A1876" s="15"/>
      <c r="B1876" s="15"/>
      <c r="C1876" s="15"/>
      <c r="D1876" s="15"/>
      <c r="E1876" s="15"/>
      <c r="F1876" s="15"/>
      <c r="G1876" s="15"/>
      <c r="H1876" s="15"/>
      <c r="I1876" s="15"/>
      <c r="J1876" s="15"/>
      <c r="K1876" s="15"/>
      <c r="L1876" s="15"/>
      <c r="M1876" s="15"/>
      <c r="N1876" s="15"/>
      <c r="O1876" s="15"/>
      <c r="P1876" s="15"/>
    </row>
    <row r="1877" spans="1:16" x14ac:dyDescent="0.25">
      <c r="A1877" s="15"/>
      <c r="B1877" s="15"/>
      <c r="C1877" s="15"/>
      <c r="D1877" s="15"/>
      <c r="E1877" s="15"/>
      <c r="F1877" s="15"/>
      <c r="G1877" s="15"/>
      <c r="H1877" s="15"/>
      <c r="I1877" s="15"/>
      <c r="J1877" s="15"/>
      <c r="K1877" s="15"/>
      <c r="L1877" s="15"/>
      <c r="M1877" s="15"/>
      <c r="N1877" s="15"/>
      <c r="O1877" s="15"/>
      <c r="P1877" s="15"/>
    </row>
    <row r="1878" spans="1:16" x14ac:dyDescent="0.25">
      <c r="A1878" s="15"/>
      <c r="B1878" s="15"/>
      <c r="C1878" s="15"/>
      <c r="D1878" s="15"/>
      <c r="E1878" s="15"/>
      <c r="F1878" s="15"/>
      <c r="G1878" s="15"/>
      <c r="H1878" s="15"/>
      <c r="I1878" s="15"/>
      <c r="J1878" s="15"/>
      <c r="K1878" s="15"/>
      <c r="L1878" s="15"/>
      <c r="M1878" s="15"/>
      <c r="N1878" s="15"/>
      <c r="O1878" s="15"/>
      <c r="P1878" s="15"/>
    </row>
    <row r="1879" spans="1:16" x14ac:dyDescent="0.25">
      <c r="A1879" s="15"/>
      <c r="B1879" s="15"/>
      <c r="C1879" s="15"/>
      <c r="D1879" s="15"/>
      <c r="E1879" s="15"/>
      <c r="F1879" s="15"/>
      <c r="G1879" s="15"/>
      <c r="H1879" s="15"/>
      <c r="I1879" s="15"/>
      <c r="J1879" s="15"/>
      <c r="K1879" s="15"/>
      <c r="L1879" s="15"/>
      <c r="M1879" s="15"/>
      <c r="N1879" s="15"/>
      <c r="O1879" s="15"/>
      <c r="P1879" s="15"/>
    </row>
    <row r="1880" spans="1:16" x14ac:dyDescent="0.25">
      <c r="A1880" s="15"/>
      <c r="B1880" s="15"/>
      <c r="C1880" s="15"/>
      <c r="D1880" s="15"/>
      <c r="E1880" s="15"/>
      <c r="F1880" s="15"/>
      <c r="G1880" s="15"/>
      <c r="H1880" s="15"/>
      <c r="I1880" s="15"/>
      <c r="J1880" s="15"/>
      <c r="K1880" s="15"/>
      <c r="L1880" s="15"/>
      <c r="M1880" s="15"/>
      <c r="N1880" s="15"/>
      <c r="O1880" s="15"/>
      <c r="P1880" s="15"/>
    </row>
    <row r="1881" spans="1:16" x14ac:dyDescent="0.25">
      <c r="A1881" s="15"/>
      <c r="B1881" s="15"/>
      <c r="C1881" s="15"/>
      <c r="D1881" s="15"/>
      <c r="E1881" s="15"/>
      <c r="F1881" s="15"/>
      <c r="G1881" s="15"/>
      <c r="H1881" s="15"/>
      <c r="I1881" s="15"/>
      <c r="J1881" s="15"/>
      <c r="K1881" s="15"/>
      <c r="L1881" s="15"/>
      <c r="M1881" s="15"/>
      <c r="N1881" s="15"/>
      <c r="O1881" s="15"/>
      <c r="P1881" s="15"/>
    </row>
    <row r="1882" spans="1:16" x14ac:dyDescent="0.25">
      <c r="A1882" s="15"/>
      <c r="B1882" s="15"/>
      <c r="C1882" s="15"/>
      <c r="D1882" s="15"/>
      <c r="E1882" s="15"/>
      <c r="F1882" s="15"/>
      <c r="G1882" s="15"/>
      <c r="H1882" s="15"/>
      <c r="I1882" s="15"/>
      <c r="J1882" s="15"/>
      <c r="K1882" s="15"/>
      <c r="L1882" s="15"/>
      <c r="M1882" s="15"/>
      <c r="N1882" s="15"/>
      <c r="O1882" s="15"/>
      <c r="P1882" s="15"/>
    </row>
    <row r="1883" spans="1:16" x14ac:dyDescent="0.25">
      <c r="A1883" s="15"/>
      <c r="B1883" s="15"/>
      <c r="C1883" s="15"/>
      <c r="D1883" s="15"/>
      <c r="E1883" s="15"/>
      <c r="F1883" s="15"/>
      <c r="G1883" s="15"/>
      <c r="H1883" s="15"/>
      <c r="I1883" s="15"/>
      <c r="J1883" s="15"/>
      <c r="K1883" s="15"/>
      <c r="L1883" s="15"/>
      <c r="M1883" s="15"/>
      <c r="N1883" s="15"/>
      <c r="O1883" s="15"/>
      <c r="P1883" s="15"/>
    </row>
    <row r="1884" spans="1:16" x14ac:dyDescent="0.25">
      <c r="A1884" s="15"/>
      <c r="B1884" s="15"/>
      <c r="C1884" s="15"/>
      <c r="D1884" s="15"/>
      <c r="E1884" s="15"/>
      <c r="F1884" s="15"/>
      <c r="G1884" s="15"/>
      <c r="H1884" s="15"/>
      <c r="I1884" s="15"/>
      <c r="J1884" s="15"/>
      <c r="K1884" s="15"/>
      <c r="L1884" s="15"/>
      <c r="M1884" s="15"/>
      <c r="N1884" s="15"/>
      <c r="O1884" s="15"/>
      <c r="P1884" s="15"/>
    </row>
    <row r="1885" spans="1:16" x14ac:dyDescent="0.25">
      <c r="A1885" s="15"/>
      <c r="B1885" s="15"/>
      <c r="C1885" s="15"/>
      <c r="D1885" s="15"/>
      <c r="E1885" s="15"/>
      <c r="F1885" s="15"/>
      <c r="G1885" s="15"/>
      <c r="H1885" s="15"/>
      <c r="I1885" s="15"/>
      <c r="J1885" s="15"/>
      <c r="K1885" s="15"/>
      <c r="L1885" s="15"/>
      <c r="M1885" s="15"/>
      <c r="N1885" s="15"/>
      <c r="O1885" s="15"/>
      <c r="P1885" s="15"/>
    </row>
    <row r="1886" spans="1:16" x14ac:dyDescent="0.25">
      <c r="A1886" s="15"/>
      <c r="B1886" s="15"/>
      <c r="C1886" s="15"/>
      <c r="D1886" s="15"/>
      <c r="E1886" s="15"/>
      <c r="F1886" s="15"/>
      <c r="G1886" s="15"/>
      <c r="H1886" s="15"/>
      <c r="I1886" s="15"/>
      <c r="J1886" s="15"/>
      <c r="K1886" s="15"/>
      <c r="L1886" s="15"/>
      <c r="M1886" s="15"/>
      <c r="N1886" s="15"/>
      <c r="O1886" s="15"/>
      <c r="P1886" s="15"/>
    </row>
    <row r="1887" spans="1:16" x14ac:dyDescent="0.25">
      <c r="A1887" s="15"/>
      <c r="B1887" s="15"/>
      <c r="C1887" s="15"/>
      <c r="D1887" s="15"/>
      <c r="E1887" s="15"/>
      <c r="F1887" s="15"/>
      <c r="G1887" s="15"/>
      <c r="H1887" s="15"/>
      <c r="I1887" s="15"/>
      <c r="J1887" s="15"/>
      <c r="K1887" s="15"/>
      <c r="L1887" s="15"/>
      <c r="M1887" s="15"/>
      <c r="N1887" s="15"/>
      <c r="O1887" s="15"/>
      <c r="P1887" s="15"/>
    </row>
    <row r="1888" spans="1:16" x14ac:dyDescent="0.25">
      <c r="A1888" s="15"/>
      <c r="B1888" s="15"/>
      <c r="C1888" s="15"/>
      <c r="D1888" s="15"/>
      <c r="E1888" s="15"/>
      <c r="F1888" s="15"/>
      <c r="G1888" s="15"/>
      <c r="H1888" s="15"/>
      <c r="I1888" s="15"/>
      <c r="J1888" s="15"/>
      <c r="K1888" s="15"/>
      <c r="L1888" s="15"/>
      <c r="M1888" s="15"/>
      <c r="N1888" s="15"/>
      <c r="O1888" s="15"/>
      <c r="P1888" s="15"/>
    </row>
    <row r="1889" spans="1:16" x14ac:dyDescent="0.25">
      <c r="A1889" s="15"/>
      <c r="B1889" s="15"/>
      <c r="C1889" s="15"/>
      <c r="D1889" s="15"/>
      <c r="E1889" s="15"/>
      <c r="F1889" s="15"/>
      <c r="G1889" s="15"/>
      <c r="H1889" s="15"/>
      <c r="I1889" s="15"/>
      <c r="J1889" s="15"/>
      <c r="K1889" s="15"/>
      <c r="L1889" s="15"/>
      <c r="M1889" s="15"/>
      <c r="N1889" s="15"/>
      <c r="O1889" s="15"/>
      <c r="P1889" s="15"/>
    </row>
    <row r="1890" spans="1:16" x14ac:dyDescent="0.25">
      <c r="A1890" s="15"/>
      <c r="B1890" s="15"/>
      <c r="C1890" s="15"/>
      <c r="D1890" s="15"/>
      <c r="E1890" s="15"/>
      <c r="F1890" s="15"/>
      <c r="G1890" s="15"/>
      <c r="H1890" s="15"/>
      <c r="I1890" s="15"/>
      <c r="J1890" s="15"/>
      <c r="K1890" s="15"/>
      <c r="L1890" s="15"/>
      <c r="M1890" s="15"/>
      <c r="N1890" s="15"/>
      <c r="O1890" s="15"/>
      <c r="P1890" s="15"/>
    </row>
    <row r="1891" spans="1:16" x14ac:dyDescent="0.25">
      <c r="A1891" s="15"/>
      <c r="B1891" s="15"/>
      <c r="C1891" s="15"/>
      <c r="D1891" s="15"/>
      <c r="E1891" s="15"/>
      <c r="F1891" s="15"/>
      <c r="G1891" s="15"/>
      <c r="H1891" s="15"/>
      <c r="I1891" s="15"/>
      <c r="J1891" s="15"/>
      <c r="K1891" s="15"/>
      <c r="L1891" s="15"/>
      <c r="M1891" s="15"/>
      <c r="N1891" s="15"/>
      <c r="O1891" s="15"/>
      <c r="P1891" s="15"/>
    </row>
    <row r="1892" spans="1:16" x14ac:dyDescent="0.25">
      <c r="A1892" s="15"/>
      <c r="B1892" s="15"/>
      <c r="C1892" s="15"/>
      <c r="D1892" s="15"/>
      <c r="E1892" s="15"/>
      <c r="F1892" s="15"/>
      <c r="G1892" s="15"/>
      <c r="H1892" s="15"/>
      <c r="I1892" s="15"/>
      <c r="J1892" s="15"/>
      <c r="K1892" s="15"/>
      <c r="L1892" s="15"/>
      <c r="M1892" s="15"/>
      <c r="N1892" s="15"/>
      <c r="O1892" s="15"/>
      <c r="P1892" s="15"/>
    </row>
    <row r="1893" spans="1:16" x14ac:dyDescent="0.25">
      <c r="A1893" s="15"/>
      <c r="B1893" s="15"/>
      <c r="C1893" s="15"/>
      <c r="D1893" s="15"/>
      <c r="E1893" s="15"/>
      <c r="F1893" s="15"/>
      <c r="G1893" s="15"/>
      <c r="H1893" s="15"/>
      <c r="I1893" s="15"/>
      <c r="J1893" s="15"/>
      <c r="K1893" s="15"/>
      <c r="L1893" s="15"/>
      <c r="M1893" s="15"/>
      <c r="N1893" s="15"/>
      <c r="O1893" s="15"/>
      <c r="P1893" s="15"/>
    </row>
    <row r="1894" spans="1:16" x14ac:dyDescent="0.25">
      <c r="A1894" s="15"/>
      <c r="B1894" s="15"/>
      <c r="C1894" s="15"/>
      <c r="D1894" s="15"/>
      <c r="E1894" s="15"/>
      <c r="F1894" s="15"/>
      <c r="G1894" s="15"/>
      <c r="H1894" s="15"/>
      <c r="I1894" s="15"/>
      <c r="J1894" s="15"/>
      <c r="K1894" s="15"/>
      <c r="L1894" s="15"/>
      <c r="M1894" s="15"/>
      <c r="N1894" s="15"/>
      <c r="O1894" s="15"/>
      <c r="P1894" s="15"/>
    </row>
    <row r="1895" spans="1:16" x14ac:dyDescent="0.25">
      <c r="A1895" s="15"/>
      <c r="B1895" s="15"/>
      <c r="C1895" s="15"/>
      <c r="D1895" s="15"/>
      <c r="E1895" s="15"/>
      <c r="F1895" s="15"/>
      <c r="G1895" s="15"/>
      <c r="H1895" s="15"/>
      <c r="I1895" s="15"/>
      <c r="J1895" s="15"/>
      <c r="K1895" s="15"/>
      <c r="L1895" s="15"/>
      <c r="M1895" s="15"/>
      <c r="N1895" s="15"/>
      <c r="O1895" s="15"/>
      <c r="P1895" s="15"/>
    </row>
    <row r="1896" spans="1:16" x14ac:dyDescent="0.25">
      <c r="A1896" s="15"/>
      <c r="B1896" s="15"/>
      <c r="C1896" s="15"/>
      <c r="D1896" s="15"/>
      <c r="E1896" s="15"/>
      <c r="F1896" s="15"/>
      <c r="G1896" s="15"/>
      <c r="H1896" s="15"/>
      <c r="I1896" s="15"/>
      <c r="J1896" s="15"/>
      <c r="K1896" s="15"/>
      <c r="L1896" s="15"/>
      <c r="M1896" s="15"/>
      <c r="N1896" s="15"/>
      <c r="O1896" s="15"/>
      <c r="P1896" s="15"/>
    </row>
    <row r="1897" spans="1:16" x14ac:dyDescent="0.25">
      <c r="A1897" s="15"/>
      <c r="B1897" s="15"/>
      <c r="C1897" s="15"/>
      <c r="D1897" s="15"/>
      <c r="E1897" s="15"/>
      <c r="F1897" s="15"/>
      <c r="G1897" s="15"/>
      <c r="H1897" s="15"/>
      <c r="I1897" s="15"/>
      <c r="J1897" s="15"/>
      <c r="K1897" s="15"/>
      <c r="L1897" s="15"/>
      <c r="M1897" s="15"/>
      <c r="N1897" s="15"/>
      <c r="O1897" s="15"/>
      <c r="P1897" s="15"/>
    </row>
    <row r="1898" spans="1:16" x14ac:dyDescent="0.25">
      <c r="A1898" s="15"/>
      <c r="B1898" s="15"/>
      <c r="C1898" s="15"/>
      <c r="D1898" s="15"/>
      <c r="E1898" s="15"/>
      <c r="F1898" s="15"/>
      <c r="G1898" s="15"/>
      <c r="H1898" s="15"/>
      <c r="I1898" s="15"/>
      <c r="J1898" s="15"/>
      <c r="K1898" s="15"/>
      <c r="L1898" s="15"/>
      <c r="M1898" s="15"/>
      <c r="N1898" s="15"/>
      <c r="O1898" s="15"/>
      <c r="P1898" s="15"/>
    </row>
    <row r="1899" spans="1:16" x14ac:dyDescent="0.25">
      <c r="A1899" s="15"/>
      <c r="B1899" s="15"/>
      <c r="C1899" s="15"/>
      <c r="D1899" s="15"/>
      <c r="E1899" s="15"/>
      <c r="F1899" s="15"/>
      <c r="G1899" s="15"/>
      <c r="H1899" s="15"/>
      <c r="I1899" s="15"/>
      <c r="J1899" s="15"/>
      <c r="K1899" s="15"/>
      <c r="L1899" s="15"/>
      <c r="M1899" s="15"/>
      <c r="N1899" s="15"/>
      <c r="O1899" s="15"/>
      <c r="P1899" s="15"/>
    </row>
    <row r="1900" spans="1:16" x14ac:dyDescent="0.25">
      <c r="A1900" s="15"/>
      <c r="B1900" s="15"/>
      <c r="C1900" s="15"/>
      <c r="D1900" s="15"/>
      <c r="E1900" s="15"/>
      <c r="F1900" s="15"/>
      <c r="G1900" s="15"/>
      <c r="H1900" s="15"/>
      <c r="I1900" s="15"/>
      <c r="J1900" s="15"/>
      <c r="K1900" s="15"/>
      <c r="L1900" s="15"/>
      <c r="M1900" s="15"/>
      <c r="N1900" s="15"/>
      <c r="O1900" s="15"/>
      <c r="P1900" s="15"/>
    </row>
    <row r="1901" spans="1:16" x14ac:dyDescent="0.25">
      <c r="A1901" s="15"/>
      <c r="B1901" s="15"/>
      <c r="C1901" s="15"/>
      <c r="D1901" s="15"/>
      <c r="E1901" s="15"/>
      <c r="F1901" s="15"/>
      <c r="G1901" s="15"/>
      <c r="H1901" s="15"/>
      <c r="I1901" s="15"/>
      <c r="J1901" s="15"/>
      <c r="K1901" s="15"/>
      <c r="L1901" s="15"/>
      <c r="M1901" s="15"/>
      <c r="N1901" s="15"/>
      <c r="O1901" s="15"/>
      <c r="P1901" s="15"/>
    </row>
    <row r="1902" spans="1:16" x14ac:dyDescent="0.25">
      <c r="A1902" s="15"/>
      <c r="B1902" s="15"/>
      <c r="C1902" s="15"/>
      <c r="D1902" s="15"/>
      <c r="E1902" s="15"/>
      <c r="F1902" s="15"/>
      <c r="G1902" s="15"/>
      <c r="H1902" s="15"/>
      <c r="I1902" s="15"/>
      <c r="J1902" s="15"/>
      <c r="K1902" s="15"/>
      <c r="L1902" s="15"/>
      <c r="M1902" s="15"/>
      <c r="N1902" s="15"/>
      <c r="O1902" s="15"/>
      <c r="P1902" s="15"/>
    </row>
    <row r="1903" spans="1:16" x14ac:dyDescent="0.25">
      <c r="A1903" s="15"/>
      <c r="B1903" s="15"/>
      <c r="C1903" s="15"/>
      <c r="D1903" s="15"/>
      <c r="E1903" s="15"/>
      <c r="F1903" s="15"/>
      <c r="G1903" s="15"/>
      <c r="H1903" s="15"/>
      <c r="I1903" s="15"/>
      <c r="J1903" s="15"/>
      <c r="K1903" s="15"/>
      <c r="L1903" s="15"/>
      <c r="M1903" s="15"/>
      <c r="N1903" s="15"/>
      <c r="O1903" s="15"/>
      <c r="P1903" s="15"/>
    </row>
    <row r="1904" spans="1:16" x14ac:dyDescent="0.25">
      <c r="A1904" s="15"/>
      <c r="B1904" s="15"/>
      <c r="C1904" s="15"/>
      <c r="D1904" s="15"/>
      <c r="E1904" s="15"/>
      <c r="F1904" s="15"/>
      <c r="G1904" s="15"/>
      <c r="H1904" s="15"/>
      <c r="I1904" s="15"/>
      <c r="J1904" s="15"/>
      <c r="K1904" s="15"/>
      <c r="L1904" s="15"/>
      <c r="M1904" s="15"/>
      <c r="N1904" s="15"/>
      <c r="O1904" s="15"/>
      <c r="P1904" s="15"/>
    </row>
    <row r="1905" spans="1:16" x14ac:dyDescent="0.25">
      <c r="A1905" s="15"/>
      <c r="B1905" s="15"/>
      <c r="C1905" s="15"/>
      <c r="D1905" s="15"/>
      <c r="E1905" s="15"/>
      <c r="F1905" s="15"/>
      <c r="G1905" s="15"/>
      <c r="H1905" s="15"/>
      <c r="I1905" s="15"/>
      <c r="J1905" s="15"/>
      <c r="K1905" s="15"/>
      <c r="L1905" s="15"/>
      <c r="M1905" s="15"/>
      <c r="N1905" s="15"/>
      <c r="O1905" s="15"/>
      <c r="P1905" s="15"/>
    </row>
    <row r="1906" spans="1:16" x14ac:dyDescent="0.25">
      <c r="A1906" s="15"/>
      <c r="B1906" s="15"/>
      <c r="C1906" s="15"/>
      <c r="D1906" s="15"/>
      <c r="E1906" s="15"/>
      <c r="F1906" s="15"/>
      <c r="G1906" s="15"/>
      <c r="H1906" s="15"/>
      <c r="I1906" s="15"/>
      <c r="J1906" s="15"/>
      <c r="K1906" s="15"/>
      <c r="L1906" s="15"/>
      <c r="M1906" s="15"/>
      <c r="N1906" s="15"/>
      <c r="O1906" s="15"/>
      <c r="P1906" s="15"/>
    </row>
    <row r="1907" spans="1:16" x14ac:dyDescent="0.25">
      <c r="A1907" s="15"/>
      <c r="B1907" s="15"/>
      <c r="C1907" s="15"/>
      <c r="D1907" s="15"/>
      <c r="E1907" s="15"/>
      <c r="F1907" s="15"/>
      <c r="G1907" s="15"/>
      <c r="H1907" s="15"/>
      <c r="I1907" s="15"/>
      <c r="J1907" s="15"/>
      <c r="K1907" s="15"/>
      <c r="L1907" s="15"/>
      <c r="M1907" s="15"/>
      <c r="N1907" s="15"/>
      <c r="O1907" s="15"/>
      <c r="P1907" s="15"/>
    </row>
    <row r="1908" spans="1:16" x14ac:dyDescent="0.25">
      <c r="A1908" s="15"/>
      <c r="B1908" s="15"/>
      <c r="C1908" s="15"/>
      <c r="D1908" s="15"/>
      <c r="E1908" s="15"/>
      <c r="F1908" s="15"/>
      <c r="G1908" s="15"/>
      <c r="H1908" s="15"/>
      <c r="I1908" s="15"/>
      <c r="J1908" s="15"/>
      <c r="K1908" s="15"/>
      <c r="L1908" s="15"/>
      <c r="M1908" s="15"/>
      <c r="N1908" s="15"/>
      <c r="O1908" s="15"/>
      <c r="P1908" s="15"/>
    </row>
    <row r="1909" spans="1:16" x14ac:dyDescent="0.25">
      <c r="A1909" s="15"/>
      <c r="B1909" s="15"/>
      <c r="C1909" s="15"/>
      <c r="D1909" s="15"/>
      <c r="E1909" s="15"/>
      <c r="F1909" s="15"/>
      <c r="G1909" s="15"/>
      <c r="H1909" s="15"/>
      <c r="I1909" s="15"/>
      <c r="J1909" s="15"/>
      <c r="K1909" s="15"/>
      <c r="L1909" s="15"/>
      <c r="M1909" s="15"/>
      <c r="N1909" s="15"/>
      <c r="O1909" s="15"/>
      <c r="P1909" s="15"/>
    </row>
    <row r="1910" spans="1:16" x14ac:dyDescent="0.25">
      <c r="A1910" s="15"/>
      <c r="B1910" s="15"/>
      <c r="C1910" s="15"/>
      <c r="D1910" s="15"/>
      <c r="E1910" s="15"/>
      <c r="F1910" s="15"/>
      <c r="G1910" s="15"/>
      <c r="H1910" s="15"/>
      <c r="I1910" s="15"/>
      <c r="J1910" s="15"/>
      <c r="K1910" s="15"/>
      <c r="L1910" s="15"/>
      <c r="M1910" s="15"/>
      <c r="N1910" s="15"/>
      <c r="O1910" s="15"/>
      <c r="P1910" s="15"/>
    </row>
    <row r="1911" spans="1:16" x14ac:dyDescent="0.25">
      <c r="A1911" s="15"/>
      <c r="B1911" s="15"/>
      <c r="C1911" s="15"/>
      <c r="D1911" s="15"/>
      <c r="E1911" s="15"/>
      <c r="F1911" s="15"/>
      <c r="G1911" s="15"/>
      <c r="H1911" s="15"/>
      <c r="I1911" s="15"/>
      <c r="J1911" s="15"/>
      <c r="K1911" s="15"/>
      <c r="L1911" s="15"/>
      <c r="M1911" s="15"/>
      <c r="N1911" s="15"/>
      <c r="O1911" s="15"/>
      <c r="P1911" s="15"/>
    </row>
    <row r="1912" spans="1:16" x14ac:dyDescent="0.25">
      <c r="A1912" s="15"/>
      <c r="B1912" s="15"/>
      <c r="C1912" s="15"/>
      <c r="D1912" s="15"/>
      <c r="E1912" s="15"/>
      <c r="F1912" s="15"/>
      <c r="G1912" s="15"/>
      <c r="H1912" s="15"/>
      <c r="I1912" s="15"/>
      <c r="J1912" s="15"/>
      <c r="K1912" s="15"/>
      <c r="L1912" s="15"/>
      <c r="M1912" s="15"/>
      <c r="N1912" s="15"/>
      <c r="O1912" s="15"/>
      <c r="P1912" s="15"/>
    </row>
    <row r="1913" spans="1:16" x14ac:dyDescent="0.25">
      <c r="A1913" s="15"/>
      <c r="B1913" s="15"/>
      <c r="C1913" s="15"/>
      <c r="D1913" s="15"/>
      <c r="E1913" s="15"/>
      <c r="F1913" s="15"/>
      <c r="G1913" s="15"/>
      <c r="H1913" s="15"/>
      <c r="I1913" s="15"/>
      <c r="J1913" s="15"/>
      <c r="K1913" s="15"/>
      <c r="L1913" s="15"/>
      <c r="M1913" s="15"/>
      <c r="N1913" s="15"/>
      <c r="O1913" s="15"/>
      <c r="P1913" s="15"/>
    </row>
    <row r="1914" spans="1:16" x14ac:dyDescent="0.25">
      <c r="A1914" s="15"/>
      <c r="B1914" s="15"/>
      <c r="C1914" s="15"/>
      <c r="D1914" s="15"/>
      <c r="E1914" s="15"/>
      <c r="F1914" s="15"/>
      <c r="G1914" s="15"/>
      <c r="H1914" s="15"/>
      <c r="I1914" s="15"/>
      <c r="J1914" s="15"/>
      <c r="K1914" s="15"/>
      <c r="L1914" s="15"/>
      <c r="M1914" s="15"/>
      <c r="N1914" s="15"/>
      <c r="O1914" s="15"/>
      <c r="P1914" s="15"/>
    </row>
    <row r="1915" spans="1:16" x14ac:dyDescent="0.25">
      <c r="A1915" s="15"/>
      <c r="B1915" s="15"/>
      <c r="C1915" s="15"/>
      <c r="D1915" s="15"/>
      <c r="E1915" s="15"/>
      <c r="F1915" s="15"/>
      <c r="G1915" s="15"/>
      <c r="H1915" s="15"/>
      <c r="I1915" s="15"/>
      <c r="J1915" s="15"/>
      <c r="K1915" s="15"/>
      <c r="L1915" s="15"/>
      <c r="M1915" s="15"/>
      <c r="N1915" s="15"/>
      <c r="O1915" s="15"/>
      <c r="P1915" s="15"/>
    </row>
    <row r="1916" spans="1:16" x14ac:dyDescent="0.25">
      <c r="A1916" s="15"/>
      <c r="B1916" s="15"/>
      <c r="C1916" s="15"/>
      <c r="D1916" s="15"/>
      <c r="E1916" s="15"/>
      <c r="F1916" s="15"/>
      <c r="G1916" s="15"/>
      <c r="H1916" s="15"/>
      <c r="I1916" s="15"/>
      <c r="J1916" s="15"/>
      <c r="K1916" s="15"/>
      <c r="L1916" s="15"/>
      <c r="M1916" s="15"/>
      <c r="N1916" s="15"/>
      <c r="O1916" s="15"/>
      <c r="P1916" s="15"/>
    </row>
    <row r="1917" spans="1:16" x14ac:dyDescent="0.25">
      <c r="A1917" s="15"/>
      <c r="B1917" s="15"/>
      <c r="C1917" s="15"/>
      <c r="D1917" s="15"/>
      <c r="E1917" s="15"/>
      <c r="F1917" s="15"/>
      <c r="G1917" s="15"/>
      <c r="H1917" s="15"/>
      <c r="I1917" s="15"/>
      <c r="J1917" s="15"/>
      <c r="K1917" s="15"/>
      <c r="L1917" s="15"/>
      <c r="M1917" s="15"/>
      <c r="N1917" s="15"/>
      <c r="O1917" s="15"/>
      <c r="P1917" s="15"/>
    </row>
    <row r="1918" spans="1:16" x14ac:dyDescent="0.25">
      <c r="A1918" s="15"/>
      <c r="B1918" s="15"/>
      <c r="C1918" s="15"/>
      <c r="D1918" s="15"/>
      <c r="E1918" s="15"/>
      <c r="F1918" s="15"/>
      <c r="G1918" s="15"/>
      <c r="H1918" s="15"/>
      <c r="I1918" s="15"/>
      <c r="J1918" s="15"/>
      <c r="K1918" s="15"/>
      <c r="L1918" s="15"/>
      <c r="M1918" s="15"/>
      <c r="N1918" s="15"/>
      <c r="O1918" s="15"/>
      <c r="P1918" s="15"/>
    </row>
    <row r="1919" spans="1:16" x14ac:dyDescent="0.25">
      <c r="A1919" s="15"/>
      <c r="B1919" s="15"/>
      <c r="C1919" s="15"/>
      <c r="D1919" s="15"/>
      <c r="E1919" s="15"/>
      <c r="F1919" s="15"/>
      <c r="G1919" s="15"/>
      <c r="H1919" s="15"/>
      <c r="I1919" s="15"/>
      <c r="J1919" s="15"/>
      <c r="K1919" s="15"/>
      <c r="L1919" s="15"/>
      <c r="M1919" s="15"/>
      <c r="N1919" s="15"/>
      <c r="O1919" s="15"/>
      <c r="P1919" s="15"/>
    </row>
    <row r="1920" spans="1:16" x14ac:dyDescent="0.25">
      <c r="A1920" s="15"/>
      <c r="B1920" s="15"/>
      <c r="C1920" s="15"/>
      <c r="D1920" s="15"/>
      <c r="E1920" s="15"/>
      <c r="F1920" s="15"/>
      <c r="G1920" s="15"/>
      <c r="H1920" s="15"/>
      <c r="I1920" s="15"/>
      <c r="J1920" s="15"/>
      <c r="K1920" s="15"/>
      <c r="L1920" s="15"/>
      <c r="M1920" s="15"/>
      <c r="N1920" s="15"/>
      <c r="O1920" s="15"/>
      <c r="P1920" s="15"/>
    </row>
    <row r="1921" spans="1:16" x14ac:dyDescent="0.25">
      <c r="A1921" s="15"/>
      <c r="B1921" s="15"/>
      <c r="C1921" s="15"/>
      <c r="D1921" s="15"/>
      <c r="E1921" s="15"/>
      <c r="F1921" s="15"/>
      <c r="G1921" s="15"/>
      <c r="H1921" s="15"/>
      <c r="I1921" s="15"/>
      <c r="J1921" s="15"/>
      <c r="K1921" s="15"/>
      <c r="L1921" s="15"/>
      <c r="M1921" s="15"/>
      <c r="N1921" s="15"/>
      <c r="O1921" s="15"/>
      <c r="P1921" s="15"/>
    </row>
    <row r="1922" spans="1:16" x14ac:dyDescent="0.25">
      <c r="A1922" s="15"/>
      <c r="B1922" s="15"/>
      <c r="C1922" s="15"/>
      <c r="D1922" s="15"/>
      <c r="E1922" s="15"/>
      <c r="F1922" s="15"/>
      <c r="G1922" s="15"/>
      <c r="H1922" s="15"/>
      <c r="I1922" s="15"/>
      <c r="J1922" s="15"/>
      <c r="K1922" s="15"/>
      <c r="L1922" s="15"/>
      <c r="M1922" s="15"/>
      <c r="N1922" s="15"/>
      <c r="O1922" s="15"/>
      <c r="P1922" s="15"/>
    </row>
    <row r="1923" spans="1:16" x14ac:dyDescent="0.25">
      <c r="A1923" s="15"/>
      <c r="B1923" s="15"/>
      <c r="C1923" s="15"/>
      <c r="D1923" s="15"/>
      <c r="E1923" s="15"/>
      <c r="F1923" s="15"/>
      <c r="G1923" s="15"/>
      <c r="H1923" s="15"/>
      <c r="I1923" s="15"/>
      <c r="J1923" s="15"/>
      <c r="K1923" s="15"/>
      <c r="L1923" s="15"/>
      <c r="M1923" s="15"/>
      <c r="N1923" s="15"/>
      <c r="O1923" s="15"/>
      <c r="P1923" s="15"/>
    </row>
    <row r="1924" spans="1:16" x14ac:dyDescent="0.25">
      <c r="A1924" s="15"/>
      <c r="B1924" s="15"/>
      <c r="C1924" s="15"/>
      <c r="D1924" s="15"/>
      <c r="E1924" s="15"/>
      <c r="F1924" s="15"/>
      <c r="G1924" s="15"/>
      <c r="H1924" s="15"/>
      <c r="I1924" s="15"/>
      <c r="J1924" s="15"/>
      <c r="K1924" s="15"/>
      <c r="L1924" s="15"/>
      <c r="M1924" s="15"/>
      <c r="N1924" s="15"/>
      <c r="O1924" s="15"/>
      <c r="P1924" s="15"/>
    </row>
    <row r="1925" spans="1:16" x14ac:dyDescent="0.25">
      <c r="A1925" s="15"/>
      <c r="B1925" s="15"/>
      <c r="C1925" s="15"/>
      <c r="D1925" s="15"/>
      <c r="E1925" s="15"/>
      <c r="F1925" s="15"/>
      <c r="G1925" s="15"/>
      <c r="H1925" s="15"/>
      <c r="I1925" s="15"/>
      <c r="J1925" s="15"/>
      <c r="K1925" s="15"/>
      <c r="L1925" s="15"/>
      <c r="M1925" s="15"/>
      <c r="N1925" s="15"/>
      <c r="O1925" s="15"/>
      <c r="P1925" s="15"/>
    </row>
    <row r="1926" spans="1:16" x14ac:dyDescent="0.25">
      <c r="A1926" s="15"/>
      <c r="B1926" s="15"/>
      <c r="C1926" s="15"/>
      <c r="D1926" s="15"/>
      <c r="E1926" s="15"/>
      <c r="F1926" s="15"/>
      <c r="G1926" s="15"/>
      <c r="H1926" s="15"/>
      <c r="I1926" s="15"/>
      <c r="J1926" s="15"/>
      <c r="K1926" s="15"/>
      <c r="L1926" s="15"/>
      <c r="M1926" s="15"/>
      <c r="N1926" s="15"/>
      <c r="O1926" s="15"/>
      <c r="P1926" s="15"/>
    </row>
    <row r="1927" spans="1:16" x14ac:dyDescent="0.25">
      <c r="A1927" s="15"/>
      <c r="B1927" s="15"/>
      <c r="C1927" s="15"/>
      <c r="D1927" s="15"/>
      <c r="E1927" s="15"/>
      <c r="F1927" s="15"/>
      <c r="G1927" s="15"/>
      <c r="H1927" s="15"/>
      <c r="I1927" s="15"/>
      <c r="J1927" s="15"/>
      <c r="K1927" s="15"/>
      <c r="L1927" s="15"/>
      <c r="M1927" s="15"/>
      <c r="N1927" s="15"/>
      <c r="O1927" s="15"/>
      <c r="P1927" s="15"/>
    </row>
    <row r="1928" spans="1:16" x14ac:dyDescent="0.25">
      <c r="A1928" s="15"/>
      <c r="B1928" s="15"/>
      <c r="C1928" s="15"/>
      <c r="D1928" s="15"/>
      <c r="E1928" s="15"/>
      <c r="F1928" s="15"/>
      <c r="G1928" s="15"/>
      <c r="H1928" s="15"/>
      <c r="I1928" s="15"/>
      <c r="J1928" s="15"/>
      <c r="K1928" s="15"/>
      <c r="L1928" s="15"/>
      <c r="M1928" s="15"/>
      <c r="N1928" s="15"/>
      <c r="O1928" s="15"/>
      <c r="P1928" s="15"/>
    </row>
    <row r="1929" spans="1:16" x14ac:dyDescent="0.25">
      <c r="A1929" s="15"/>
      <c r="B1929" s="15"/>
      <c r="C1929" s="15"/>
      <c r="D1929" s="15"/>
      <c r="E1929" s="15"/>
      <c r="F1929" s="15"/>
      <c r="G1929" s="15"/>
      <c r="H1929" s="15"/>
      <c r="I1929" s="15"/>
      <c r="J1929" s="15"/>
      <c r="K1929" s="15"/>
      <c r="L1929" s="15"/>
      <c r="M1929" s="15"/>
      <c r="N1929" s="15"/>
      <c r="O1929" s="15"/>
      <c r="P1929" s="15"/>
    </row>
    <row r="1930" spans="1:16" x14ac:dyDescent="0.25">
      <c r="A1930" s="15"/>
      <c r="B1930" s="15"/>
      <c r="C1930" s="15"/>
      <c r="D1930" s="15"/>
      <c r="E1930" s="15"/>
      <c r="F1930" s="15"/>
      <c r="G1930" s="15"/>
      <c r="H1930" s="15"/>
      <c r="I1930" s="15"/>
      <c r="J1930" s="15"/>
      <c r="K1930" s="15"/>
      <c r="L1930" s="15"/>
      <c r="M1930" s="15"/>
      <c r="N1930" s="15"/>
      <c r="O1930" s="15"/>
      <c r="P1930" s="15"/>
    </row>
    <row r="1931" spans="1:16" x14ac:dyDescent="0.25">
      <c r="A1931" s="15"/>
      <c r="B1931" s="15"/>
      <c r="C1931" s="15"/>
      <c r="D1931" s="15"/>
      <c r="E1931" s="15"/>
      <c r="F1931" s="15"/>
      <c r="G1931" s="15"/>
      <c r="H1931" s="15"/>
      <c r="I1931" s="15"/>
      <c r="J1931" s="15"/>
      <c r="K1931" s="15"/>
      <c r="L1931" s="15"/>
      <c r="M1931" s="15"/>
      <c r="N1931" s="15"/>
      <c r="O1931" s="15"/>
      <c r="P1931" s="15"/>
    </row>
    <row r="1932" spans="1:16" x14ac:dyDescent="0.25">
      <c r="A1932" s="15"/>
      <c r="B1932" s="15"/>
      <c r="C1932" s="15"/>
      <c r="D1932" s="15"/>
      <c r="E1932" s="15"/>
      <c r="F1932" s="15"/>
      <c r="G1932" s="15"/>
      <c r="H1932" s="15"/>
      <c r="I1932" s="15"/>
      <c r="J1932" s="15"/>
      <c r="K1932" s="15"/>
      <c r="L1932" s="15"/>
      <c r="M1932" s="15"/>
      <c r="N1932" s="15"/>
      <c r="O1932" s="15"/>
      <c r="P1932" s="15"/>
    </row>
    <row r="1933" spans="1:16" x14ac:dyDescent="0.25">
      <c r="A1933" s="15"/>
      <c r="B1933" s="15"/>
      <c r="C1933" s="15"/>
      <c r="D1933" s="15"/>
      <c r="E1933" s="15"/>
      <c r="F1933" s="15"/>
      <c r="G1933" s="15"/>
      <c r="H1933" s="15"/>
      <c r="I1933" s="15"/>
      <c r="J1933" s="15"/>
      <c r="K1933" s="15"/>
      <c r="L1933" s="15"/>
      <c r="M1933" s="15"/>
      <c r="N1933" s="15"/>
      <c r="O1933" s="15"/>
      <c r="P1933" s="15"/>
    </row>
    <row r="1934" spans="1:16" x14ac:dyDescent="0.25">
      <c r="A1934" s="15"/>
      <c r="B1934" s="15"/>
      <c r="C1934" s="15"/>
      <c r="D1934" s="15"/>
      <c r="E1934" s="15"/>
      <c r="F1934" s="15"/>
      <c r="G1934" s="15"/>
      <c r="H1934" s="15"/>
      <c r="I1934" s="15"/>
      <c r="J1934" s="15"/>
      <c r="K1934" s="15"/>
      <c r="L1934" s="15"/>
      <c r="M1934" s="15"/>
      <c r="N1934" s="15"/>
      <c r="O1934" s="15"/>
      <c r="P1934" s="15"/>
    </row>
    <row r="1935" spans="1:16" x14ac:dyDescent="0.25">
      <c r="A1935" s="15"/>
      <c r="B1935" s="15"/>
      <c r="C1935" s="15"/>
      <c r="D1935" s="15"/>
      <c r="E1935" s="15"/>
      <c r="F1935" s="15"/>
      <c r="G1935" s="15"/>
      <c r="H1935" s="15"/>
      <c r="I1935" s="15"/>
      <c r="J1935" s="15"/>
      <c r="K1935" s="15"/>
      <c r="L1935" s="15"/>
      <c r="M1935" s="15"/>
      <c r="N1935" s="15"/>
      <c r="O1935" s="15"/>
      <c r="P1935" s="15"/>
    </row>
    <row r="1936" spans="1:16" x14ac:dyDescent="0.25">
      <c r="A1936" s="15"/>
      <c r="B1936" s="15"/>
      <c r="C1936" s="15"/>
      <c r="D1936" s="15"/>
      <c r="E1936" s="15"/>
      <c r="F1936" s="15"/>
      <c r="G1936" s="15"/>
      <c r="H1936" s="15"/>
      <c r="I1936" s="15"/>
      <c r="J1936" s="15"/>
      <c r="K1936" s="15"/>
      <c r="L1936" s="15"/>
      <c r="M1936" s="15"/>
      <c r="N1936" s="15"/>
      <c r="O1936" s="15"/>
      <c r="P1936" s="15"/>
    </row>
    <row r="1937" spans="1:16" x14ac:dyDescent="0.25">
      <c r="A1937" s="15"/>
      <c r="B1937" s="15"/>
      <c r="C1937" s="15"/>
      <c r="D1937" s="15"/>
      <c r="E1937" s="15"/>
      <c r="F1937" s="15"/>
      <c r="G1937" s="15"/>
      <c r="H1937" s="15"/>
      <c r="I1937" s="15"/>
      <c r="J1937" s="15"/>
      <c r="K1937" s="15"/>
      <c r="L1937" s="15"/>
      <c r="M1937" s="15"/>
      <c r="N1937" s="15"/>
      <c r="O1937" s="15"/>
      <c r="P1937" s="15"/>
    </row>
    <row r="1938" spans="1:16" x14ac:dyDescent="0.25">
      <c r="A1938" s="15"/>
      <c r="B1938" s="15"/>
      <c r="C1938" s="15"/>
      <c r="D1938" s="15"/>
      <c r="E1938" s="15"/>
      <c r="F1938" s="15"/>
      <c r="G1938" s="15"/>
      <c r="H1938" s="15"/>
      <c r="I1938" s="15"/>
      <c r="J1938" s="15"/>
      <c r="K1938" s="15"/>
      <c r="L1938" s="15"/>
      <c r="M1938" s="15"/>
      <c r="N1938" s="15"/>
      <c r="O1938" s="15"/>
      <c r="P1938" s="15"/>
    </row>
    <row r="1939" spans="1:16" x14ac:dyDescent="0.25">
      <c r="A1939" s="15"/>
      <c r="B1939" s="15"/>
      <c r="C1939" s="15"/>
      <c r="D1939" s="15"/>
      <c r="E1939" s="15"/>
      <c r="F1939" s="15"/>
      <c r="G1939" s="15"/>
      <c r="H1939" s="15"/>
      <c r="I1939" s="15"/>
      <c r="J1939" s="15"/>
      <c r="K1939" s="15"/>
      <c r="L1939" s="15"/>
      <c r="M1939" s="15"/>
      <c r="N1939" s="15"/>
      <c r="O1939" s="15"/>
      <c r="P1939" s="15"/>
    </row>
    <row r="1940" spans="1:16" x14ac:dyDescent="0.25">
      <c r="A1940" s="15"/>
      <c r="B1940" s="15"/>
      <c r="C1940" s="15"/>
      <c r="D1940" s="15"/>
      <c r="E1940" s="15"/>
      <c r="F1940" s="15"/>
      <c r="G1940" s="15"/>
      <c r="H1940" s="15"/>
      <c r="I1940" s="15"/>
      <c r="J1940" s="15"/>
      <c r="K1940" s="15"/>
      <c r="L1940" s="15"/>
      <c r="M1940" s="15"/>
      <c r="N1940" s="15"/>
      <c r="O1940" s="15"/>
      <c r="P1940" s="15"/>
    </row>
    <row r="1941" spans="1:16" x14ac:dyDescent="0.25">
      <c r="A1941" s="15"/>
      <c r="B1941" s="15"/>
      <c r="C1941" s="15"/>
      <c r="D1941" s="15"/>
      <c r="E1941" s="15"/>
      <c r="F1941" s="15"/>
      <c r="G1941" s="15"/>
      <c r="H1941" s="15"/>
      <c r="I1941" s="15"/>
      <c r="J1941" s="15"/>
      <c r="K1941" s="15"/>
      <c r="L1941" s="15"/>
      <c r="M1941" s="15"/>
      <c r="N1941" s="15"/>
      <c r="O1941" s="15"/>
      <c r="P1941" s="15"/>
    </row>
    <row r="1942" spans="1:16" x14ac:dyDescent="0.25">
      <c r="A1942" s="15"/>
      <c r="B1942" s="15"/>
      <c r="C1942" s="15"/>
      <c r="D1942" s="15"/>
      <c r="E1942" s="15"/>
      <c r="F1942" s="15"/>
      <c r="G1942" s="15"/>
      <c r="H1942" s="15"/>
      <c r="I1942" s="15"/>
      <c r="J1942" s="15"/>
      <c r="K1942" s="15"/>
      <c r="L1942" s="15"/>
      <c r="M1942" s="15"/>
      <c r="N1942" s="15"/>
      <c r="O1942" s="15"/>
      <c r="P1942" s="15"/>
    </row>
    <row r="1943" spans="1:16" x14ac:dyDescent="0.25">
      <c r="A1943" s="15"/>
      <c r="B1943" s="15"/>
      <c r="C1943" s="15"/>
      <c r="D1943" s="15"/>
      <c r="E1943" s="15"/>
      <c r="F1943" s="15"/>
      <c r="G1943" s="15"/>
      <c r="H1943" s="15"/>
      <c r="I1943" s="15"/>
      <c r="J1943" s="15"/>
      <c r="K1943" s="15"/>
      <c r="L1943" s="15"/>
      <c r="M1943" s="15"/>
      <c r="N1943" s="15"/>
      <c r="O1943" s="15"/>
      <c r="P1943" s="15"/>
    </row>
    <row r="1944" spans="1:16" x14ac:dyDescent="0.25">
      <c r="A1944" s="15"/>
      <c r="B1944" s="15"/>
      <c r="C1944" s="15"/>
      <c r="D1944" s="15"/>
      <c r="E1944" s="15"/>
      <c r="F1944" s="15"/>
      <c r="G1944" s="15"/>
      <c r="H1944" s="15"/>
      <c r="I1944" s="15"/>
      <c r="J1944" s="15"/>
      <c r="K1944" s="15"/>
      <c r="L1944" s="15"/>
      <c r="M1944" s="15"/>
      <c r="N1944" s="15"/>
      <c r="O1944" s="15"/>
      <c r="P1944" s="15"/>
    </row>
    <row r="1945" spans="1:16" x14ac:dyDescent="0.25">
      <c r="A1945" s="15"/>
      <c r="B1945" s="15"/>
      <c r="C1945" s="15"/>
      <c r="D1945" s="15"/>
      <c r="E1945" s="15"/>
      <c r="F1945" s="15"/>
      <c r="G1945" s="15"/>
      <c r="H1945" s="15"/>
      <c r="I1945" s="15"/>
      <c r="J1945" s="15"/>
      <c r="K1945" s="15"/>
      <c r="L1945" s="15"/>
      <c r="M1945" s="15"/>
      <c r="N1945" s="15"/>
      <c r="O1945" s="15"/>
      <c r="P1945" s="15"/>
    </row>
    <row r="1946" spans="1:16" x14ac:dyDescent="0.25">
      <c r="A1946" s="15"/>
      <c r="B1946" s="15"/>
      <c r="C1946" s="15"/>
      <c r="D1946" s="15"/>
      <c r="E1946" s="15"/>
      <c r="F1946" s="15"/>
      <c r="G1946" s="15"/>
      <c r="H1946" s="15"/>
      <c r="I1946" s="15"/>
      <c r="J1946" s="15"/>
      <c r="K1946" s="15"/>
      <c r="L1946" s="15"/>
      <c r="M1946" s="15"/>
      <c r="N1946" s="15"/>
      <c r="O1946" s="15"/>
      <c r="P1946" s="15"/>
    </row>
    <row r="1947" spans="1:16" x14ac:dyDescent="0.25">
      <c r="A1947" s="15"/>
      <c r="B1947" s="15"/>
      <c r="C1947" s="15"/>
      <c r="D1947" s="15"/>
      <c r="E1947" s="15"/>
      <c r="F1947" s="15"/>
      <c r="G1947" s="15"/>
      <c r="H1947" s="15"/>
      <c r="I1947" s="15"/>
      <c r="J1947" s="15"/>
      <c r="K1947" s="15"/>
      <c r="L1947" s="15"/>
      <c r="M1947" s="15"/>
      <c r="N1947" s="15"/>
      <c r="O1947" s="15"/>
      <c r="P1947" s="15"/>
    </row>
    <row r="1948" spans="1:16" x14ac:dyDescent="0.25">
      <c r="A1948" s="15"/>
      <c r="B1948" s="15"/>
      <c r="C1948" s="15"/>
      <c r="D1948" s="15"/>
      <c r="E1948" s="15"/>
      <c r="F1948" s="15"/>
      <c r="G1948" s="15"/>
      <c r="H1948" s="15"/>
      <c r="I1948" s="15"/>
      <c r="J1948" s="15"/>
      <c r="K1948" s="15"/>
      <c r="L1948" s="15"/>
      <c r="M1948" s="15"/>
      <c r="N1948" s="15"/>
      <c r="O1948" s="15"/>
      <c r="P1948" s="15"/>
    </row>
    <row r="1949" spans="1:16" x14ac:dyDescent="0.25">
      <c r="A1949" s="15"/>
      <c r="B1949" s="15"/>
      <c r="C1949" s="15"/>
      <c r="D1949" s="15"/>
      <c r="E1949" s="15"/>
      <c r="F1949" s="15"/>
      <c r="G1949" s="15"/>
      <c r="H1949" s="15"/>
      <c r="I1949" s="15"/>
      <c r="J1949" s="15"/>
      <c r="K1949" s="15"/>
      <c r="L1949" s="15"/>
      <c r="M1949" s="15"/>
      <c r="N1949" s="15"/>
      <c r="O1949" s="15"/>
      <c r="P1949" s="15"/>
    </row>
    <row r="1950" spans="1:16" x14ac:dyDescent="0.25">
      <c r="A1950" s="15"/>
      <c r="B1950" s="15"/>
      <c r="C1950" s="15"/>
      <c r="D1950" s="15"/>
      <c r="E1950" s="15"/>
      <c r="F1950" s="15"/>
      <c r="G1950" s="15"/>
      <c r="H1950" s="15"/>
      <c r="I1950" s="15"/>
      <c r="J1950" s="15"/>
      <c r="K1950" s="15"/>
      <c r="L1950" s="15"/>
      <c r="M1950" s="15"/>
      <c r="N1950" s="15"/>
      <c r="O1950" s="15"/>
      <c r="P1950" s="15"/>
    </row>
    <row r="1951" spans="1:16" x14ac:dyDescent="0.25">
      <c r="A1951" s="15"/>
      <c r="B1951" s="15"/>
      <c r="C1951" s="15"/>
      <c r="D1951" s="15"/>
      <c r="E1951" s="15"/>
      <c r="F1951" s="15"/>
      <c r="G1951" s="15"/>
      <c r="H1951" s="15"/>
      <c r="I1951" s="15"/>
      <c r="J1951" s="15"/>
      <c r="K1951" s="15"/>
      <c r="L1951" s="15"/>
      <c r="M1951" s="15"/>
      <c r="N1951" s="15"/>
      <c r="O1951" s="15"/>
      <c r="P1951" s="15"/>
    </row>
    <row r="1952" spans="1:16" x14ac:dyDescent="0.25">
      <c r="A1952" s="15"/>
      <c r="B1952" s="15"/>
      <c r="C1952" s="15"/>
      <c r="D1952" s="15"/>
      <c r="E1952" s="15"/>
      <c r="F1952" s="15"/>
      <c r="G1952" s="15"/>
      <c r="H1952" s="15"/>
      <c r="I1952" s="15"/>
      <c r="J1952" s="15"/>
      <c r="K1952" s="15"/>
      <c r="L1952" s="15"/>
      <c r="M1952" s="15"/>
      <c r="N1952" s="15"/>
      <c r="O1952" s="15"/>
      <c r="P1952" s="15"/>
    </row>
    <row r="1953" spans="1:16" x14ac:dyDescent="0.25">
      <c r="A1953" s="15"/>
      <c r="B1953" s="15"/>
      <c r="C1953" s="15"/>
      <c r="D1953" s="15"/>
      <c r="E1953" s="15"/>
      <c r="F1953" s="15"/>
      <c r="G1953" s="15"/>
      <c r="H1953" s="15"/>
      <c r="I1953" s="15"/>
      <c r="J1953" s="15"/>
      <c r="K1953" s="15"/>
      <c r="L1953" s="15"/>
      <c r="M1953" s="15"/>
      <c r="N1953" s="15"/>
      <c r="O1953" s="15"/>
      <c r="P1953" s="15"/>
    </row>
    <row r="1954" spans="1:16" x14ac:dyDescent="0.25">
      <c r="A1954" s="15"/>
      <c r="B1954" s="15"/>
      <c r="C1954" s="15"/>
      <c r="D1954" s="15"/>
      <c r="E1954" s="15"/>
      <c r="F1954" s="15"/>
      <c r="G1954" s="15"/>
      <c r="H1954" s="15"/>
      <c r="I1954" s="15"/>
      <c r="J1954" s="15"/>
      <c r="K1954" s="15"/>
      <c r="L1954" s="15"/>
      <c r="M1954" s="15"/>
      <c r="N1954" s="15"/>
      <c r="O1954" s="15"/>
      <c r="P1954" s="15"/>
    </row>
    <row r="1955" spans="1:16" x14ac:dyDescent="0.25">
      <c r="A1955" s="15"/>
      <c r="B1955" s="15"/>
      <c r="C1955" s="15"/>
      <c r="D1955" s="15"/>
      <c r="E1955" s="15"/>
      <c r="F1955" s="15"/>
      <c r="G1955" s="15"/>
      <c r="H1955" s="15"/>
      <c r="I1955" s="15"/>
      <c r="J1955" s="15"/>
      <c r="K1955" s="15"/>
      <c r="L1955" s="15"/>
      <c r="M1955" s="15"/>
      <c r="N1955" s="15"/>
      <c r="O1955" s="15"/>
      <c r="P1955" s="15"/>
    </row>
    <row r="1956" spans="1:16" x14ac:dyDescent="0.25">
      <c r="A1956" s="15"/>
      <c r="B1956" s="15"/>
      <c r="C1956" s="15"/>
      <c r="D1956" s="15"/>
      <c r="E1956" s="15"/>
      <c r="F1956" s="15"/>
      <c r="G1956" s="15"/>
      <c r="H1956" s="15"/>
      <c r="I1956" s="15"/>
      <c r="J1956" s="15"/>
      <c r="K1956" s="15"/>
      <c r="L1956" s="15"/>
      <c r="M1956" s="15"/>
      <c r="N1956" s="15"/>
      <c r="O1956" s="15"/>
      <c r="P1956" s="15"/>
    </row>
    <row r="1957" spans="1:16" x14ac:dyDescent="0.25">
      <c r="A1957" s="15"/>
      <c r="B1957" s="15"/>
      <c r="C1957" s="15"/>
      <c r="D1957" s="15"/>
      <c r="E1957" s="15"/>
      <c r="F1957" s="15"/>
      <c r="G1957" s="15"/>
      <c r="H1957" s="15"/>
      <c r="I1957" s="15"/>
      <c r="J1957" s="15"/>
      <c r="K1957" s="15"/>
      <c r="L1957" s="15"/>
      <c r="M1957" s="15"/>
      <c r="N1957" s="15"/>
      <c r="O1957" s="15"/>
      <c r="P1957" s="15"/>
    </row>
    <row r="1958" spans="1:16" x14ac:dyDescent="0.25">
      <c r="A1958" s="15"/>
      <c r="B1958" s="15"/>
      <c r="C1958" s="15"/>
      <c r="D1958" s="15"/>
      <c r="E1958" s="15"/>
      <c r="F1958" s="15"/>
      <c r="G1958" s="15"/>
      <c r="H1958" s="15"/>
      <c r="I1958" s="15"/>
      <c r="J1958" s="15"/>
      <c r="K1958" s="15"/>
      <c r="L1958" s="15"/>
      <c r="M1958" s="15"/>
      <c r="N1958" s="15"/>
      <c r="O1958" s="15"/>
      <c r="P1958" s="15"/>
    </row>
    <row r="1959" spans="1:16" x14ac:dyDescent="0.25">
      <c r="A1959" s="15"/>
      <c r="B1959" s="15"/>
      <c r="C1959" s="15"/>
      <c r="D1959" s="15"/>
      <c r="E1959" s="15"/>
      <c r="F1959" s="15"/>
      <c r="G1959" s="15"/>
      <c r="H1959" s="15"/>
      <c r="I1959" s="15"/>
      <c r="J1959" s="15"/>
      <c r="K1959" s="15"/>
      <c r="L1959" s="15"/>
      <c r="M1959" s="15"/>
      <c r="N1959" s="15"/>
      <c r="O1959" s="15"/>
      <c r="P1959" s="15"/>
    </row>
    <row r="1960" spans="1:16" x14ac:dyDescent="0.25">
      <c r="A1960" s="15"/>
      <c r="B1960" s="15"/>
      <c r="C1960" s="15"/>
      <c r="D1960" s="15"/>
      <c r="E1960" s="15"/>
      <c r="F1960" s="15"/>
      <c r="G1960" s="15"/>
      <c r="H1960" s="15"/>
      <c r="I1960" s="15"/>
      <c r="J1960" s="15"/>
      <c r="K1960" s="15"/>
      <c r="L1960" s="15"/>
      <c r="M1960" s="15"/>
      <c r="N1960" s="15"/>
      <c r="O1960" s="15"/>
      <c r="P1960" s="15"/>
    </row>
    <row r="1961" spans="1:16" x14ac:dyDescent="0.25">
      <c r="A1961" s="15"/>
      <c r="B1961" s="15"/>
      <c r="C1961" s="15"/>
      <c r="D1961" s="15"/>
      <c r="E1961" s="15"/>
      <c r="F1961" s="15"/>
      <c r="G1961" s="15"/>
      <c r="H1961" s="15"/>
      <c r="I1961" s="15"/>
      <c r="J1961" s="15"/>
      <c r="K1961" s="15"/>
      <c r="L1961" s="15"/>
      <c r="M1961" s="15"/>
      <c r="N1961" s="15"/>
      <c r="O1961" s="15"/>
      <c r="P1961" s="15"/>
    </row>
    <row r="1962" spans="1:16" x14ac:dyDescent="0.25">
      <c r="A1962" s="15"/>
      <c r="B1962" s="15"/>
      <c r="C1962" s="15"/>
      <c r="D1962" s="15"/>
      <c r="E1962" s="15"/>
      <c r="F1962" s="15"/>
      <c r="G1962" s="15"/>
      <c r="H1962" s="15"/>
      <c r="I1962" s="15"/>
      <c r="J1962" s="15"/>
      <c r="K1962" s="15"/>
      <c r="L1962" s="15"/>
      <c r="M1962" s="15"/>
      <c r="N1962" s="15"/>
      <c r="O1962" s="15"/>
      <c r="P1962" s="15"/>
    </row>
    <row r="1963" spans="1:16" x14ac:dyDescent="0.25">
      <c r="A1963" s="15"/>
      <c r="B1963" s="15"/>
      <c r="C1963" s="15"/>
      <c r="D1963" s="15"/>
      <c r="E1963" s="15"/>
      <c r="F1963" s="15"/>
      <c r="G1963" s="15"/>
      <c r="H1963" s="15"/>
      <c r="I1963" s="15"/>
      <c r="J1963" s="15"/>
      <c r="K1963" s="15"/>
      <c r="L1963" s="15"/>
      <c r="M1963" s="15"/>
      <c r="N1963" s="15"/>
      <c r="O1963" s="15"/>
      <c r="P1963" s="15"/>
    </row>
    <row r="1964" spans="1:16" x14ac:dyDescent="0.25">
      <c r="A1964" s="15"/>
      <c r="B1964" s="15"/>
      <c r="C1964" s="15"/>
      <c r="D1964" s="15"/>
      <c r="E1964" s="15"/>
      <c r="F1964" s="15"/>
      <c r="G1964" s="15"/>
      <c r="H1964" s="15"/>
      <c r="I1964" s="15"/>
      <c r="J1964" s="15"/>
      <c r="K1964" s="15"/>
      <c r="L1964" s="15"/>
      <c r="M1964" s="15"/>
      <c r="N1964" s="15"/>
      <c r="O1964" s="15"/>
      <c r="P1964" s="15"/>
    </row>
    <row r="1965" spans="1:16" x14ac:dyDescent="0.25">
      <c r="A1965" s="15"/>
      <c r="B1965" s="15"/>
      <c r="C1965" s="15"/>
      <c r="D1965" s="15"/>
      <c r="E1965" s="15"/>
      <c r="F1965" s="15"/>
      <c r="G1965" s="15"/>
      <c r="H1965" s="15"/>
      <c r="I1965" s="15"/>
      <c r="J1965" s="15"/>
      <c r="K1965" s="15"/>
      <c r="L1965" s="15"/>
      <c r="M1965" s="15"/>
      <c r="N1965" s="15"/>
      <c r="O1965" s="15"/>
      <c r="P1965" s="15"/>
    </row>
    <row r="1966" spans="1:16" x14ac:dyDescent="0.25">
      <c r="A1966" s="15"/>
      <c r="B1966" s="15"/>
      <c r="C1966" s="15"/>
      <c r="D1966" s="15"/>
      <c r="E1966" s="15"/>
      <c r="F1966" s="15"/>
      <c r="G1966" s="15"/>
      <c r="H1966" s="15"/>
      <c r="I1966" s="15"/>
      <c r="J1966" s="15"/>
      <c r="K1966" s="15"/>
      <c r="L1966" s="15"/>
      <c r="M1966" s="15"/>
      <c r="N1966" s="15"/>
      <c r="O1966" s="15"/>
      <c r="P1966" s="15"/>
    </row>
    <row r="1967" spans="1:16" x14ac:dyDescent="0.25">
      <c r="A1967" s="15"/>
      <c r="B1967" s="15"/>
      <c r="C1967" s="15"/>
      <c r="D1967" s="15"/>
      <c r="E1967" s="15"/>
      <c r="F1967" s="15"/>
      <c r="G1967" s="15"/>
      <c r="H1967" s="15"/>
      <c r="I1967" s="15"/>
      <c r="J1967" s="15"/>
      <c r="K1967" s="15"/>
      <c r="L1967" s="15"/>
      <c r="M1967" s="15"/>
      <c r="N1967" s="15"/>
      <c r="O1967" s="15"/>
      <c r="P1967" s="15"/>
    </row>
    <row r="1968" spans="1:16" x14ac:dyDescent="0.25">
      <c r="A1968" s="15"/>
      <c r="B1968" s="15"/>
      <c r="C1968" s="15"/>
      <c r="D1968" s="15"/>
      <c r="E1968" s="15"/>
      <c r="F1968" s="15"/>
      <c r="G1968" s="15"/>
      <c r="H1968" s="15"/>
      <c r="I1968" s="15"/>
      <c r="J1968" s="15"/>
      <c r="K1968" s="15"/>
      <c r="L1968" s="15"/>
      <c r="M1968" s="15"/>
      <c r="N1968" s="15"/>
      <c r="O1968" s="15"/>
      <c r="P1968" s="15"/>
    </row>
    <row r="1969" spans="1:16" x14ac:dyDescent="0.25">
      <c r="A1969" s="15"/>
      <c r="B1969" s="15"/>
      <c r="C1969" s="15"/>
      <c r="D1969" s="15"/>
      <c r="E1969" s="15"/>
      <c r="F1969" s="15"/>
      <c r="G1969" s="15"/>
      <c r="H1969" s="15"/>
      <c r="I1969" s="15"/>
      <c r="J1969" s="15"/>
      <c r="K1969" s="15"/>
      <c r="L1969" s="15"/>
      <c r="M1969" s="15"/>
      <c r="N1969" s="15"/>
      <c r="O1969" s="15"/>
      <c r="P1969" s="15"/>
    </row>
    <row r="1970" spans="1:16" x14ac:dyDescent="0.25">
      <c r="A1970" s="15"/>
      <c r="B1970" s="15"/>
      <c r="C1970" s="15"/>
      <c r="D1970" s="15"/>
      <c r="E1970" s="15"/>
      <c r="F1970" s="15"/>
      <c r="G1970" s="15"/>
      <c r="H1970" s="15"/>
      <c r="I1970" s="15"/>
      <c r="J1970" s="15"/>
      <c r="K1970" s="15"/>
      <c r="L1970" s="15"/>
      <c r="M1970" s="15"/>
      <c r="N1970" s="15"/>
      <c r="O1970" s="15"/>
      <c r="P1970" s="15"/>
    </row>
    <row r="1971" spans="1:16" x14ac:dyDescent="0.25">
      <c r="A1971" s="15"/>
      <c r="B1971" s="15"/>
      <c r="C1971" s="15"/>
      <c r="D1971" s="15"/>
      <c r="E1971" s="15"/>
      <c r="F1971" s="15"/>
      <c r="G1971" s="15"/>
      <c r="H1971" s="15"/>
      <c r="I1971" s="15"/>
      <c r="J1971" s="15"/>
      <c r="K1971" s="15"/>
      <c r="L1971" s="15"/>
      <c r="M1971" s="15"/>
      <c r="N1971" s="15"/>
      <c r="O1971" s="15"/>
      <c r="P1971" s="15"/>
    </row>
    <row r="1972" spans="1:16" x14ac:dyDescent="0.25">
      <c r="A1972" s="15"/>
      <c r="B1972" s="15"/>
      <c r="C1972" s="15"/>
      <c r="D1972" s="15"/>
      <c r="E1972" s="15"/>
      <c r="F1972" s="15"/>
      <c r="G1972" s="15"/>
      <c r="H1972" s="15"/>
      <c r="I1972" s="15"/>
      <c r="J1972" s="15"/>
      <c r="K1972" s="15"/>
      <c r="L1972" s="15"/>
      <c r="M1972" s="15"/>
      <c r="N1972" s="15"/>
      <c r="O1972" s="15"/>
      <c r="P1972" s="15"/>
    </row>
    <row r="1973" spans="1:16" x14ac:dyDescent="0.25">
      <c r="A1973" s="15"/>
      <c r="B1973" s="15"/>
      <c r="C1973" s="15"/>
      <c r="D1973" s="15"/>
      <c r="E1973" s="15"/>
      <c r="F1973" s="15"/>
      <c r="G1973" s="15"/>
      <c r="H1973" s="15"/>
      <c r="I1973" s="15"/>
      <c r="J1973" s="15"/>
      <c r="K1973" s="15"/>
      <c r="L1973" s="15"/>
      <c r="M1973" s="15"/>
      <c r="N1973" s="15"/>
      <c r="O1973" s="15"/>
      <c r="P1973" s="15"/>
    </row>
    <row r="1974" spans="1:16" x14ac:dyDescent="0.25">
      <c r="A1974" s="15"/>
      <c r="B1974" s="15"/>
      <c r="C1974" s="15"/>
      <c r="D1974" s="15"/>
      <c r="E1974" s="15"/>
      <c r="F1974" s="15"/>
      <c r="G1974" s="15"/>
      <c r="H1974" s="15"/>
      <c r="I1974" s="15"/>
      <c r="J1974" s="15"/>
      <c r="K1974" s="15"/>
      <c r="L1974" s="15"/>
      <c r="M1974" s="15"/>
      <c r="N1974" s="15"/>
      <c r="O1974" s="15"/>
      <c r="P1974" s="15"/>
    </row>
    <row r="1975" spans="1:16" x14ac:dyDescent="0.25">
      <c r="A1975" s="15"/>
      <c r="B1975" s="15"/>
      <c r="C1975" s="15"/>
      <c r="D1975" s="15"/>
      <c r="E1975" s="15"/>
      <c r="F1975" s="15"/>
      <c r="G1975" s="15"/>
      <c r="H1975" s="15"/>
      <c r="I1975" s="15"/>
      <c r="J1975" s="15"/>
      <c r="K1975" s="15"/>
      <c r="L1975" s="15"/>
      <c r="M1975" s="15"/>
      <c r="N1975" s="15"/>
      <c r="O1975" s="15"/>
      <c r="P1975" s="15"/>
    </row>
    <row r="1976" spans="1:16" x14ac:dyDescent="0.25">
      <c r="A1976" s="15"/>
      <c r="B1976" s="15"/>
      <c r="C1976" s="15"/>
      <c r="D1976" s="15"/>
      <c r="E1976" s="15"/>
      <c r="F1976" s="15"/>
      <c r="G1976" s="15"/>
      <c r="H1976" s="15"/>
      <c r="I1976" s="15"/>
      <c r="J1976" s="15"/>
      <c r="K1976" s="15"/>
      <c r="L1976" s="15"/>
      <c r="M1976" s="15"/>
      <c r="N1976" s="15"/>
      <c r="O1976" s="15"/>
      <c r="P1976" s="15"/>
    </row>
    <row r="1977" spans="1:16" x14ac:dyDescent="0.25">
      <c r="A1977" s="15"/>
      <c r="B1977" s="15"/>
      <c r="C1977" s="15"/>
      <c r="D1977" s="15"/>
      <c r="E1977" s="15"/>
      <c r="F1977" s="15"/>
      <c r="G1977" s="15"/>
      <c r="H1977" s="15"/>
      <c r="I1977" s="15"/>
      <c r="J1977" s="15"/>
      <c r="K1977" s="15"/>
      <c r="L1977" s="15"/>
      <c r="M1977" s="15"/>
      <c r="N1977" s="15"/>
      <c r="O1977" s="15"/>
      <c r="P1977" s="15"/>
    </row>
    <row r="1978" spans="1:16" x14ac:dyDescent="0.25">
      <c r="A1978" s="15"/>
      <c r="B1978" s="15"/>
      <c r="C1978" s="15"/>
      <c r="D1978" s="15"/>
      <c r="E1978" s="15"/>
      <c r="F1978" s="15"/>
      <c r="G1978" s="15"/>
      <c r="H1978" s="15"/>
      <c r="I1978" s="15"/>
      <c r="J1978" s="15"/>
      <c r="K1978" s="15"/>
      <c r="L1978" s="15"/>
      <c r="M1978" s="15"/>
      <c r="N1978" s="15"/>
      <c r="O1978" s="15"/>
      <c r="P1978" s="15"/>
    </row>
    <row r="1979" spans="1:16" x14ac:dyDescent="0.25">
      <c r="A1979" s="15"/>
      <c r="B1979" s="15"/>
      <c r="C1979" s="15"/>
      <c r="D1979" s="15"/>
      <c r="E1979" s="15"/>
      <c r="F1979" s="15"/>
      <c r="G1979" s="15"/>
      <c r="H1979" s="15"/>
      <c r="I1979" s="15"/>
      <c r="J1979" s="15"/>
      <c r="K1979" s="15"/>
      <c r="L1979" s="15"/>
      <c r="M1979" s="15"/>
      <c r="N1979" s="15"/>
      <c r="O1979" s="15"/>
      <c r="P1979" s="15"/>
    </row>
    <row r="1980" spans="1:16" x14ac:dyDescent="0.25">
      <c r="A1980" s="15"/>
      <c r="B1980" s="15"/>
      <c r="C1980" s="15"/>
      <c r="D1980" s="15"/>
      <c r="E1980" s="15"/>
      <c r="F1980" s="15"/>
      <c r="G1980" s="15"/>
      <c r="H1980" s="15"/>
      <c r="I1980" s="15"/>
      <c r="J1980" s="15"/>
      <c r="K1980" s="15"/>
      <c r="L1980" s="15"/>
      <c r="M1980" s="15"/>
      <c r="N1980" s="15"/>
      <c r="O1980" s="15"/>
      <c r="P1980" s="15"/>
    </row>
    <row r="1981" spans="1:16" x14ac:dyDescent="0.25">
      <c r="A1981" s="15"/>
      <c r="B1981" s="15"/>
      <c r="C1981" s="15"/>
      <c r="D1981" s="15"/>
      <c r="E1981" s="15"/>
      <c r="F1981" s="15"/>
      <c r="G1981" s="15"/>
      <c r="H1981" s="15"/>
      <c r="I1981" s="15"/>
      <c r="J1981" s="15"/>
      <c r="K1981" s="15"/>
      <c r="L1981" s="15"/>
      <c r="M1981" s="15"/>
      <c r="N1981" s="15"/>
      <c r="O1981" s="15"/>
      <c r="P1981" s="15"/>
    </row>
    <row r="1982" spans="1:16" x14ac:dyDescent="0.25">
      <c r="A1982" s="15"/>
      <c r="B1982" s="15"/>
      <c r="C1982" s="15"/>
      <c r="D1982" s="15"/>
      <c r="E1982" s="15"/>
      <c r="F1982" s="15"/>
      <c r="G1982" s="15"/>
      <c r="H1982" s="15"/>
      <c r="I1982" s="15"/>
      <c r="J1982" s="15"/>
      <c r="K1982" s="15"/>
      <c r="L1982" s="15"/>
      <c r="M1982" s="15"/>
      <c r="N1982" s="15"/>
      <c r="O1982" s="15"/>
      <c r="P1982" s="15"/>
    </row>
    <row r="1983" spans="1:16" x14ac:dyDescent="0.25">
      <c r="A1983" s="15"/>
      <c r="B1983" s="15"/>
      <c r="C1983" s="15"/>
      <c r="D1983" s="15"/>
      <c r="E1983" s="15"/>
      <c r="F1983" s="15"/>
      <c r="G1983" s="15"/>
      <c r="H1983" s="15"/>
      <c r="I1983" s="15"/>
      <c r="J1983" s="15"/>
      <c r="K1983" s="15"/>
      <c r="L1983" s="15"/>
      <c r="M1983" s="15"/>
      <c r="N1983" s="15"/>
      <c r="O1983" s="15"/>
      <c r="P1983" s="15"/>
    </row>
    <row r="1984" spans="1:16" x14ac:dyDescent="0.25">
      <c r="A1984" s="15"/>
      <c r="B1984" s="15"/>
      <c r="C1984" s="15"/>
      <c r="D1984" s="15"/>
      <c r="E1984" s="15"/>
      <c r="F1984" s="15"/>
      <c r="G1984" s="15"/>
      <c r="H1984" s="15"/>
      <c r="I1984" s="15"/>
      <c r="J1984" s="15"/>
      <c r="K1984" s="15"/>
      <c r="L1984" s="15"/>
      <c r="M1984" s="15"/>
      <c r="N1984" s="15"/>
      <c r="O1984" s="15"/>
      <c r="P1984" s="15"/>
    </row>
    <row r="1985" spans="1:16" x14ac:dyDescent="0.25">
      <c r="A1985" s="15"/>
      <c r="B1985" s="15"/>
      <c r="C1985" s="15"/>
      <c r="D1985" s="15"/>
      <c r="E1985" s="15"/>
      <c r="F1985" s="15"/>
      <c r="G1985" s="15"/>
      <c r="H1985" s="15"/>
      <c r="I1985" s="15"/>
      <c r="J1985" s="15"/>
      <c r="K1985" s="15"/>
      <c r="L1985" s="15"/>
      <c r="M1985" s="15"/>
      <c r="N1985" s="15"/>
      <c r="O1985" s="15"/>
      <c r="P1985" s="15"/>
    </row>
    <row r="1986" spans="1:16" x14ac:dyDescent="0.25">
      <c r="A1986" s="15"/>
      <c r="B1986" s="15"/>
      <c r="C1986" s="15"/>
      <c r="D1986" s="15"/>
      <c r="E1986" s="15"/>
      <c r="F1986" s="15"/>
      <c r="G1986" s="15"/>
      <c r="H1986" s="15"/>
      <c r="I1986" s="15"/>
      <c r="J1986" s="15"/>
      <c r="K1986" s="15"/>
      <c r="L1986" s="15"/>
      <c r="M1986" s="15"/>
      <c r="N1986" s="15"/>
      <c r="O1986" s="15"/>
      <c r="P1986" s="15"/>
    </row>
    <row r="1987" spans="1:16" x14ac:dyDescent="0.25">
      <c r="A1987" s="15"/>
      <c r="B1987" s="15"/>
      <c r="C1987" s="15"/>
      <c r="D1987" s="15"/>
      <c r="E1987" s="15"/>
      <c r="F1987" s="15"/>
      <c r="G1987" s="15"/>
      <c r="H1987" s="15"/>
      <c r="I1987" s="15"/>
      <c r="J1987" s="15"/>
      <c r="K1987" s="15"/>
      <c r="L1987" s="15"/>
      <c r="M1987" s="15"/>
      <c r="N1987" s="15"/>
      <c r="O1987" s="15"/>
      <c r="P1987" s="15"/>
    </row>
    <row r="1988" spans="1:16" x14ac:dyDescent="0.25">
      <c r="A1988" s="15"/>
      <c r="B1988" s="15"/>
      <c r="C1988" s="15"/>
      <c r="D1988" s="15"/>
      <c r="E1988" s="15"/>
      <c r="F1988" s="15"/>
      <c r="G1988" s="15"/>
      <c r="H1988" s="15"/>
      <c r="I1988" s="15"/>
      <c r="J1988" s="15"/>
      <c r="K1988" s="15"/>
      <c r="L1988" s="15"/>
      <c r="M1988" s="15"/>
      <c r="N1988" s="15"/>
      <c r="O1988" s="15"/>
      <c r="P1988" s="15"/>
    </row>
    <row r="1989" spans="1:16" x14ac:dyDescent="0.25">
      <c r="A1989" s="15"/>
      <c r="B1989" s="15"/>
      <c r="C1989" s="15"/>
      <c r="D1989" s="15"/>
      <c r="E1989" s="15"/>
      <c r="F1989" s="15"/>
      <c r="G1989" s="15"/>
      <c r="H1989" s="15"/>
      <c r="I1989" s="15"/>
      <c r="J1989" s="15"/>
      <c r="K1989" s="15"/>
      <c r="L1989" s="15"/>
      <c r="M1989" s="15"/>
      <c r="N1989" s="15"/>
      <c r="O1989" s="15"/>
      <c r="P1989" s="15"/>
    </row>
    <row r="1990" spans="1:16" x14ac:dyDescent="0.25">
      <c r="A1990" s="15"/>
      <c r="B1990" s="15"/>
      <c r="C1990" s="15"/>
      <c r="D1990" s="15"/>
      <c r="E1990" s="15"/>
      <c r="F1990" s="15"/>
      <c r="G1990" s="15"/>
      <c r="H1990" s="15"/>
      <c r="I1990" s="15"/>
      <c r="J1990" s="15"/>
      <c r="K1990" s="15"/>
      <c r="L1990" s="15"/>
      <c r="M1990" s="15"/>
      <c r="N1990" s="15"/>
      <c r="O1990" s="15"/>
      <c r="P1990" s="15"/>
    </row>
    <row r="1991" spans="1:16" x14ac:dyDescent="0.25">
      <c r="A1991" s="15"/>
      <c r="B1991" s="15"/>
      <c r="C1991" s="15"/>
      <c r="D1991" s="15"/>
      <c r="E1991" s="15"/>
      <c r="F1991" s="15"/>
      <c r="G1991" s="15"/>
      <c r="H1991" s="15"/>
      <c r="I1991" s="15"/>
      <c r="J1991" s="15"/>
      <c r="K1991" s="15"/>
      <c r="L1991" s="15"/>
      <c r="M1991" s="15"/>
      <c r="N1991" s="15"/>
      <c r="O1991" s="15"/>
      <c r="P1991" s="15"/>
    </row>
    <row r="1992" spans="1:16" x14ac:dyDescent="0.25">
      <c r="A1992" s="15"/>
      <c r="B1992" s="15"/>
      <c r="C1992" s="15"/>
      <c r="D1992" s="15"/>
      <c r="E1992" s="15"/>
      <c r="F1992" s="15"/>
      <c r="G1992" s="15"/>
      <c r="H1992" s="15"/>
      <c r="I1992" s="15"/>
      <c r="J1992" s="15"/>
      <c r="K1992" s="15"/>
      <c r="L1992" s="15"/>
      <c r="M1992" s="15"/>
      <c r="N1992" s="15"/>
      <c r="O1992" s="15"/>
      <c r="P1992" s="15"/>
    </row>
    <row r="1993" spans="1:16" x14ac:dyDescent="0.25">
      <c r="A1993" s="15"/>
      <c r="B1993" s="15"/>
      <c r="C1993" s="15"/>
      <c r="D1993" s="15"/>
      <c r="E1993" s="15"/>
      <c r="F1993" s="15"/>
      <c r="G1993" s="15"/>
      <c r="H1993" s="15"/>
      <c r="I1993" s="15"/>
      <c r="J1993" s="15"/>
      <c r="K1993" s="15"/>
      <c r="L1993" s="15"/>
      <c r="M1993" s="15"/>
      <c r="N1993" s="15"/>
      <c r="O1993" s="15"/>
      <c r="P1993" s="15"/>
    </row>
    <row r="1994" spans="1:16" x14ac:dyDescent="0.25">
      <c r="A1994" s="15"/>
      <c r="B1994" s="15"/>
      <c r="C1994" s="15"/>
      <c r="D1994" s="15"/>
      <c r="E1994" s="15"/>
      <c r="F1994" s="15"/>
      <c r="G1994" s="15"/>
      <c r="H1994" s="15"/>
      <c r="I1994" s="15"/>
      <c r="J1994" s="15"/>
      <c r="K1994" s="15"/>
      <c r="L1994" s="15"/>
      <c r="M1994" s="15"/>
      <c r="N1994" s="15"/>
      <c r="O1994" s="15"/>
      <c r="P1994" s="15"/>
    </row>
    <row r="1995" spans="1:16" x14ac:dyDescent="0.25">
      <c r="A1995" s="15"/>
      <c r="B1995" s="15"/>
      <c r="C1995" s="15"/>
      <c r="D1995" s="15"/>
      <c r="E1995" s="15"/>
      <c r="F1995" s="15"/>
      <c r="G1995" s="15"/>
      <c r="H1995" s="15"/>
      <c r="I1995" s="15"/>
      <c r="J1995" s="15"/>
      <c r="K1995" s="15"/>
      <c r="L1995" s="15"/>
      <c r="M1995" s="15"/>
      <c r="N1995" s="15"/>
      <c r="O1995" s="15"/>
      <c r="P1995" s="15"/>
    </row>
    <row r="1996" spans="1:16" x14ac:dyDescent="0.25">
      <c r="A1996" s="15"/>
      <c r="B1996" s="15"/>
      <c r="C1996" s="15"/>
      <c r="D1996" s="15"/>
      <c r="E1996" s="15"/>
      <c r="F1996" s="15"/>
      <c r="G1996" s="15"/>
      <c r="H1996" s="15"/>
      <c r="I1996" s="15"/>
      <c r="J1996" s="15"/>
      <c r="K1996" s="15"/>
      <c r="L1996" s="15"/>
      <c r="M1996" s="15"/>
      <c r="N1996" s="15"/>
      <c r="O1996" s="15"/>
      <c r="P1996" s="15"/>
    </row>
    <row r="1997" spans="1:16" x14ac:dyDescent="0.25">
      <c r="A1997" s="15"/>
      <c r="B1997" s="15"/>
      <c r="C1997" s="15"/>
      <c r="D1997" s="15"/>
      <c r="E1997" s="15"/>
      <c r="F1997" s="15"/>
      <c r="G1997" s="15"/>
      <c r="H1997" s="15"/>
      <c r="I1997" s="15"/>
      <c r="J1997" s="15"/>
      <c r="K1997" s="15"/>
      <c r="L1997" s="15"/>
      <c r="M1997" s="15"/>
      <c r="N1997" s="15"/>
      <c r="O1997" s="15"/>
      <c r="P1997" s="15"/>
    </row>
    <row r="1998" spans="1:16" x14ac:dyDescent="0.25">
      <c r="A1998" s="15"/>
      <c r="B1998" s="15"/>
      <c r="C1998" s="15"/>
      <c r="D1998" s="15"/>
      <c r="E1998" s="15"/>
      <c r="F1998" s="15"/>
      <c r="G1998" s="15"/>
      <c r="H1998" s="15"/>
      <c r="I1998" s="15"/>
      <c r="J1998" s="15"/>
      <c r="K1998" s="15"/>
      <c r="L1998" s="15"/>
      <c r="M1998" s="15"/>
      <c r="N1998" s="15"/>
      <c r="O1998" s="15"/>
      <c r="P1998" s="15"/>
    </row>
    <row r="1999" spans="1:16" x14ac:dyDescent="0.25">
      <c r="A1999" s="15"/>
      <c r="B1999" s="15"/>
      <c r="C1999" s="15"/>
      <c r="D1999" s="15"/>
      <c r="E1999" s="15"/>
      <c r="F1999" s="15"/>
      <c r="G1999" s="15"/>
      <c r="H1999" s="15"/>
      <c r="I1999" s="15"/>
      <c r="J1999" s="15"/>
      <c r="K1999" s="15"/>
      <c r="L1999" s="15"/>
      <c r="M1999" s="15"/>
      <c r="N1999" s="15"/>
      <c r="O1999" s="15"/>
      <c r="P1999" s="15"/>
    </row>
    <row r="2000" spans="1:16" x14ac:dyDescent="0.25">
      <c r="A2000" s="15"/>
      <c r="B2000" s="15"/>
      <c r="C2000" s="15"/>
      <c r="D2000" s="15"/>
      <c r="E2000" s="15"/>
      <c r="F2000" s="15"/>
      <c r="G2000" s="15"/>
      <c r="H2000" s="15"/>
      <c r="I2000" s="15"/>
      <c r="J2000" s="15"/>
      <c r="K2000" s="15"/>
      <c r="L2000" s="15"/>
      <c r="M2000" s="15"/>
      <c r="N2000" s="15"/>
      <c r="O2000" s="15"/>
      <c r="P2000" s="15"/>
    </row>
    <row r="2001" spans="1:16" x14ac:dyDescent="0.25">
      <c r="A2001" s="15"/>
      <c r="B2001" s="15"/>
      <c r="C2001" s="15"/>
      <c r="D2001" s="15"/>
      <c r="E2001" s="15"/>
      <c r="F2001" s="15"/>
      <c r="G2001" s="15"/>
      <c r="H2001" s="15"/>
      <c r="I2001" s="15"/>
      <c r="J2001" s="15"/>
      <c r="K2001" s="15"/>
      <c r="L2001" s="15"/>
      <c r="M2001" s="15"/>
      <c r="N2001" s="15"/>
      <c r="O2001" s="15"/>
      <c r="P2001" s="15"/>
    </row>
    <row r="2002" spans="1:16" x14ac:dyDescent="0.25">
      <c r="A2002" s="15"/>
      <c r="B2002" s="15"/>
      <c r="C2002" s="15"/>
      <c r="D2002" s="15"/>
      <c r="E2002" s="15"/>
      <c r="F2002" s="15"/>
      <c r="G2002" s="15"/>
      <c r="H2002" s="15"/>
      <c r="I2002" s="15"/>
      <c r="J2002" s="15"/>
      <c r="K2002" s="15"/>
      <c r="L2002" s="15"/>
      <c r="M2002" s="15"/>
      <c r="N2002" s="15"/>
      <c r="O2002" s="15"/>
      <c r="P2002" s="15"/>
    </row>
    <row r="2003" spans="1:16" x14ac:dyDescent="0.25">
      <c r="A2003" s="15"/>
      <c r="B2003" s="15"/>
      <c r="C2003" s="15"/>
      <c r="D2003" s="15"/>
      <c r="E2003" s="15"/>
      <c r="F2003" s="15"/>
      <c r="G2003" s="15"/>
      <c r="H2003" s="15"/>
      <c r="I2003" s="15"/>
      <c r="J2003" s="15"/>
      <c r="K2003" s="15"/>
      <c r="L2003" s="15"/>
      <c r="M2003" s="15"/>
      <c r="N2003" s="15"/>
      <c r="O2003" s="15"/>
      <c r="P2003" s="15"/>
    </row>
    <row r="2004" spans="1:16" x14ac:dyDescent="0.25">
      <c r="A2004" s="15"/>
      <c r="B2004" s="15"/>
      <c r="C2004" s="15"/>
      <c r="D2004" s="15"/>
      <c r="E2004" s="15"/>
      <c r="F2004" s="15"/>
      <c r="G2004" s="15"/>
      <c r="H2004" s="15"/>
      <c r="I2004" s="15"/>
      <c r="J2004" s="15"/>
      <c r="K2004" s="15"/>
      <c r="L2004" s="15"/>
      <c r="M2004" s="15"/>
      <c r="N2004" s="15"/>
      <c r="O2004" s="15"/>
      <c r="P2004" s="15"/>
    </row>
    <row r="2005" spans="1:16" x14ac:dyDescent="0.25">
      <c r="A2005" s="15"/>
      <c r="B2005" s="15"/>
      <c r="C2005" s="15"/>
      <c r="D2005" s="15"/>
      <c r="E2005" s="15"/>
      <c r="F2005" s="15"/>
      <c r="G2005" s="15"/>
      <c r="H2005" s="15"/>
      <c r="I2005" s="15"/>
      <c r="J2005" s="15"/>
      <c r="K2005" s="15"/>
      <c r="L2005" s="15"/>
      <c r="M2005" s="15"/>
      <c r="N2005" s="15"/>
      <c r="O2005" s="15"/>
      <c r="P2005" s="15"/>
    </row>
    <row r="2006" spans="1:16" x14ac:dyDescent="0.25">
      <c r="A2006" s="15"/>
      <c r="B2006" s="15"/>
      <c r="C2006" s="15"/>
      <c r="D2006" s="15"/>
      <c r="E2006" s="15"/>
      <c r="F2006" s="15"/>
      <c r="G2006" s="15"/>
      <c r="H2006" s="15"/>
      <c r="I2006" s="15"/>
      <c r="J2006" s="15"/>
      <c r="K2006" s="15"/>
      <c r="L2006" s="15"/>
      <c r="M2006" s="15"/>
      <c r="N2006" s="15"/>
      <c r="O2006" s="15"/>
      <c r="P2006" s="15"/>
    </row>
    <row r="2007" spans="1:16" x14ac:dyDescent="0.25">
      <c r="A2007" s="15"/>
      <c r="B2007" s="15"/>
      <c r="C2007" s="15"/>
      <c r="D2007" s="15"/>
      <c r="E2007" s="15"/>
      <c r="F2007" s="15"/>
      <c r="G2007" s="15"/>
      <c r="H2007" s="15"/>
      <c r="I2007" s="15"/>
      <c r="J2007" s="15"/>
      <c r="K2007" s="15"/>
      <c r="L2007" s="15"/>
      <c r="M2007" s="15"/>
      <c r="N2007" s="15"/>
      <c r="O2007" s="15"/>
      <c r="P2007" s="15"/>
    </row>
    <row r="2008" spans="1:16" x14ac:dyDescent="0.25">
      <c r="A2008" s="15"/>
      <c r="B2008" s="15"/>
      <c r="C2008" s="15"/>
      <c r="D2008" s="15"/>
      <c r="E2008" s="15"/>
      <c r="F2008" s="15"/>
      <c r="G2008" s="15"/>
      <c r="H2008" s="15"/>
      <c r="I2008" s="15"/>
      <c r="J2008" s="15"/>
      <c r="K2008" s="15"/>
      <c r="L2008" s="15"/>
      <c r="M2008" s="15"/>
      <c r="N2008" s="15"/>
      <c r="O2008" s="15"/>
      <c r="P2008" s="15"/>
    </row>
    <row r="2009" spans="1:16" x14ac:dyDescent="0.25">
      <c r="A2009" s="15"/>
      <c r="B2009" s="15"/>
      <c r="C2009" s="15"/>
      <c r="D2009" s="15"/>
      <c r="E2009" s="15"/>
      <c r="F2009" s="15"/>
      <c r="G2009" s="15"/>
      <c r="H2009" s="15"/>
      <c r="I2009" s="15"/>
      <c r="J2009" s="15"/>
      <c r="K2009" s="15"/>
      <c r="L2009" s="15"/>
      <c r="M2009" s="15"/>
      <c r="N2009" s="15"/>
      <c r="O2009" s="15"/>
      <c r="P2009" s="15"/>
    </row>
    <row r="2010" spans="1:16" x14ac:dyDescent="0.25">
      <c r="A2010" s="15"/>
      <c r="B2010" s="15"/>
      <c r="C2010" s="15"/>
      <c r="D2010" s="15"/>
      <c r="E2010" s="15"/>
      <c r="F2010" s="15"/>
      <c r="G2010" s="15"/>
      <c r="H2010" s="15"/>
      <c r="I2010" s="15"/>
      <c r="J2010" s="15"/>
      <c r="K2010" s="15"/>
      <c r="L2010" s="15"/>
      <c r="M2010" s="15"/>
      <c r="N2010" s="15"/>
      <c r="O2010" s="15"/>
      <c r="P2010" s="15"/>
    </row>
    <row r="2011" spans="1:16" x14ac:dyDescent="0.25">
      <c r="A2011" s="15"/>
      <c r="B2011" s="15"/>
      <c r="C2011" s="15"/>
      <c r="D2011" s="15"/>
      <c r="E2011" s="15"/>
      <c r="F2011" s="15"/>
      <c r="G2011" s="15"/>
      <c r="H2011" s="15"/>
      <c r="I2011" s="15"/>
      <c r="J2011" s="15"/>
      <c r="K2011" s="15"/>
      <c r="L2011" s="15"/>
      <c r="M2011" s="15"/>
      <c r="N2011" s="15"/>
      <c r="O2011" s="15"/>
      <c r="P2011" s="15"/>
    </row>
    <row r="2012" spans="1:16" x14ac:dyDescent="0.25">
      <c r="A2012" s="15"/>
      <c r="B2012" s="15"/>
      <c r="C2012" s="15"/>
      <c r="D2012" s="15"/>
      <c r="E2012" s="15"/>
      <c r="F2012" s="15"/>
      <c r="G2012" s="15"/>
      <c r="H2012" s="15"/>
      <c r="I2012" s="15"/>
      <c r="J2012" s="15"/>
      <c r="K2012" s="15"/>
      <c r="L2012" s="15"/>
      <c r="M2012" s="15"/>
      <c r="N2012" s="15"/>
      <c r="O2012" s="15"/>
      <c r="P2012" s="15"/>
    </row>
    <row r="2013" spans="1:16" x14ac:dyDescent="0.25">
      <c r="A2013" s="15"/>
      <c r="B2013" s="15"/>
      <c r="C2013" s="15"/>
      <c r="D2013" s="15"/>
      <c r="E2013" s="15"/>
      <c r="F2013" s="15"/>
      <c r="G2013" s="15"/>
      <c r="H2013" s="15"/>
      <c r="I2013" s="15"/>
      <c r="J2013" s="15"/>
      <c r="K2013" s="15"/>
      <c r="L2013" s="15"/>
      <c r="M2013" s="15"/>
      <c r="N2013" s="15"/>
      <c r="O2013" s="15"/>
      <c r="P2013" s="15"/>
    </row>
    <row r="2014" spans="1:16" x14ac:dyDescent="0.25">
      <c r="A2014" s="15"/>
      <c r="B2014" s="15"/>
      <c r="C2014" s="15"/>
      <c r="D2014" s="15"/>
      <c r="E2014" s="15"/>
      <c r="F2014" s="15"/>
      <c r="G2014" s="15"/>
      <c r="H2014" s="15"/>
      <c r="I2014" s="15"/>
      <c r="J2014" s="15"/>
      <c r="K2014" s="15"/>
      <c r="L2014" s="15"/>
      <c r="M2014" s="15"/>
      <c r="N2014" s="15"/>
      <c r="O2014" s="15"/>
      <c r="P2014" s="15"/>
    </row>
    <row r="2015" spans="1:16" x14ac:dyDescent="0.25">
      <c r="A2015" s="15"/>
      <c r="B2015" s="15"/>
      <c r="C2015" s="15"/>
      <c r="D2015" s="15"/>
      <c r="E2015" s="15"/>
      <c r="F2015" s="15"/>
      <c r="G2015" s="15"/>
      <c r="H2015" s="15"/>
      <c r="I2015" s="15"/>
      <c r="J2015" s="15"/>
      <c r="K2015" s="15"/>
      <c r="L2015" s="15"/>
      <c r="M2015" s="15"/>
      <c r="N2015" s="15"/>
      <c r="O2015" s="15"/>
      <c r="P2015" s="15"/>
    </row>
    <row r="2016" spans="1:16" x14ac:dyDescent="0.25">
      <c r="A2016" s="15"/>
      <c r="B2016" s="15"/>
      <c r="C2016" s="15"/>
      <c r="D2016" s="15"/>
      <c r="E2016" s="15"/>
      <c r="F2016" s="15"/>
      <c r="G2016" s="15"/>
      <c r="H2016" s="15"/>
      <c r="I2016" s="15"/>
      <c r="J2016" s="15"/>
      <c r="K2016" s="15"/>
      <c r="L2016" s="15"/>
      <c r="M2016" s="15"/>
      <c r="N2016" s="15"/>
      <c r="O2016" s="15"/>
      <c r="P2016" s="15"/>
    </row>
    <row r="2017" spans="1:16" x14ac:dyDescent="0.25">
      <c r="A2017" s="15"/>
      <c r="B2017" s="15"/>
      <c r="C2017" s="15"/>
      <c r="D2017" s="15"/>
      <c r="E2017" s="15"/>
      <c r="F2017" s="15"/>
      <c r="G2017" s="15"/>
      <c r="H2017" s="15"/>
      <c r="I2017" s="15"/>
      <c r="J2017" s="15"/>
      <c r="K2017" s="15"/>
      <c r="L2017" s="15"/>
      <c r="M2017" s="15"/>
      <c r="N2017" s="15"/>
      <c r="O2017" s="15"/>
      <c r="P2017" s="15"/>
    </row>
    <row r="2018" spans="1:16" x14ac:dyDescent="0.25">
      <c r="A2018" s="15"/>
      <c r="B2018" s="15"/>
      <c r="C2018" s="15"/>
      <c r="D2018" s="15"/>
      <c r="E2018" s="15"/>
      <c r="F2018" s="15"/>
      <c r="G2018" s="15"/>
      <c r="H2018" s="15"/>
      <c r="I2018" s="15"/>
      <c r="J2018" s="15"/>
      <c r="K2018" s="15"/>
      <c r="L2018" s="15"/>
      <c r="M2018" s="15"/>
      <c r="N2018" s="15"/>
      <c r="O2018" s="15"/>
      <c r="P2018" s="15"/>
    </row>
    <row r="2019" spans="1:16" x14ac:dyDescent="0.25">
      <c r="A2019" s="15"/>
      <c r="B2019" s="15"/>
      <c r="C2019" s="15"/>
      <c r="D2019" s="15"/>
      <c r="E2019" s="15"/>
      <c r="F2019" s="15"/>
      <c r="G2019" s="15"/>
      <c r="H2019" s="15"/>
      <c r="I2019" s="15"/>
      <c r="J2019" s="15"/>
      <c r="K2019" s="15"/>
      <c r="L2019" s="15"/>
      <c r="M2019" s="15"/>
      <c r="N2019" s="15"/>
      <c r="O2019" s="15"/>
      <c r="P2019" s="15"/>
    </row>
    <row r="2020" spans="1:16" x14ac:dyDescent="0.25">
      <c r="A2020" s="15"/>
      <c r="B2020" s="15"/>
      <c r="C2020" s="15"/>
      <c r="D2020" s="15"/>
      <c r="E2020" s="15"/>
      <c r="F2020" s="15"/>
      <c r="G2020" s="15"/>
      <c r="H2020" s="15"/>
      <c r="I2020" s="15"/>
      <c r="J2020" s="15"/>
      <c r="K2020" s="15"/>
      <c r="L2020" s="15"/>
      <c r="M2020" s="15"/>
      <c r="N2020" s="15"/>
      <c r="O2020" s="15"/>
      <c r="P2020" s="15"/>
    </row>
    <row r="2021" spans="1:16" x14ac:dyDescent="0.25">
      <c r="A2021" s="15"/>
      <c r="B2021" s="15"/>
      <c r="C2021" s="15"/>
      <c r="D2021" s="15"/>
      <c r="E2021" s="15"/>
      <c r="F2021" s="15"/>
      <c r="G2021" s="15"/>
      <c r="H2021" s="15"/>
      <c r="I2021" s="15"/>
      <c r="J2021" s="15"/>
      <c r="K2021" s="15"/>
      <c r="L2021" s="15"/>
      <c r="M2021" s="15"/>
      <c r="N2021" s="15"/>
      <c r="O2021" s="15"/>
      <c r="P2021" s="15"/>
    </row>
    <row r="2022" spans="1:16" x14ac:dyDescent="0.25">
      <c r="A2022" s="15"/>
      <c r="B2022" s="15"/>
      <c r="C2022" s="15"/>
      <c r="D2022" s="15"/>
      <c r="E2022" s="15"/>
      <c r="F2022" s="15"/>
      <c r="G2022" s="15"/>
      <c r="H2022" s="15"/>
      <c r="I2022" s="15"/>
      <c r="J2022" s="15"/>
      <c r="K2022" s="15"/>
      <c r="L2022" s="15"/>
      <c r="M2022" s="15"/>
      <c r="N2022" s="15"/>
      <c r="O2022" s="15"/>
      <c r="P2022" s="15"/>
    </row>
    <row r="2023" spans="1:16" x14ac:dyDescent="0.25">
      <c r="A2023" s="15"/>
      <c r="B2023" s="15"/>
      <c r="C2023" s="15"/>
      <c r="D2023" s="15"/>
      <c r="E2023" s="15"/>
      <c r="F2023" s="15"/>
      <c r="G2023" s="15"/>
      <c r="H2023" s="15"/>
      <c r="I2023" s="15"/>
      <c r="J2023" s="15"/>
      <c r="K2023" s="15"/>
      <c r="L2023" s="15"/>
      <c r="M2023" s="15"/>
      <c r="N2023" s="15"/>
      <c r="O2023" s="15"/>
      <c r="P2023" s="15"/>
    </row>
    <row r="2024" spans="1:16" x14ac:dyDescent="0.25">
      <c r="A2024" s="15"/>
      <c r="B2024" s="15"/>
      <c r="C2024" s="15"/>
      <c r="D2024" s="15"/>
      <c r="E2024" s="15"/>
      <c r="F2024" s="15"/>
      <c r="G2024" s="15"/>
      <c r="H2024" s="15"/>
      <c r="I2024" s="15"/>
      <c r="J2024" s="15"/>
      <c r="K2024" s="15"/>
      <c r="L2024" s="15"/>
      <c r="M2024" s="15"/>
      <c r="N2024" s="15"/>
      <c r="O2024" s="15"/>
      <c r="P2024" s="15"/>
    </row>
    <row r="2025" spans="1:16" x14ac:dyDescent="0.25">
      <c r="A2025" s="15"/>
      <c r="B2025" s="15"/>
      <c r="C2025" s="15"/>
      <c r="D2025" s="15"/>
      <c r="E2025" s="15"/>
      <c r="F2025" s="15"/>
      <c r="G2025" s="15"/>
      <c r="H2025" s="15"/>
      <c r="I2025" s="15"/>
      <c r="J2025" s="15"/>
      <c r="K2025" s="15"/>
      <c r="L2025" s="15"/>
      <c r="M2025" s="15"/>
      <c r="N2025" s="15"/>
      <c r="O2025" s="15"/>
      <c r="P2025" s="15"/>
    </row>
    <row r="2026" spans="1:16" x14ac:dyDescent="0.25">
      <c r="A2026" s="15"/>
      <c r="B2026" s="15"/>
      <c r="C2026" s="15"/>
      <c r="D2026" s="15"/>
      <c r="E2026" s="15"/>
      <c r="F2026" s="15"/>
      <c r="G2026" s="15"/>
      <c r="H2026" s="15"/>
      <c r="I2026" s="15"/>
      <c r="J2026" s="15"/>
      <c r="K2026" s="15"/>
      <c r="L2026" s="15"/>
      <c r="M2026" s="15"/>
      <c r="N2026" s="15"/>
      <c r="O2026" s="15"/>
      <c r="P2026" s="15"/>
    </row>
    <row r="2027" spans="1:16" x14ac:dyDescent="0.25">
      <c r="A2027" s="15"/>
      <c r="B2027" s="15"/>
      <c r="C2027" s="15"/>
      <c r="D2027" s="15"/>
      <c r="E2027" s="15"/>
      <c r="F2027" s="15"/>
      <c r="G2027" s="15"/>
      <c r="H2027" s="15"/>
      <c r="I2027" s="15"/>
      <c r="J2027" s="15"/>
      <c r="K2027" s="15"/>
      <c r="L2027" s="15"/>
      <c r="M2027" s="15"/>
      <c r="N2027" s="15"/>
      <c r="O2027" s="15"/>
      <c r="P2027" s="15"/>
    </row>
    <row r="2028" spans="1:16" x14ac:dyDescent="0.25">
      <c r="A2028" s="15"/>
      <c r="B2028" s="15"/>
      <c r="C2028" s="15"/>
      <c r="D2028" s="15"/>
      <c r="E2028" s="15"/>
      <c r="F2028" s="15"/>
      <c r="G2028" s="15"/>
      <c r="H2028" s="15"/>
      <c r="I2028" s="15"/>
      <c r="J2028" s="15"/>
      <c r="K2028" s="15"/>
      <c r="L2028" s="15"/>
      <c r="M2028" s="15"/>
      <c r="N2028" s="15"/>
      <c r="O2028" s="15"/>
      <c r="P2028" s="15"/>
    </row>
    <row r="2029" spans="1:16" x14ac:dyDescent="0.25">
      <c r="A2029" s="15"/>
      <c r="B2029" s="15"/>
      <c r="C2029" s="15"/>
      <c r="D2029" s="15"/>
      <c r="E2029" s="15"/>
      <c r="F2029" s="15"/>
      <c r="G2029" s="15"/>
      <c r="H2029" s="15"/>
      <c r="I2029" s="15"/>
      <c r="J2029" s="15"/>
      <c r="K2029" s="15"/>
      <c r="L2029" s="15"/>
      <c r="M2029" s="15"/>
      <c r="N2029" s="15"/>
      <c r="O2029" s="15"/>
      <c r="P2029" s="15"/>
    </row>
    <row r="2030" spans="1:16" x14ac:dyDescent="0.25">
      <c r="A2030" s="15"/>
      <c r="B2030" s="15"/>
      <c r="C2030" s="15"/>
      <c r="D2030" s="15"/>
      <c r="E2030" s="15"/>
      <c r="F2030" s="15"/>
      <c r="G2030" s="15"/>
      <c r="H2030" s="15"/>
      <c r="I2030" s="15"/>
      <c r="J2030" s="15"/>
      <c r="K2030" s="15"/>
      <c r="L2030" s="15"/>
      <c r="M2030" s="15"/>
      <c r="N2030" s="15"/>
      <c r="O2030" s="15"/>
      <c r="P2030" s="15"/>
    </row>
    <row r="2031" spans="1:16" x14ac:dyDescent="0.25">
      <c r="A2031" s="15"/>
      <c r="B2031" s="15"/>
      <c r="C2031" s="15"/>
      <c r="D2031" s="15"/>
      <c r="E2031" s="15"/>
      <c r="F2031" s="15"/>
      <c r="G2031" s="15"/>
      <c r="H2031" s="15"/>
      <c r="I2031" s="15"/>
      <c r="J2031" s="15"/>
      <c r="K2031" s="15"/>
      <c r="L2031" s="15"/>
      <c r="M2031" s="15"/>
      <c r="N2031" s="15"/>
      <c r="O2031" s="15"/>
      <c r="P2031" s="15"/>
    </row>
    <row r="2032" spans="1:16" x14ac:dyDescent="0.25">
      <c r="A2032" s="15"/>
      <c r="B2032" s="15"/>
      <c r="C2032" s="15"/>
      <c r="D2032" s="15"/>
      <c r="E2032" s="15"/>
      <c r="F2032" s="15"/>
      <c r="G2032" s="15"/>
      <c r="H2032" s="15"/>
      <c r="I2032" s="15"/>
      <c r="J2032" s="15"/>
      <c r="K2032" s="15"/>
      <c r="L2032" s="15"/>
      <c r="M2032" s="15"/>
      <c r="N2032" s="15"/>
      <c r="O2032" s="15"/>
      <c r="P2032" s="15"/>
    </row>
    <row r="2033" spans="1:16" x14ac:dyDescent="0.25">
      <c r="A2033" s="15"/>
      <c r="B2033" s="15"/>
      <c r="C2033" s="15"/>
      <c r="D2033" s="15"/>
      <c r="E2033" s="15"/>
      <c r="F2033" s="15"/>
      <c r="G2033" s="15"/>
      <c r="H2033" s="15"/>
      <c r="I2033" s="15"/>
      <c r="J2033" s="15"/>
      <c r="K2033" s="15"/>
      <c r="L2033" s="15"/>
      <c r="M2033" s="15"/>
      <c r="N2033" s="15"/>
      <c r="O2033" s="15"/>
      <c r="P2033" s="15"/>
    </row>
    <row r="2034" spans="1:16" x14ac:dyDescent="0.25">
      <c r="A2034" s="15"/>
      <c r="B2034" s="15"/>
      <c r="C2034" s="15"/>
      <c r="D2034" s="15"/>
      <c r="E2034" s="15"/>
      <c r="F2034" s="15"/>
      <c r="G2034" s="15"/>
      <c r="H2034" s="15"/>
      <c r="I2034" s="15"/>
      <c r="J2034" s="15"/>
      <c r="K2034" s="15"/>
      <c r="L2034" s="15"/>
      <c r="M2034" s="15"/>
      <c r="N2034" s="15"/>
      <c r="O2034" s="15"/>
      <c r="P2034" s="15"/>
    </row>
    <row r="2035" spans="1:16" x14ac:dyDescent="0.25">
      <c r="A2035" s="15"/>
      <c r="B2035" s="15"/>
      <c r="C2035" s="15"/>
      <c r="D2035" s="15"/>
      <c r="E2035" s="15"/>
      <c r="F2035" s="15"/>
      <c r="G2035" s="15"/>
      <c r="H2035" s="15"/>
      <c r="I2035" s="15"/>
      <c r="J2035" s="15"/>
      <c r="K2035" s="15"/>
      <c r="L2035" s="15"/>
      <c r="M2035" s="15"/>
      <c r="N2035" s="15"/>
      <c r="O2035" s="15"/>
      <c r="P2035" s="15"/>
    </row>
    <row r="2036" spans="1:16" x14ac:dyDescent="0.25">
      <c r="A2036" s="15"/>
      <c r="B2036" s="15"/>
      <c r="C2036" s="15"/>
      <c r="D2036" s="15"/>
      <c r="E2036" s="15"/>
      <c r="F2036" s="15"/>
      <c r="G2036" s="15"/>
      <c r="H2036" s="15"/>
      <c r="I2036" s="15"/>
      <c r="J2036" s="15"/>
      <c r="K2036" s="15"/>
      <c r="L2036" s="15"/>
      <c r="M2036" s="15"/>
      <c r="N2036" s="15"/>
      <c r="O2036" s="15"/>
      <c r="P2036" s="15"/>
    </row>
    <row r="2037" spans="1:16" x14ac:dyDescent="0.25">
      <c r="A2037" s="15"/>
      <c r="B2037" s="15"/>
      <c r="C2037" s="15"/>
      <c r="D2037" s="15"/>
      <c r="E2037" s="15"/>
      <c r="F2037" s="15"/>
      <c r="G2037" s="15"/>
      <c r="H2037" s="15"/>
      <c r="I2037" s="15"/>
      <c r="J2037" s="15"/>
      <c r="K2037" s="15"/>
      <c r="L2037" s="15"/>
      <c r="M2037" s="15"/>
      <c r="N2037" s="15"/>
      <c r="O2037" s="15"/>
      <c r="P2037" s="15"/>
    </row>
    <row r="2038" spans="1:16" x14ac:dyDescent="0.25">
      <c r="A2038" s="15"/>
      <c r="B2038" s="15"/>
      <c r="C2038" s="15"/>
      <c r="D2038" s="15"/>
      <c r="E2038" s="15"/>
      <c r="F2038" s="15"/>
      <c r="G2038" s="15"/>
      <c r="H2038" s="15"/>
      <c r="I2038" s="15"/>
      <c r="J2038" s="15"/>
      <c r="K2038" s="15"/>
      <c r="L2038" s="15"/>
      <c r="M2038" s="15"/>
      <c r="N2038" s="15"/>
      <c r="O2038" s="15"/>
      <c r="P2038" s="15"/>
    </row>
    <row r="2039" spans="1:16" x14ac:dyDescent="0.25">
      <c r="A2039" s="15"/>
      <c r="B2039" s="15"/>
      <c r="C2039" s="15"/>
      <c r="D2039" s="15"/>
      <c r="E2039" s="15"/>
      <c r="F2039" s="15"/>
      <c r="G2039" s="15"/>
      <c r="H2039" s="15"/>
      <c r="I2039" s="15"/>
      <c r="J2039" s="15"/>
      <c r="K2039" s="15"/>
      <c r="L2039" s="15"/>
      <c r="M2039" s="15"/>
      <c r="N2039" s="15"/>
      <c r="O2039" s="15"/>
      <c r="P2039" s="15"/>
    </row>
    <row r="2040" spans="1:16" x14ac:dyDescent="0.25">
      <c r="A2040" s="15"/>
      <c r="B2040" s="15"/>
      <c r="C2040" s="15"/>
      <c r="D2040" s="15"/>
      <c r="E2040" s="15"/>
      <c r="F2040" s="15"/>
      <c r="G2040" s="15"/>
      <c r="H2040" s="15"/>
      <c r="I2040" s="15"/>
      <c r="J2040" s="15"/>
      <c r="K2040" s="15"/>
      <c r="L2040" s="15"/>
      <c r="M2040" s="15"/>
      <c r="N2040" s="15"/>
      <c r="O2040" s="15"/>
      <c r="P2040" s="15"/>
    </row>
    <row r="2041" spans="1:16" x14ac:dyDescent="0.25">
      <c r="A2041" s="15"/>
      <c r="B2041" s="15"/>
      <c r="C2041" s="15"/>
      <c r="D2041" s="15"/>
      <c r="E2041" s="15"/>
      <c r="F2041" s="15"/>
      <c r="G2041" s="15"/>
      <c r="H2041" s="15"/>
      <c r="I2041" s="15"/>
      <c r="J2041" s="15"/>
      <c r="K2041" s="15"/>
      <c r="L2041" s="15"/>
      <c r="M2041" s="15"/>
      <c r="N2041" s="15"/>
      <c r="O2041" s="15"/>
      <c r="P2041" s="15"/>
    </row>
    <row r="2042" spans="1:16" x14ac:dyDescent="0.25">
      <c r="A2042" s="15"/>
      <c r="B2042" s="15"/>
      <c r="C2042" s="15"/>
      <c r="D2042" s="15"/>
      <c r="E2042" s="15"/>
      <c r="F2042" s="15"/>
      <c r="G2042" s="15"/>
      <c r="H2042" s="15"/>
      <c r="I2042" s="15"/>
      <c r="J2042" s="15"/>
      <c r="K2042" s="15"/>
      <c r="L2042" s="15"/>
      <c r="M2042" s="15"/>
      <c r="N2042" s="15"/>
      <c r="O2042" s="15"/>
      <c r="P2042" s="15"/>
    </row>
    <row r="2043" spans="1:16" x14ac:dyDescent="0.25">
      <c r="A2043" s="15"/>
      <c r="B2043" s="15"/>
      <c r="C2043" s="15"/>
      <c r="D2043" s="15"/>
      <c r="E2043" s="15"/>
      <c r="F2043" s="15"/>
      <c r="G2043" s="15"/>
      <c r="H2043" s="15"/>
      <c r="I2043" s="15"/>
      <c r="J2043" s="15"/>
      <c r="K2043" s="15"/>
      <c r="L2043" s="15"/>
      <c r="M2043" s="15"/>
      <c r="N2043" s="15"/>
      <c r="O2043" s="15"/>
      <c r="P2043" s="15"/>
    </row>
    <row r="2044" spans="1:16" x14ac:dyDescent="0.25">
      <c r="A2044" s="15"/>
      <c r="B2044" s="15"/>
      <c r="C2044" s="15"/>
      <c r="D2044" s="15"/>
      <c r="E2044" s="15"/>
      <c r="F2044" s="15"/>
      <c r="G2044" s="15"/>
      <c r="H2044" s="15"/>
      <c r="I2044" s="15"/>
      <c r="J2044" s="15"/>
      <c r="K2044" s="15"/>
      <c r="L2044" s="15"/>
      <c r="M2044" s="15"/>
      <c r="N2044" s="15"/>
      <c r="O2044" s="15"/>
      <c r="P2044" s="15"/>
    </row>
    <row r="2045" spans="1:16" x14ac:dyDescent="0.25">
      <c r="A2045" s="15"/>
      <c r="B2045" s="15"/>
      <c r="C2045" s="15"/>
      <c r="D2045" s="15"/>
      <c r="E2045" s="15"/>
      <c r="F2045" s="15"/>
      <c r="G2045" s="15"/>
      <c r="H2045" s="15"/>
      <c r="I2045" s="15"/>
      <c r="J2045" s="15"/>
      <c r="K2045" s="15"/>
      <c r="L2045" s="15"/>
      <c r="M2045" s="15"/>
      <c r="N2045" s="15"/>
      <c r="O2045" s="15"/>
      <c r="P2045" s="15"/>
    </row>
    <row r="2046" spans="1:16" x14ac:dyDescent="0.25">
      <c r="A2046" s="15"/>
      <c r="B2046" s="15"/>
      <c r="C2046" s="15"/>
      <c r="D2046" s="15"/>
      <c r="E2046" s="15"/>
      <c r="F2046" s="15"/>
      <c r="G2046" s="15"/>
      <c r="H2046" s="15"/>
      <c r="I2046" s="15"/>
      <c r="J2046" s="15"/>
      <c r="K2046" s="15"/>
      <c r="L2046" s="15"/>
      <c r="M2046" s="15"/>
      <c r="N2046" s="15"/>
      <c r="O2046" s="15"/>
      <c r="P2046" s="15"/>
    </row>
    <row r="2047" spans="1:16" x14ac:dyDescent="0.25">
      <c r="A2047" s="15"/>
      <c r="B2047" s="15"/>
      <c r="C2047" s="15"/>
      <c r="D2047" s="15"/>
      <c r="E2047" s="15"/>
      <c r="F2047" s="15"/>
      <c r="G2047" s="15"/>
      <c r="H2047" s="15"/>
      <c r="I2047" s="15"/>
      <c r="J2047" s="15"/>
      <c r="K2047" s="15"/>
      <c r="L2047" s="15"/>
      <c r="M2047" s="15"/>
      <c r="N2047" s="15"/>
      <c r="O2047" s="15"/>
      <c r="P2047" s="15"/>
    </row>
    <row r="2048" spans="1:16" x14ac:dyDescent="0.25">
      <c r="A2048" s="15"/>
      <c r="B2048" s="15"/>
      <c r="C2048" s="15"/>
      <c r="D2048" s="15"/>
      <c r="E2048" s="15"/>
      <c r="F2048" s="15"/>
      <c r="G2048" s="15"/>
      <c r="H2048" s="15"/>
      <c r="I2048" s="15"/>
      <c r="J2048" s="15"/>
      <c r="K2048" s="15"/>
      <c r="L2048" s="15"/>
      <c r="M2048" s="15"/>
      <c r="N2048" s="15"/>
      <c r="O2048" s="15"/>
      <c r="P2048" s="15"/>
    </row>
    <row r="2049" spans="1:16" x14ac:dyDescent="0.25">
      <c r="A2049" s="15"/>
      <c r="B2049" s="15"/>
      <c r="C2049" s="15"/>
      <c r="D2049" s="15"/>
      <c r="E2049" s="15"/>
      <c r="F2049" s="15"/>
      <c r="G2049" s="15"/>
      <c r="H2049" s="15"/>
      <c r="I2049" s="15"/>
      <c r="J2049" s="15"/>
      <c r="K2049" s="15"/>
      <c r="L2049" s="15"/>
      <c r="M2049" s="15"/>
      <c r="N2049" s="15"/>
      <c r="O2049" s="15"/>
      <c r="P2049" s="15"/>
    </row>
    <row r="2050" spans="1:16" x14ac:dyDescent="0.25">
      <c r="A2050" s="15"/>
      <c r="B2050" s="15"/>
      <c r="C2050" s="15"/>
      <c r="D2050" s="15"/>
      <c r="E2050" s="15"/>
      <c r="F2050" s="15"/>
      <c r="G2050" s="15"/>
      <c r="H2050" s="15"/>
      <c r="I2050" s="15"/>
      <c r="J2050" s="15"/>
      <c r="K2050" s="15"/>
      <c r="L2050" s="15"/>
      <c r="M2050" s="15"/>
      <c r="N2050" s="15"/>
      <c r="O2050" s="15"/>
      <c r="P2050" s="15"/>
    </row>
    <row r="2051" spans="1:16" x14ac:dyDescent="0.25">
      <c r="A2051" s="15"/>
      <c r="B2051" s="15"/>
      <c r="C2051" s="15"/>
      <c r="D2051" s="15"/>
      <c r="E2051" s="15"/>
      <c r="F2051" s="15"/>
      <c r="G2051" s="15"/>
      <c r="H2051" s="15"/>
      <c r="I2051" s="15"/>
      <c r="J2051" s="15"/>
      <c r="K2051" s="15"/>
      <c r="L2051" s="15"/>
      <c r="M2051" s="15"/>
      <c r="N2051" s="15"/>
      <c r="O2051" s="15"/>
      <c r="P2051" s="15"/>
    </row>
    <row r="2052" spans="1:16" x14ac:dyDescent="0.25">
      <c r="A2052" s="15"/>
      <c r="B2052" s="15"/>
      <c r="C2052" s="15"/>
      <c r="D2052" s="15"/>
      <c r="E2052" s="15"/>
      <c r="F2052" s="15"/>
      <c r="G2052" s="15"/>
      <c r="H2052" s="15"/>
      <c r="I2052" s="15"/>
      <c r="J2052" s="15"/>
      <c r="K2052" s="15"/>
      <c r="L2052" s="15"/>
      <c r="M2052" s="15"/>
      <c r="N2052" s="15"/>
      <c r="O2052" s="15"/>
      <c r="P2052" s="15"/>
    </row>
    <row r="2053" spans="1:16" x14ac:dyDescent="0.25">
      <c r="A2053" s="15"/>
      <c r="B2053" s="15"/>
      <c r="C2053" s="15"/>
      <c r="D2053" s="15"/>
      <c r="E2053" s="15"/>
      <c r="F2053" s="15"/>
      <c r="G2053" s="15"/>
      <c r="H2053" s="15"/>
      <c r="I2053" s="15"/>
      <c r="J2053" s="15"/>
      <c r="K2053" s="15"/>
      <c r="L2053" s="15"/>
      <c r="M2053" s="15"/>
      <c r="N2053" s="15"/>
      <c r="O2053" s="15"/>
      <c r="P2053" s="15"/>
    </row>
    <row r="2054" spans="1:16" x14ac:dyDescent="0.25">
      <c r="A2054" s="15"/>
      <c r="B2054" s="15"/>
      <c r="C2054" s="15"/>
      <c r="D2054" s="15"/>
      <c r="E2054" s="15"/>
      <c r="F2054" s="15"/>
      <c r="G2054" s="15"/>
      <c r="H2054" s="15"/>
      <c r="I2054" s="15"/>
      <c r="J2054" s="15"/>
      <c r="K2054" s="15"/>
      <c r="L2054" s="15"/>
      <c r="M2054" s="15"/>
      <c r="N2054" s="15"/>
      <c r="O2054" s="15"/>
      <c r="P2054" s="15"/>
    </row>
    <row r="2055" spans="1:16" x14ac:dyDescent="0.25">
      <c r="A2055" s="15"/>
      <c r="B2055" s="15"/>
      <c r="C2055" s="15"/>
      <c r="D2055" s="15"/>
      <c r="E2055" s="15"/>
      <c r="F2055" s="15"/>
      <c r="G2055" s="15"/>
      <c r="H2055" s="15"/>
      <c r="I2055" s="15"/>
      <c r="J2055" s="15"/>
      <c r="K2055" s="15"/>
      <c r="L2055" s="15"/>
      <c r="M2055" s="15"/>
      <c r="N2055" s="15"/>
      <c r="O2055" s="15"/>
      <c r="P2055" s="15"/>
    </row>
    <row r="2056" spans="1:16" x14ac:dyDescent="0.25">
      <c r="A2056" s="15"/>
      <c r="B2056" s="15"/>
      <c r="C2056" s="15"/>
      <c r="D2056" s="15"/>
      <c r="E2056" s="15"/>
      <c r="F2056" s="15"/>
      <c r="G2056" s="15"/>
      <c r="H2056" s="15"/>
      <c r="I2056" s="15"/>
      <c r="J2056" s="15"/>
      <c r="K2056" s="15"/>
      <c r="L2056" s="15"/>
      <c r="M2056" s="15"/>
      <c r="N2056" s="15"/>
      <c r="O2056" s="15"/>
      <c r="P2056" s="15"/>
    </row>
    <row r="2057" spans="1:16" x14ac:dyDescent="0.25">
      <c r="A2057" s="15"/>
      <c r="B2057" s="15"/>
      <c r="C2057" s="15"/>
      <c r="D2057" s="15"/>
      <c r="E2057" s="15"/>
      <c r="F2057" s="15"/>
      <c r="G2057" s="15"/>
      <c r="H2057" s="15"/>
      <c r="I2057" s="15"/>
      <c r="J2057" s="15"/>
      <c r="K2057" s="15"/>
      <c r="L2057" s="15"/>
      <c r="M2057" s="15"/>
      <c r="N2057" s="15"/>
      <c r="O2057" s="15"/>
      <c r="P2057" s="15"/>
    </row>
    <row r="2058" spans="1:16" x14ac:dyDescent="0.25">
      <c r="A2058" s="15"/>
      <c r="B2058" s="15"/>
      <c r="C2058" s="15"/>
      <c r="D2058" s="15"/>
      <c r="E2058" s="15"/>
      <c r="F2058" s="15"/>
      <c r="G2058" s="15"/>
      <c r="H2058" s="15"/>
      <c r="I2058" s="15"/>
      <c r="J2058" s="15"/>
      <c r="K2058" s="15"/>
      <c r="L2058" s="15"/>
      <c r="M2058" s="15"/>
      <c r="N2058" s="15"/>
      <c r="O2058" s="15"/>
      <c r="P2058" s="15"/>
    </row>
    <row r="2059" spans="1:16" x14ac:dyDescent="0.25">
      <c r="A2059" s="15"/>
      <c r="B2059" s="15"/>
      <c r="C2059" s="15"/>
      <c r="D2059" s="15"/>
      <c r="E2059" s="15"/>
      <c r="F2059" s="15"/>
      <c r="G2059" s="15"/>
      <c r="H2059" s="15"/>
      <c r="I2059" s="15"/>
      <c r="J2059" s="15"/>
      <c r="K2059" s="15"/>
      <c r="L2059" s="15"/>
      <c r="M2059" s="15"/>
      <c r="N2059" s="15"/>
      <c r="O2059" s="15"/>
      <c r="P2059" s="15"/>
    </row>
    <row r="2060" spans="1:16" x14ac:dyDescent="0.25">
      <c r="A2060" s="15"/>
      <c r="B2060" s="15"/>
      <c r="C2060" s="15"/>
      <c r="D2060" s="15"/>
      <c r="E2060" s="15"/>
      <c r="F2060" s="15"/>
      <c r="G2060" s="15"/>
      <c r="H2060" s="15"/>
      <c r="I2060" s="15"/>
      <c r="J2060" s="15"/>
      <c r="K2060" s="15"/>
      <c r="L2060" s="15"/>
      <c r="M2060" s="15"/>
      <c r="N2060" s="15"/>
      <c r="O2060" s="15"/>
      <c r="P2060" s="15"/>
    </row>
    <row r="2061" spans="1:16" x14ac:dyDescent="0.25">
      <c r="A2061" s="15"/>
      <c r="B2061" s="15"/>
      <c r="C2061" s="15"/>
      <c r="D2061" s="15"/>
      <c r="E2061" s="15"/>
      <c r="F2061" s="15"/>
      <c r="G2061" s="15"/>
      <c r="H2061" s="15"/>
      <c r="I2061" s="15"/>
      <c r="J2061" s="15"/>
      <c r="K2061" s="15"/>
      <c r="L2061" s="15"/>
      <c r="M2061" s="15"/>
      <c r="N2061" s="15"/>
      <c r="O2061" s="15"/>
      <c r="P2061" s="15"/>
    </row>
    <row r="2062" spans="1:16" x14ac:dyDescent="0.25">
      <c r="A2062" s="15"/>
      <c r="B2062" s="15"/>
      <c r="C2062" s="15"/>
      <c r="D2062" s="15"/>
      <c r="E2062" s="15"/>
      <c r="F2062" s="15"/>
      <c r="G2062" s="15"/>
      <c r="H2062" s="15"/>
      <c r="I2062" s="15"/>
      <c r="J2062" s="15"/>
      <c r="K2062" s="15"/>
      <c r="L2062" s="15"/>
      <c r="M2062" s="15"/>
      <c r="N2062" s="15"/>
      <c r="O2062" s="15"/>
      <c r="P2062" s="15"/>
    </row>
    <row r="2063" spans="1:16" x14ac:dyDescent="0.25">
      <c r="A2063" s="15"/>
      <c r="B2063" s="15"/>
      <c r="C2063" s="15"/>
      <c r="D2063" s="15"/>
      <c r="E2063" s="15"/>
      <c r="F2063" s="15"/>
      <c r="G2063" s="15"/>
      <c r="H2063" s="15"/>
      <c r="I2063" s="15"/>
      <c r="J2063" s="15"/>
      <c r="K2063" s="15"/>
      <c r="L2063" s="15"/>
      <c r="M2063" s="15"/>
      <c r="N2063" s="15"/>
      <c r="O2063" s="15"/>
      <c r="P2063" s="15"/>
    </row>
    <row r="2064" spans="1:16" x14ac:dyDescent="0.25">
      <c r="A2064" s="15"/>
      <c r="B2064" s="15"/>
      <c r="C2064" s="15"/>
      <c r="D2064" s="15"/>
      <c r="E2064" s="15"/>
      <c r="F2064" s="15"/>
      <c r="G2064" s="15"/>
      <c r="H2064" s="15"/>
      <c r="I2064" s="15"/>
      <c r="J2064" s="15"/>
      <c r="K2064" s="15"/>
      <c r="L2064" s="15"/>
      <c r="M2064" s="15"/>
      <c r="N2064" s="15"/>
      <c r="O2064" s="15"/>
      <c r="P2064" s="15"/>
    </row>
    <row r="2065" spans="1:16" x14ac:dyDescent="0.25">
      <c r="A2065" s="15"/>
      <c r="B2065" s="15"/>
      <c r="C2065" s="15"/>
      <c r="D2065" s="15"/>
      <c r="E2065" s="15"/>
      <c r="F2065" s="15"/>
      <c r="G2065" s="15"/>
      <c r="H2065" s="15"/>
      <c r="I2065" s="15"/>
      <c r="J2065" s="15"/>
      <c r="K2065" s="15"/>
      <c r="L2065" s="15"/>
      <c r="M2065" s="15"/>
      <c r="N2065" s="15"/>
      <c r="O2065" s="15"/>
      <c r="P2065" s="15"/>
    </row>
    <row r="2066" spans="1:16" x14ac:dyDescent="0.25">
      <c r="A2066" s="15"/>
      <c r="B2066" s="15"/>
      <c r="C2066" s="15"/>
      <c r="D2066" s="15"/>
      <c r="E2066" s="15"/>
      <c r="F2066" s="15"/>
      <c r="G2066" s="15"/>
      <c r="H2066" s="15"/>
      <c r="I2066" s="15"/>
      <c r="J2066" s="15"/>
      <c r="K2066" s="15"/>
      <c r="L2066" s="15"/>
      <c r="M2066" s="15"/>
      <c r="N2066" s="15"/>
      <c r="O2066" s="15"/>
      <c r="P2066" s="15"/>
    </row>
    <row r="2067" spans="1:16" x14ac:dyDescent="0.25">
      <c r="A2067" s="15"/>
      <c r="B2067" s="15"/>
      <c r="C2067" s="15"/>
      <c r="D2067" s="15"/>
      <c r="E2067" s="15"/>
      <c r="F2067" s="15"/>
      <c r="G2067" s="15"/>
      <c r="H2067" s="15"/>
      <c r="I2067" s="15"/>
      <c r="J2067" s="15"/>
      <c r="K2067" s="15"/>
      <c r="L2067" s="15"/>
      <c r="M2067" s="15"/>
      <c r="N2067" s="15"/>
      <c r="O2067" s="15"/>
      <c r="P2067" s="15"/>
    </row>
    <row r="2068" spans="1:16" x14ac:dyDescent="0.25">
      <c r="A2068" s="15"/>
      <c r="B2068" s="15"/>
      <c r="C2068" s="15"/>
      <c r="D2068" s="15"/>
      <c r="E2068" s="15"/>
      <c r="F2068" s="15"/>
      <c r="G2068" s="15"/>
      <c r="H2068" s="15"/>
      <c r="I2068" s="15"/>
      <c r="J2068" s="15"/>
      <c r="K2068" s="15"/>
      <c r="L2068" s="15"/>
      <c r="M2068" s="15"/>
      <c r="N2068" s="15"/>
      <c r="O2068" s="15"/>
      <c r="P2068" s="15"/>
    </row>
    <row r="2069" spans="1:16" x14ac:dyDescent="0.25">
      <c r="A2069" s="15"/>
      <c r="B2069" s="15"/>
      <c r="C2069" s="15"/>
      <c r="D2069" s="15"/>
      <c r="E2069" s="15"/>
      <c r="F2069" s="15"/>
      <c r="G2069" s="15"/>
      <c r="H2069" s="15"/>
      <c r="I2069" s="15"/>
      <c r="J2069" s="15"/>
      <c r="K2069" s="15"/>
      <c r="L2069" s="15"/>
      <c r="M2069" s="15"/>
      <c r="N2069" s="15"/>
      <c r="O2069" s="15"/>
      <c r="P2069" s="15"/>
    </row>
    <row r="2070" spans="1:16" x14ac:dyDescent="0.25">
      <c r="A2070" s="15"/>
      <c r="B2070" s="15"/>
      <c r="C2070" s="15"/>
      <c r="D2070" s="15"/>
      <c r="E2070" s="15"/>
      <c r="F2070" s="15"/>
      <c r="G2070" s="15"/>
      <c r="H2070" s="15"/>
      <c r="I2070" s="15"/>
      <c r="J2070" s="15"/>
      <c r="K2070" s="15"/>
      <c r="L2070" s="15"/>
      <c r="M2070" s="15"/>
      <c r="N2070" s="15"/>
      <c r="O2070" s="15"/>
      <c r="P2070" s="15"/>
    </row>
    <row r="2071" spans="1:16" x14ac:dyDescent="0.25">
      <c r="A2071" s="15"/>
      <c r="B2071" s="15"/>
      <c r="C2071" s="15"/>
      <c r="D2071" s="15"/>
      <c r="E2071" s="15"/>
      <c r="F2071" s="15"/>
      <c r="G2071" s="15"/>
      <c r="H2071" s="15"/>
      <c r="I2071" s="15"/>
      <c r="J2071" s="15"/>
      <c r="K2071" s="15"/>
      <c r="L2071" s="15"/>
      <c r="M2071" s="15"/>
      <c r="N2071" s="15"/>
      <c r="O2071" s="15"/>
      <c r="P2071" s="15"/>
    </row>
    <row r="2072" spans="1:16" x14ac:dyDescent="0.25">
      <c r="A2072" s="15"/>
      <c r="B2072" s="15"/>
      <c r="C2072" s="15"/>
      <c r="D2072" s="15"/>
      <c r="E2072" s="15"/>
      <c r="F2072" s="15"/>
      <c r="G2072" s="15"/>
      <c r="H2072" s="15"/>
      <c r="I2072" s="15"/>
      <c r="J2072" s="15"/>
      <c r="K2072" s="15"/>
      <c r="L2072" s="15"/>
      <c r="M2072" s="15"/>
      <c r="N2072" s="15"/>
      <c r="O2072" s="15"/>
      <c r="P2072" s="15"/>
    </row>
    <row r="2073" spans="1:16" x14ac:dyDescent="0.25">
      <c r="A2073" s="15"/>
      <c r="B2073" s="15"/>
      <c r="C2073" s="15"/>
      <c r="D2073" s="15"/>
      <c r="E2073" s="15"/>
      <c r="F2073" s="15"/>
      <c r="G2073" s="15"/>
      <c r="H2073" s="15"/>
      <c r="I2073" s="15"/>
      <c r="J2073" s="15"/>
      <c r="K2073" s="15"/>
      <c r="L2073" s="15"/>
      <c r="M2073" s="15"/>
      <c r="N2073" s="15"/>
      <c r="O2073" s="15"/>
      <c r="P2073" s="15"/>
    </row>
    <row r="2074" spans="1:16" x14ac:dyDescent="0.25">
      <c r="A2074" s="15"/>
      <c r="B2074" s="15"/>
      <c r="C2074" s="15"/>
      <c r="D2074" s="15"/>
      <c r="E2074" s="15"/>
      <c r="F2074" s="15"/>
      <c r="G2074" s="15"/>
      <c r="H2074" s="15"/>
      <c r="I2074" s="15"/>
      <c r="J2074" s="15"/>
      <c r="K2074" s="15"/>
      <c r="L2074" s="15"/>
      <c r="M2074" s="15"/>
      <c r="N2074" s="15"/>
      <c r="O2074" s="15"/>
      <c r="P2074" s="15"/>
    </row>
    <row r="2075" spans="1:16" x14ac:dyDescent="0.25">
      <c r="A2075" s="15"/>
      <c r="B2075" s="15"/>
      <c r="C2075" s="15"/>
      <c r="D2075" s="15"/>
      <c r="E2075" s="15"/>
      <c r="F2075" s="15"/>
      <c r="G2075" s="15"/>
      <c r="H2075" s="15"/>
      <c r="I2075" s="15"/>
      <c r="J2075" s="15"/>
      <c r="K2075" s="15"/>
      <c r="L2075" s="15"/>
      <c r="M2075" s="15"/>
      <c r="N2075" s="15"/>
      <c r="O2075" s="15"/>
      <c r="P2075" s="15"/>
    </row>
    <row r="2076" spans="1:16" x14ac:dyDescent="0.25">
      <c r="A2076" s="15"/>
      <c r="B2076" s="15"/>
      <c r="C2076" s="15"/>
      <c r="D2076" s="15"/>
      <c r="E2076" s="15"/>
      <c r="F2076" s="15"/>
      <c r="G2076" s="15"/>
      <c r="H2076" s="15"/>
      <c r="I2076" s="15"/>
      <c r="J2076" s="15"/>
      <c r="K2076" s="15"/>
      <c r="L2076" s="15"/>
      <c r="M2076" s="15"/>
      <c r="N2076" s="15"/>
      <c r="O2076" s="15"/>
      <c r="P2076" s="15"/>
    </row>
    <row r="2077" spans="1:16" x14ac:dyDescent="0.25">
      <c r="A2077" s="15"/>
      <c r="B2077" s="15"/>
      <c r="C2077" s="15"/>
      <c r="D2077" s="15"/>
      <c r="E2077" s="15"/>
      <c r="F2077" s="15"/>
      <c r="G2077" s="15"/>
      <c r="H2077" s="15"/>
      <c r="I2077" s="15"/>
      <c r="J2077" s="15"/>
      <c r="K2077" s="15"/>
      <c r="L2077" s="15"/>
      <c r="M2077" s="15"/>
      <c r="N2077" s="15"/>
      <c r="O2077" s="15"/>
      <c r="P2077" s="15"/>
    </row>
    <row r="2078" spans="1:16" x14ac:dyDescent="0.25">
      <c r="A2078" s="15"/>
      <c r="B2078" s="15"/>
      <c r="C2078" s="15"/>
      <c r="D2078" s="15"/>
      <c r="E2078" s="15"/>
      <c r="F2078" s="15"/>
      <c r="G2078" s="15"/>
      <c r="H2078" s="15"/>
      <c r="I2078" s="15"/>
      <c r="J2078" s="15"/>
      <c r="K2078" s="15"/>
      <c r="L2078" s="15"/>
      <c r="M2078" s="15"/>
      <c r="N2078" s="15"/>
      <c r="O2078" s="15"/>
      <c r="P2078" s="15"/>
    </row>
    <row r="2079" spans="1:16" x14ac:dyDescent="0.25">
      <c r="A2079" s="15"/>
      <c r="B2079" s="15"/>
      <c r="C2079" s="15"/>
      <c r="D2079" s="15"/>
      <c r="E2079" s="15"/>
      <c r="F2079" s="15"/>
      <c r="G2079" s="15"/>
      <c r="H2079" s="15"/>
      <c r="I2079" s="15"/>
      <c r="J2079" s="15"/>
      <c r="K2079" s="15"/>
      <c r="L2079" s="15"/>
      <c r="M2079" s="15"/>
      <c r="N2079" s="15"/>
      <c r="O2079" s="15"/>
      <c r="P2079" s="15"/>
    </row>
    <row r="2080" spans="1:16" x14ac:dyDescent="0.25">
      <c r="A2080" s="15"/>
      <c r="B2080" s="15"/>
      <c r="C2080" s="15"/>
      <c r="D2080" s="15"/>
      <c r="E2080" s="15"/>
      <c r="F2080" s="15"/>
      <c r="G2080" s="15"/>
      <c r="H2080" s="15"/>
      <c r="I2080" s="15"/>
      <c r="J2080" s="15"/>
      <c r="K2080" s="15"/>
      <c r="L2080" s="15"/>
      <c r="M2080" s="15"/>
      <c r="N2080" s="15"/>
      <c r="O2080" s="15"/>
      <c r="P2080" s="15"/>
    </row>
    <row r="2081" spans="1:16" x14ac:dyDescent="0.25">
      <c r="A2081" s="15"/>
      <c r="B2081" s="15"/>
      <c r="C2081" s="15"/>
      <c r="D2081" s="15"/>
      <c r="E2081" s="15"/>
      <c r="F2081" s="15"/>
      <c r="G2081" s="15"/>
      <c r="H2081" s="15"/>
      <c r="I2081" s="15"/>
      <c r="J2081" s="15"/>
      <c r="K2081" s="15"/>
      <c r="L2081" s="15"/>
      <c r="M2081" s="15"/>
      <c r="N2081" s="15"/>
      <c r="O2081" s="15"/>
      <c r="P2081" s="15"/>
    </row>
    <row r="2082" spans="1:16" x14ac:dyDescent="0.25">
      <c r="A2082" s="15"/>
      <c r="B2082" s="15"/>
      <c r="C2082" s="15"/>
      <c r="D2082" s="15"/>
      <c r="E2082" s="15"/>
      <c r="F2082" s="15"/>
      <c r="G2082" s="15"/>
      <c r="H2082" s="15"/>
      <c r="I2082" s="15"/>
      <c r="J2082" s="15"/>
      <c r="K2082" s="15"/>
      <c r="L2082" s="15"/>
      <c r="M2082" s="15"/>
      <c r="N2082" s="15"/>
      <c r="O2082" s="15"/>
      <c r="P2082" s="15"/>
    </row>
    <row r="2083" spans="1:16" x14ac:dyDescent="0.25">
      <c r="A2083" s="15"/>
      <c r="B2083" s="15"/>
      <c r="C2083" s="15"/>
      <c r="D2083" s="15"/>
      <c r="E2083" s="15"/>
      <c r="F2083" s="15"/>
      <c r="G2083" s="15"/>
      <c r="H2083" s="15"/>
      <c r="I2083" s="15"/>
      <c r="J2083" s="15"/>
      <c r="K2083" s="15"/>
      <c r="L2083" s="15"/>
      <c r="M2083" s="15"/>
      <c r="N2083" s="15"/>
      <c r="O2083" s="15"/>
      <c r="P2083" s="15"/>
    </row>
    <row r="2084" spans="1:16" x14ac:dyDescent="0.25">
      <c r="A2084" s="15"/>
      <c r="B2084" s="15"/>
      <c r="C2084" s="15"/>
      <c r="D2084" s="15"/>
      <c r="E2084" s="15"/>
      <c r="F2084" s="15"/>
      <c r="G2084" s="15"/>
      <c r="H2084" s="15"/>
      <c r="I2084" s="15"/>
      <c r="J2084" s="15"/>
      <c r="K2084" s="15"/>
      <c r="L2084" s="15"/>
      <c r="M2084" s="15"/>
      <c r="N2084" s="15"/>
      <c r="O2084" s="15"/>
      <c r="P2084" s="15"/>
    </row>
    <row r="2085" spans="1:16" x14ac:dyDescent="0.25">
      <c r="A2085" s="15"/>
      <c r="B2085" s="15"/>
      <c r="C2085" s="15"/>
      <c r="D2085" s="15"/>
      <c r="E2085" s="15"/>
      <c r="F2085" s="15"/>
      <c r="G2085" s="15"/>
      <c r="H2085" s="15"/>
      <c r="I2085" s="15"/>
      <c r="J2085" s="15"/>
      <c r="K2085" s="15"/>
      <c r="L2085" s="15"/>
      <c r="M2085" s="15"/>
      <c r="N2085" s="15"/>
      <c r="O2085" s="15"/>
      <c r="P2085" s="15"/>
    </row>
    <row r="2086" spans="1:16" x14ac:dyDescent="0.25">
      <c r="A2086" s="15"/>
      <c r="B2086" s="15"/>
      <c r="C2086" s="15"/>
      <c r="D2086" s="15"/>
      <c r="E2086" s="15"/>
      <c r="F2086" s="15"/>
      <c r="G2086" s="15"/>
      <c r="H2086" s="15"/>
      <c r="I2086" s="15"/>
      <c r="J2086" s="15"/>
      <c r="K2086" s="15"/>
      <c r="L2086" s="15"/>
      <c r="M2086" s="15"/>
      <c r="N2086" s="15"/>
      <c r="O2086" s="15"/>
      <c r="P2086" s="15"/>
    </row>
    <row r="2087" spans="1:16" x14ac:dyDescent="0.25">
      <c r="A2087" s="15"/>
      <c r="B2087" s="15"/>
      <c r="C2087" s="15"/>
      <c r="D2087" s="15"/>
      <c r="E2087" s="15"/>
      <c r="F2087" s="15"/>
      <c r="G2087" s="15"/>
      <c r="H2087" s="15"/>
      <c r="I2087" s="15"/>
      <c r="J2087" s="15"/>
      <c r="K2087" s="15"/>
      <c r="L2087" s="15"/>
      <c r="M2087" s="15"/>
      <c r="N2087" s="15"/>
      <c r="O2087" s="15"/>
      <c r="P2087" s="15"/>
    </row>
    <row r="2088" spans="1:16" x14ac:dyDescent="0.25">
      <c r="A2088" s="15"/>
      <c r="B2088" s="15"/>
      <c r="C2088" s="15"/>
      <c r="D2088" s="15"/>
      <c r="E2088" s="15"/>
      <c r="F2088" s="15"/>
      <c r="G2088" s="15"/>
      <c r="H2088" s="15"/>
      <c r="I2088" s="15"/>
      <c r="J2088" s="15"/>
      <c r="K2088" s="15"/>
      <c r="L2088" s="15"/>
      <c r="M2088" s="15"/>
      <c r="N2088" s="15"/>
      <c r="O2088" s="15"/>
      <c r="P2088" s="15"/>
    </row>
    <row r="2089" spans="1:16" x14ac:dyDescent="0.25">
      <c r="A2089" s="15"/>
      <c r="B2089" s="15"/>
      <c r="C2089" s="15"/>
      <c r="D2089" s="15"/>
      <c r="E2089" s="15"/>
      <c r="F2089" s="15"/>
      <c r="G2089" s="15"/>
      <c r="H2089" s="15"/>
      <c r="I2089" s="15"/>
      <c r="J2089" s="15"/>
      <c r="K2089" s="15"/>
      <c r="L2089" s="15"/>
      <c r="M2089" s="15"/>
      <c r="N2089" s="15"/>
      <c r="O2089" s="15"/>
      <c r="P2089" s="15"/>
    </row>
    <row r="2090" spans="1:16" x14ac:dyDescent="0.25">
      <c r="A2090" s="15"/>
      <c r="B2090" s="15"/>
      <c r="C2090" s="15"/>
      <c r="D2090" s="15"/>
      <c r="E2090" s="15"/>
      <c r="F2090" s="15"/>
      <c r="G2090" s="15"/>
      <c r="H2090" s="15"/>
      <c r="I2090" s="15"/>
      <c r="J2090" s="15"/>
      <c r="K2090" s="15"/>
      <c r="L2090" s="15"/>
      <c r="M2090" s="15"/>
      <c r="N2090" s="15"/>
      <c r="O2090" s="15"/>
      <c r="P2090" s="15"/>
    </row>
    <row r="2091" spans="1:16" x14ac:dyDescent="0.25">
      <c r="A2091" s="15"/>
      <c r="B2091" s="15"/>
      <c r="C2091" s="15"/>
      <c r="D2091" s="15"/>
      <c r="E2091" s="15"/>
      <c r="F2091" s="15"/>
      <c r="G2091" s="15"/>
      <c r="H2091" s="15"/>
      <c r="I2091" s="15"/>
      <c r="J2091" s="15"/>
      <c r="K2091" s="15"/>
      <c r="L2091" s="15"/>
      <c r="M2091" s="15"/>
      <c r="N2091" s="15"/>
      <c r="O2091" s="15"/>
      <c r="P2091" s="15"/>
    </row>
    <row r="2092" spans="1:16" x14ac:dyDescent="0.25">
      <c r="A2092" s="15"/>
      <c r="B2092" s="15"/>
      <c r="C2092" s="15"/>
      <c r="D2092" s="15"/>
      <c r="E2092" s="15"/>
      <c r="F2092" s="15"/>
      <c r="G2092" s="15"/>
      <c r="H2092" s="15"/>
      <c r="I2092" s="15"/>
      <c r="J2092" s="15"/>
      <c r="K2092" s="15"/>
      <c r="L2092" s="15"/>
      <c r="M2092" s="15"/>
      <c r="N2092" s="15"/>
      <c r="O2092" s="15"/>
      <c r="P2092" s="15"/>
    </row>
    <row r="2093" spans="1:16" x14ac:dyDescent="0.25">
      <c r="A2093" s="15"/>
      <c r="B2093" s="15"/>
      <c r="C2093" s="15"/>
      <c r="D2093" s="15"/>
      <c r="E2093" s="15"/>
      <c r="F2093" s="15"/>
      <c r="G2093" s="15"/>
      <c r="H2093" s="15"/>
      <c r="I2093" s="15"/>
      <c r="J2093" s="15"/>
      <c r="K2093" s="15"/>
      <c r="L2093" s="15"/>
      <c r="M2093" s="15"/>
      <c r="N2093" s="15"/>
      <c r="O2093" s="15"/>
      <c r="P2093" s="15"/>
    </row>
    <row r="2094" spans="1:16" x14ac:dyDescent="0.25">
      <c r="A2094" s="15"/>
      <c r="B2094" s="15"/>
      <c r="C2094" s="15"/>
      <c r="D2094" s="15"/>
      <c r="E2094" s="15"/>
      <c r="F2094" s="15"/>
      <c r="G2094" s="15"/>
      <c r="H2094" s="15"/>
      <c r="I2094" s="15"/>
      <c r="J2094" s="15"/>
      <c r="K2094" s="15"/>
      <c r="L2094" s="15"/>
      <c r="M2094" s="15"/>
      <c r="N2094" s="15"/>
      <c r="O2094" s="15"/>
      <c r="P2094" s="15"/>
    </row>
    <row r="2095" spans="1:16" x14ac:dyDescent="0.25">
      <c r="A2095" s="15"/>
      <c r="B2095" s="15"/>
      <c r="C2095" s="15"/>
      <c r="D2095" s="15"/>
      <c r="E2095" s="15"/>
      <c r="F2095" s="15"/>
      <c r="G2095" s="15"/>
      <c r="H2095" s="15"/>
      <c r="I2095" s="15"/>
      <c r="J2095" s="15"/>
      <c r="K2095" s="15"/>
      <c r="L2095" s="15"/>
      <c r="M2095" s="15"/>
      <c r="N2095" s="15"/>
      <c r="O2095" s="15"/>
      <c r="P2095" s="15"/>
    </row>
    <row r="2096" spans="1:16" x14ac:dyDescent="0.25">
      <c r="A2096" s="15"/>
      <c r="B2096" s="15"/>
      <c r="C2096" s="15"/>
      <c r="D2096" s="15"/>
      <c r="E2096" s="15"/>
      <c r="F2096" s="15"/>
      <c r="G2096" s="15"/>
      <c r="H2096" s="15"/>
      <c r="I2096" s="15"/>
      <c r="J2096" s="15"/>
      <c r="K2096" s="15"/>
      <c r="L2096" s="15"/>
      <c r="M2096" s="15"/>
      <c r="N2096" s="15"/>
      <c r="O2096" s="15"/>
      <c r="P2096" s="15"/>
    </row>
    <row r="2097" spans="1:16" x14ac:dyDescent="0.25">
      <c r="A2097" s="15"/>
      <c r="B2097" s="15"/>
      <c r="C2097" s="15"/>
      <c r="D2097" s="15"/>
      <c r="E2097" s="15"/>
      <c r="F2097" s="15"/>
      <c r="G2097" s="15"/>
      <c r="H2097" s="15"/>
      <c r="I2097" s="15"/>
      <c r="J2097" s="15"/>
      <c r="K2097" s="15"/>
      <c r="L2097" s="15"/>
      <c r="M2097" s="15"/>
      <c r="N2097" s="15"/>
      <c r="O2097" s="15"/>
      <c r="P2097" s="15"/>
    </row>
    <row r="2098" spans="1:16" x14ac:dyDescent="0.25">
      <c r="A2098" s="15"/>
      <c r="B2098" s="15"/>
      <c r="C2098" s="15"/>
      <c r="D2098" s="15"/>
      <c r="E2098" s="15"/>
      <c r="F2098" s="15"/>
      <c r="G2098" s="15"/>
      <c r="H2098" s="15"/>
      <c r="I2098" s="15"/>
      <c r="J2098" s="15"/>
      <c r="K2098" s="15"/>
      <c r="L2098" s="15"/>
      <c r="M2098" s="15"/>
      <c r="N2098" s="15"/>
      <c r="O2098" s="15"/>
      <c r="P2098" s="15"/>
    </row>
    <row r="2099" spans="1:16" x14ac:dyDescent="0.25">
      <c r="A2099" s="15"/>
      <c r="B2099" s="15"/>
      <c r="C2099" s="15"/>
      <c r="D2099" s="15"/>
      <c r="E2099" s="15"/>
      <c r="F2099" s="15"/>
      <c r="G2099" s="15"/>
      <c r="H2099" s="15"/>
      <c r="I2099" s="15"/>
      <c r="J2099" s="15"/>
      <c r="K2099" s="15"/>
      <c r="L2099" s="15"/>
      <c r="M2099" s="15"/>
      <c r="N2099" s="15"/>
      <c r="O2099" s="15"/>
      <c r="P2099" s="15"/>
    </row>
    <row r="2100" spans="1:16" x14ac:dyDescent="0.25">
      <c r="A2100" s="15"/>
      <c r="B2100" s="15"/>
      <c r="C2100" s="15"/>
      <c r="D2100" s="15"/>
      <c r="E2100" s="15"/>
      <c r="F2100" s="15"/>
      <c r="G2100" s="15"/>
      <c r="H2100" s="15"/>
      <c r="I2100" s="15"/>
      <c r="J2100" s="15"/>
      <c r="K2100" s="15"/>
      <c r="L2100" s="15"/>
      <c r="M2100" s="15"/>
      <c r="N2100" s="15"/>
      <c r="O2100" s="15"/>
      <c r="P2100" s="15"/>
    </row>
    <row r="2101" spans="1:16" x14ac:dyDescent="0.25">
      <c r="A2101" s="15"/>
      <c r="B2101" s="15"/>
      <c r="C2101" s="15"/>
      <c r="D2101" s="15"/>
      <c r="E2101" s="15"/>
      <c r="F2101" s="15"/>
      <c r="G2101" s="15"/>
      <c r="H2101" s="15"/>
      <c r="I2101" s="15"/>
      <c r="J2101" s="15"/>
      <c r="K2101" s="15"/>
      <c r="L2101" s="15"/>
      <c r="M2101" s="15"/>
      <c r="N2101" s="15"/>
      <c r="O2101" s="15"/>
      <c r="P2101" s="15"/>
    </row>
    <row r="2102" spans="1:16" x14ac:dyDescent="0.25">
      <c r="A2102" s="15"/>
      <c r="B2102" s="15"/>
      <c r="C2102" s="15"/>
      <c r="D2102" s="15"/>
      <c r="E2102" s="15"/>
      <c r="F2102" s="15"/>
      <c r="G2102" s="15"/>
      <c r="H2102" s="15"/>
      <c r="I2102" s="15"/>
      <c r="J2102" s="15"/>
      <c r="K2102" s="15"/>
      <c r="L2102" s="15"/>
      <c r="M2102" s="15"/>
      <c r="N2102" s="15"/>
      <c r="O2102" s="15"/>
      <c r="P2102" s="15"/>
    </row>
    <row r="2103" spans="1:16" x14ac:dyDescent="0.25">
      <c r="A2103" s="15"/>
      <c r="B2103" s="15"/>
      <c r="C2103" s="15"/>
      <c r="D2103" s="15"/>
      <c r="E2103" s="15"/>
      <c r="F2103" s="15"/>
      <c r="G2103" s="15"/>
      <c r="H2103" s="15"/>
      <c r="I2103" s="15"/>
      <c r="J2103" s="15"/>
      <c r="K2103" s="15"/>
      <c r="L2103" s="15"/>
      <c r="M2103" s="15"/>
      <c r="N2103" s="15"/>
      <c r="O2103" s="15"/>
      <c r="P2103" s="15"/>
    </row>
    <row r="2104" spans="1:16" x14ac:dyDescent="0.25">
      <c r="A2104" s="15"/>
      <c r="B2104" s="15"/>
      <c r="C2104" s="15"/>
      <c r="D2104" s="15"/>
      <c r="E2104" s="15"/>
      <c r="F2104" s="15"/>
      <c r="G2104" s="15"/>
      <c r="H2104" s="15"/>
      <c r="I2104" s="15"/>
      <c r="J2104" s="15"/>
      <c r="K2104" s="15"/>
      <c r="L2104" s="15"/>
      <c r="M2104" s="15"/>
      <c r="N2104" s="15"/>
      <c r="O2104" s="15"/>
      <c r="P2104" s="15"/>
    </row>
    <row r="2105" spans="1:16" x14ac:dyDescent="0.25">
      <c r="A2105" s="15"/>
      <c r="B2105" s="15"/>
      <c r="C2105" s="15"/>
      <c r="D2105" s="15"/>
      <c r="E2105" s="15"/>
      <c r="F2105" s="15"/>
      <c r="G2105" s="15"/>
      <c r="H2105" s="15"/>
      <c r="I2105" s="15"/>
      <c r="J2105" s="15"/>
      <c r="K2105" s="15"/>
      <c r="L2105" s="15"/>
      <c r="M2105" s="15"/>
      <c r="N2105" s="15"/>
      <c r="O2105" s="15"/>
      <c r="P2105" s="15"/>
    </row>
    <row r="2106" spans="1:16" x14ac:dyDescent="0.25">
      <c r="A2106" s="15"/>
      <c r="B2106" s="15"/>
      <c r="C2106" s="15"/>
      <c r="D2106" s="15"/>
      <c r="E2106" s="15"/>
      <c r="F2106" s="15"/>
      <c r="G2106" s="15"/>
      <c r="H2106" s="15"/>
      <c r="I2106" s="15"/>
      <c r="J2106" s="15"/>
      <c r="K2106" s="15"/>
      <c r="L2106" s="15"/>
      <c r="M2106" s="15"/>
      <c r="N2106" s="15"/>
      <c r="O2106" s="15"/>
      <c r="P2106" s="15"/>
    </row>
    <row r="2107" spans="1:16" x14ac:dyDescent="0.25">
      <c r="A2107" s="15"/>
      <c r="B2107" s="15"/>
      <c r="C2107" s="15"/>
      <c r="D2107" s="15"/>
      <c r="E2107" s="15"/>
      <c r="F2107" s="15"/>
      <c r="G2107" s="15"/>
      <c r="H2107" s="15"/>
      <c r="I2107" s="15"/>
      <c r="J2107" s="15"/>
      <c r="K2107" s="15"/>
      <c r="L2107" s="15"/>
      <c r="M2107" s="15"/>
      <c r="N2107" s="15"/>
      <c r="O2107" s="15"/>
      <c r="P2107" s="15"/>
    </row>
    <row r="2108" spans="1:16" x14ac:dyDescent="0.25">
      <c r="A2108" s="15"/>
      <c r="B2108" s="15"/>
      <c r="C2108" s="15"/>
      <c r="D2108" s="15"/>
      <c r="E2108" s="15"/>
      <c r="F2108" s="15"/>
      <c r="G2108" s="15"/>
      <c r="H2108" s="15"/>
      <c r="I2108" s="15"/>
      <c r="J2108" s="15"/>
      <c r="K2108" s="15"/>
      <c r="L2108" s="15"/>
      <c r="M2108" s="15"/>
      <c r="N2108" s="15"/>
      <c r="O2108" s="15"/>
      <c r="P2108" s="15"/>
    </row>
    <row r="2109" spans="1:16" x14ac:dyDescent="0.25">
      <c r="A2109" s="15"/>
      <c r="B2109" s="15"/>
      <c r="C2109" s="15"/>
      <c r="D2109" s="15"/>
      <c r="E2109" s="15"/>
      <c r="F2109" s="15"/>
      <c r="G2109" s="15"/>
      <c r="H2109" s="15"/>
      <c r="I2109" s="15"/>
      <c r="J2109" s="15"/>
      <c r="K2109" s="15"/>
      <c r="L2109" s="15"/>
      <c r="M2109" s="15"/>
      <c r="N2109" s="15"/>
      <c r="O2109" s="15"/>
      <c r="P2109" s="15"/>
    </row>
    <row r="2110" spans="1:16" x14ac:dyDescent="0.25">
      <c r="A2110" s="15"/>
      <c r="B2110" s="15"/>
      <c r="C2110" s="15"/>
      <c r="D2110" s="15"/>
      <c r="E2110" s="15"/>
      <c r="F2110" s="15"/>
      <c r="G2110" s="15"/>
      <c r="H2110" s="15"/>
      <c r="I2110" s="15"/>
      <c r="J2110" s="15"/>
      <c r="K2110" s="15"/>
      <c r="L2110" s="15"/>
      <c r="M2110" s="15"/>
      <c r="N2110" s="15"/>
      <c r="O2110" s="15"/>
      <c r="P2110" s="15"/>
    </row>
    <row r="2111" spans="1:16" x14ac:dyDescent="0.25">
      <c r="A2111" s="15"/>
      <c r="B2111" s="15"/>
      <c r="C2111" s="15"/>
      <c r="D2111" s="15"/>
      <c r="E2111" s="15"/>
      <c r="F2111" s="15"/>
      <c r="G2111" s="15"/>
      <c r="H2111" s="15"/>
      <c r="I2111" s="15"/>
      <c r="J2111" s="15"/>
      <c r="K2111" s="15"/>
      <c r="L2111" s="15"/>
      <c r="M2111" s="15"/>
      <c r="N2111" s="15"/>
      <c r="O2111" s="15"/>
      <c r="P2111" s="15"/>
    </row>
    <row r="2112" spans="1:16" x14ac:dyDescent="0.25">
      <c r="A2112" s="15"/>
      <c r="B2112" s="15"/>
      <c r="C2112" s="15"/>
      <c r="D2112" s="15"/>
      <c r="E2112" s="15"/>
      <c r="F2112" s="15"/>
      <c r="G2112" s="15"/>
      <c r="H2112" s="15"/>
      <c r="I2112" s="15"/>
      <c r="J2112" s="15"/>
      <c r="K2112" s="15"/>
      <c r="L2112" s="15"/>
      <c r="M2112" s="15"/>
      <c r="N2112" s="15"/>
      <c r="O2112" s="15"/>
      <c r="P2112" s="15"/>
    </row>
    <row r="2113" spans="1:16" x14ac:dyDescent="0.25">
      <c r="A2113" s="15"/>
      <c r="B2113" s="15"/>
      <c r="C2113" s="15"/>
      <c r="D2113" s="15"/>
      <c r="E2113" s="15"/>
      <c r="F2113" s="15"/>
      <c r="G2113" s="15"/>
      <c r="H2113" s="15"/>
      <c r="I2113" s="15"/>
      <c r="J2113" s="15"/>
      <c r="K2113" s="15"/>
      <c r="L2113" s="15"/>
      <c r="M2113" s="15"/>
      <c r="N2113" s="15"/>
      <c r="O2113" s="15"/>
      <c r="P2113" s="15"/>
    </row>
    <row r="2114" spans="1:16" x14ac:dyDescent="0.25">
      <c r="A2114" s="15"/>
      <c r="B2114" s="15"/>
      <c r="C2114" s="15"/>
      <c r="D2114" s="15"/>
      <c r="E2114" s="15"/>
      <c r="F2114" s="15"/>
      <c r="G2114" s="15"/>
      <c r="H2114" s="15"/>
      <c r="I2114" s="15"/>
      <c r="J2114" s="15"/>
      <c r="K2114" s="15"/>
      <c r="L2114" s="15"/>
      <c r="M2114" s="15"/>
      <c r="N2114" s="15"/>
      <c r="O2114" s="15"/>
      <c r="P2114" s="15"/>
    </row>
    <row r="2115" spans="1:16" x14ac:dyDescent="0.25">
      <c r="A2115" s="15"/>
      <c r="B2115" s="15"/>
      <c r="C2115" s="15"/>
      <c r="D2115" s="15"/>
      <c r="E2115" s="15"/>
      <c r="F2115" s="15"/>
      <c r="G2115" s="15"/>
      <c r="H2115" s="15"/>
      <c r="I2115" s="15"/>
      <c r="J2115" s="15"/>
      <c r="K2115" s="15"/>
      <c r="L2115" s="15"/>
      <c r="M2115" s="15"/>
      <c r="N2115" s="15"/>
      <c r="O2115" s="15"/>
      <c r="P2115" s="15"/>
    </row>
    <row r="2116" spans="1:16" x14ac:dyDescent="0.25">
      <c r="A2116" s="15"/>
      <c r="B2116" s="15"/>
      <c r="C2116" s="15"/>
      <c r="D2116" s="15"/>
      <c r="E2116" s="15"/>
      <c r="F2116" s="15"/>
      <c r="G2116" s="15"/>
      <c r="H2116" s="15"/>
      <c r="I2116" s="15"/>
      <c r="J2116" s="15"/>
      <c r="K2116" s="15"/>
      <c r="L2116" s="15"/>
      <c r="M2116" s="15"/>
      <c r="N2116" s="15"/>
      <c r="O2116" s="15"/>
      <c r="P2116" s="15"/>
    </row>
    <row r="2117" spans="1:16" x14ac:dyDescent="0.25">
      <c r="A2117" s="15"/>
      <c r="B2117" s="15"/>
      <c r="C2117" s="15"/>
      <c r="D2117" s="15"/>
      <c r="E2117" s="15"/>
      <c r="F2117" s="15"/>
      <c r="G2117" s="15"/>
      <c r="H2117" s="15"/>
      <c r="I2117" s="15"/>
      <c r="J2117" s="15"/>
      <c r="K2117" s="15"/>
      <c r="L2117" s="15"/>
      <c r="M2117" s="15"/>
      <c r="N2117" s="15"/>
      <c r="O2117" s="15"/>
      <c r="P2117" s="15"/>
    </row>
    <row r="2118" spans="1:16" x14ac:dyDescent="0.25">
      <c r="A2118" s="15"/>
      <c r="B2118" s="15"/>
      <c r="C2118" s="15"/>
      <c r="D2118" s="15"/>
      <c r="E2118" s="15"/>
      <c r="F2118" s="15"/>
      <c r="G2118" s="15"/>
      <c r="H2118" s="15"/>
      <c r="I2118" s="15"/>
      <c r="J2118" s="15"/>
      <c r="K2118" s="15"/>
      <c r="L2118" s="15"/>
      <c r="M2118" s="15"/>
      <c r="N2118" s="15"/>
      <c r="O2118" s="15"/>
      <c r="P2118" s="15"/>
    </row>
    <row r="2119" spans="1:16" x14ac:dyDescent="0.25">
      <c r="A2119" s="15"/>
      <c r="B2119" s="15"/>
      <c r="C2119" s="15"/>
      <c r="D2119" s="15"/>
      <c r="E2119" s="15"/>
      <c r="F2119" s="15"/>
      <c r="G2119" s="15"/>
      <c r="H2119" s="15"/>
      <c r="I2119" s="15"/>
      <c r="J2119" s="15"/>
      <c r="K2119" s="15"/>
      <c r="L2119" s="15"/>
      <c r="M2119" s="15"/>
      <c r="N2119" s="15"/>
      <c r="O2119" s="15"/>
      <c r="P2119" s="15"/>
    </row>
    <row r="2120" spans="1:16" x14ac:dyDescent="0.25">
      <c r="A2120" s="15"/>
      <c r="B2120" s="15"/>
      <c r="C2120" s="15"/>
      <c r="D2120" s="15"/>
      <c r="E2120" s="15"/>
      <c r="F2120" s="15"/>
      <c r="G2120" s="15"/>
      <c r="H2120" s="15"/>
      <c r="I2120" s="15"/>
      <c r="J2120" s="15"/>
      <c r="K2120" s="15"/>
      <c r="L2120" s="15"/>
      <c r="M2120" s="15"/>
      <c r="N2120" s="15"/>
      <c r="O2120" s="15"/>
      <c r="P2120" s="15"/>
    </row>
    <row r="2121" spans="1:16" x14ac:dyDescent="0.25">
      <c r="A2121" s="15"/>
      <c r="B2121" s="15"/>
      <c r="C2121" s="15"/>
      <c r="D2121" s="15"/>
      <c r="E2121" s="15"/>
      <c r="F2121" s="15"/>
      <c r="G2121" s="15"/>
      <c r="H2121" s="15"/>
      <c r="I2121" s="15"/>
      <c r="J2121" s="15"/>
      <c r="K2121" s="15"/>
      <c r="L2121" s="15"/>
      <c r="M2121" s="15"/>
      <c r="N2121" s="15"/>
      <c r="O2121" s="15"/>
      <c r="P2121" s="15"/>
    </row>
    <row r="2122" spans="1:16" x14ac:dyDescent="0.25">
      <c r="A2122" s="15"/>
      <c r="B2122" s="15"/>
      <c r="C2122" s="15"/>
      <c r="D2122" s="15"/>
      <c r="E2122" s="15"/>
      <c r="F2122" s="15"/>
      <c r="G2122" s="15"/>
      <c r="H2122" s="15"/>
      <c r="I2122" s="15"/>
      <c r="J2122" s="15"/>
      <c r="K2122" s="15"/>
      <c r="L2122" s="15"/>
      <c r="M2122" s="15"/>
      <c r="N2122" s="15"/>
      <c r="O2122" s="15"/>
      <c r="P2122" s="15"/>
    </row>
    <row r="2123" spans="1:16" x14ac:dyDescent="0.25">
      <c r="A2123" s="15"/>
      <c r="B2123" s="15"/>
      <c r="C2123" s="15"/>
      <c r="D2123" s="15"/>
      <c r="E2123" s="15"/>
      <c r="F2123" s="15"/>
      <c r="G2123" s="15"/>
      <c r="H2123" s="15"/>
      <c r="I2123" s="15"/>
      <c r="J2123" s="15"/>
      <c r="K2123" s="15"/>
      <c r="L2123" s="15"/>
      <c r="M2123" s="15"/>
      <c r="N2123" s="15"/>
      <c r="O2123" s="15"/>
      <c r="P2123" s="15"/>
    </row>
    <row r="2124" spans="1:16" x14ac:dyDescent="0.25">
      <c r="A2124" s="15"/>
      <c r="B2124" s="15"/>
      <c r="C2124" s="15"/>
      <c r="D2124" s="15"/>
      <c r="E2124" s="15"/>
      <c r="F2124" s="15"/>
      <c r="G2124" s="15"/>
      <c r="H2124" s="15"/>
      <c r="I2124" s="15"/>
      <c r="J2124" s="15"/>
      <c r="K2124" s="15"/>
      <c r="L2124" s="15"/>
      <c r="M2124" s="15"/>
      <c r="N2124" s="15"/>
      <c r="O2124" s="15"/>
      <c r="P2124" s="15"/>
    </row>
    <row r="2125" spans="1:16" x14ac:dyDescent="0.25">
      <c r="A2125" s="15"/>
      <c r="B2125" s="15"/>
      <c r="C2125" s="15"/>
      <c r="D2125" s="15"/>
      <c r="E2125" s="15"/>
      <c r="F2125" s="15"/>
      <c r="G2125" s="15"/>
      <c r="H2125" s="15"/>
      <c r="I2125" s="15"/>
      <c r="J2125" s="15"/>
      <c r="K2125" s="15"/>
      <c r="L2125" s="15"/>
      <c r="M2125" s="15"/>
      <c r="N2125" s="15"/>
      <c r="O2125" s="15"/>
      <c r="P2125" s="15"/>
    </row>
    <row r="2126" spans="1:16" x14ac:dyDescent="0.25">
      <c r="A2126" s="15"/>
      <c r="B2126" s="15"/>
      <c r="C2126" s="15"/>
      <c r="D2126" s="15"/>
      <c r="E2126" s="15"/>
      <c r="F2126" s="15"/>
      <c r="G2126" s="15"/>
      <c r="H2126" s="15"/>
      <c r="I2126" s="15"/>
      <c r="J2126" s="15"/>
      <c r="K2126" s="15"/>
      <c r="L2126" s="15"/>
      <c r="M2126" s="15"/>
      <c r="N2126" s="15"/>
      <c r="O2126" s="15"/>
      <c r="P2126" s="15"/>
    </row>
    <row r="2127" spans="1:16" x14ac:dyDescent="0.25">
      <c r="A2127" s="15"/>
      <c r="B2127" s="15"/>
      <c r="C2127" s="15"/>
      <c r="D2127" s="15"/>
      <c r="E2127" s="15"/>
      <c r="F2127" s="15"/>
      <c r="G2127" s="15"/>
      <c r="H2127" s="15"/>
      <c r="I2127" s="15"/>
      <c r="J2127" s="15"/>
      <c r="K2127" s="15"/>
      <c r="L2127" s="15"/>
      <c r="M2127" s="15"/>
      <c r="N2127" s="15"/>
      <c r="O2127" s="15"/>
      <c r="P2127" s="15"/>
    </row>
    <row r="2128" spans="1:16" x14ac:dyDescent="0.25">
      <c r="A2128" s="15"/>
      <c r="B2128" s="15"/>
      <c r="C2128" s="15"/>
      <c r="D2128" s="15"/>
      <c r="E2128" s="15"/>
      <c r="F2128" s="15"/>
      <c r="G2128" s="15"/>
      <c r="H2128" s="15"/>
      <c r="I2128" s="15"/>
      <c r="J2128" s="15"/>
      <c r="K2128" s="15"/>
      <c r="L2128" s="15"/>
      <c r="M2128" s="15"/>
      <c r="N2128" s="15"/>
      <c r="O2128" s="15"/>
      <c r="P2128" s="15"/>
    </row>
    <row r="2129" spans="1:16" x14ac:dyDescent="0.25">
      <c r="A2129" s="15"/>
      <c r="B2129" s="15"/>
      <c r="C2129" s="15"/>
      <c r="D2129" s="15"/>
      <c r="E2129" s="15"/>
      <c r="F2129" s="15"/>
      <c r="G2129" s="15"/>
      <c r="H2129" s="15"/>
      <c r="I2129" s="15"/>
      <c r="J2129" s="15"/>
      <c r="K2129" s="15"/>
      <c r="L2129" s="15"/>
      <c r="M2129" s="15"/>
      <c r="N2129" s="15"/>
      <c r="O2129" s="15"/>
      <c r="P2129" s="15"/>
    </row>
    <row r="2130" spans="1:16" x14ac:dyDescent="0.25">
      <c r="A2130" s="15"/>
      <c r="B2130" s="15"/>
      <c r="C2130" s="15"/>
      <c r="D2130" s="15"/>
      <c r="E2130" s="15"/>
      <c r="F2130" s="15"/>
      <c r="G2130" s="15"/>
      <c r="H2130" s="15"/>
      <c r="I2130" s="15"/>
      <c r="J2130" s="15"/>
      <c r="K2130" s="15"/>
      <c r="L2130" s="15"/>
      <c r="M2130" s="15"/>
      <c r="N2130" s="15"/>
      <c r="O2130" s="15"/>
      <c r="P2130" s="15"/>
    </row>
    <row r="2131" spans="1:16" x14ac:dyDescent="0.25">
      <c r="A2131" s="15"/>
      <c r="B2131" s="15"/>
      <c r="C2131" s="15"/>
      <c r="D2131" s="15"/>
      <c r="E2131" s="15"/>
      <c r="F2131" s="15"/>
      <c r="G2131" s="15"/>
      <c r="H2131" s="15"/>
      <c r="I2131" s="15"/>
      <c r="J2131" s="15"/>
      <c r="K2131" s="15"/>
      <c r="L2131" s="15"/>
      <c r="M2131" s="15"/>
      <c r="N2131" s="15"/>
      <c r="O2131" s="15"/>
      <c r="P2131" s="15"/>
    </row>
    <row r="2132" spans="1:16" x14ac:dyDescent="0.25">
      <c r="A2132" s="15"/>
      <c r="B2132" s="15"/>
      <c r="C2132" s="15"/>
      <c r="D2132" s="15"/>
      <c r="E2132" s="15"/>
      <c r="F2132" s="15"/>
      <c r="G2132" s="15"/>
      <c r="H2132" s="15"/>
      <c r="I2132" s="15"/>
      <c r="J2132" s="15"/>
      <c r="K2132" s="15"/>
      <c r="L2132" s="15"/>
      <c r="M2132" s="15"/>
      <c r="N2132" s="15"/>
      <c r="O2132" s="15"/>
      <c r="P2132" s="15"/>
    </row>
    <row r="2133" spans="1:16" x14ac:dyDescent="0.25">
      <c r="A2133" s="15"/>
      <c r="B2133" s="15"/>
      <c r="C2133" s="15"/>
      <c r="D2133" s="15"/>
      <c r="E2133" s="15"/>
      <c r="F2133" s="15"/>
      <c r="G2133" s="15"/>
      <c r="H2133" s="15"/>
      <c r="I2133" s="15"/>
      <c r="J2133" s="15"/>
      <c r="K2133" s="15"/>
      <c r="L2133" s="15"/>
      <c r="M2133" s="15"/>
      <c r="N2133" s="15"/>
      <c r="O2133" s="15"/>
      <c r="P2133" s="15"/>
    </row>
    <row r="2134" spans="1:16" x14ac:dyDescent="0.25">
      <c r="A2134" s="15"/>
      <c r="B2134" s="15"/>
      <c r="C2134" s="15"/>
      <c r="D2134" s="15"/>
      <c r="E2134" s="15"/>
      <c r="F2134" s="15"/>
      <c r="G2134" s="15"/>
      <c r="H2134" s="15"/>
      <c r="I2134" s="15"/>
      <c r="J2134" s="15"/>
      <c r="K2134" s="15"/>
      <c r="L2134" s="15"/>
      <c r="M2134" s="15"/>
      <c r="N2134" s="15"/>
      <c r="O2134" s="15"/>
      <c r="P2134" s="15"/>
    </row>
    <row r="2135" spans="1:16" x14ac:dyDescent="0.25">
      <c r="A2135" s="15"/>
      <c r="B2135" s="15"/>
      <c r="C2135" s="15"/>
      <c r="D2135" s="15"/>
      <c r="E2135" s="15"/>
      <c r="F2135" s="15"/>
      <c r="G2135" s="15"/>
      <c r="H2135" s="15"/>
      <c r="I2135" s="15"/>
      <c r="J2135" s="15"/>
      <c r="K2135" s="15"/>
      <c r="L2135" s="15"/>
      <c r="M2135" s="15"/>
      <c r="N2135" s="15"/>
      <c r="O2135" s="15"/>
      <c r="P2135" s="15"/>
    </row>
    <row r="2136" spans="1:16" x14ac:dyDescent="0.25">
      <c r="A2136" s="15"/>
      <c r="B2136" s="15"/>
      <c r="C2136" s="15"/>
      <c r="D2136" s="15"/>
      <c r="E2136" s="15"/>
      <c r="F2136" s="15"/>
      <c r="G2136" s="15"/>
      <c r="H2136" s="15"/>
      <c r="I2136" s="15"/>
      <c r="J2136" s="15"/>
      <c r="K2136" s="15"/>
      <c r="L2136" s="15"/>
      <c r="M2136" s="15"/>
      <c r="N2136" s="15"/>
      <c r="O2136" s="15"/>
      <c r="P2136" s="15"/>
    </row>
    <row r="2137" spans="1:16" x14ac:dyDescent="0.25">
      <c r="A2137" s="15"/>
      <c r="B2137" s="15"/>
      <c r="C2137" s="15"/>
      <c r="D2137" s="15"/>
      <c r="E2137" s="15"/>
      <c r="F2137" s="15"/>
      <c r="G2137" s="15"/>
      <c r="H2137" s="15"/>
      <c r="I2137" s="15"/>
      <c r="J2137" s="15"/>
      <c r="K2137" s="15"/>
      <c r="L2137" s="15"/>
      <c r="M2137" s="15"/>
      <c r="N2137" s="15"/>
      <c r="O2137" s="15"/>
      <c r="P2137" s="15"/>
    </row>
    <row r="2138" spans="1:16" x14ac:dyDescent="0.25">
      <c r="A2138" s="15"/>
      <c r="B2138" s="15"/>
      <c r="C2138" s="15"/>
      <c r="D2138" s="15"/>
      <c r="E2138" s="15"/>
      <c r="F2138" s="15"/>
      <c r="G2138" s="15"/>
      <c r="H2138" s="15"/>
      <c r="I2138" s="15"/>
      <c r="J2138" s="15"/>
      <c r="K2138" s="15"/>
      <c r="L2138" s="15"/>
      <c r="M2138" s="15"/>
      <c r="N2138" s="15"/>
      <c r="O2138" s="15"/>
      <c r="P2138" s="15"/>
    </row>
    <row r="2139" spans="1:16" x14ac:dyDescent="0.25">
      <c r="A2139" s="15"/>
      <c r="B2139" s="15"/>
      <c r="C2139" s="15"/>
      <c r="D2139" s="15"/>
      <c r="E2139" s="15"/>
      <c r="F2139" s="15"/>
      <c r="G2139" s="15"/>
      <c r="H2139" s="15"/>
      <c r="I2139" s="15"/>
      <c r="J2139" s="15"/>
      <c r="K2139" s="15"/>
      <c r="L2139" s="15"/>
      <c r="M2139" s="15"/>
      <c r="N2139" s="15"/>
      <c r="O2139" s="15"/>
      <c r="P2139" s="15"/>
    </row>
    <row r="2140" spans="1:16" x14ac:dyDescent="0.25">
      <c r="A2140" s="15"/>
      <c r="B2140" s="15"/>
      <c r="C2140" s="15"/>
      <c r="D2140" s="15"/>
      <c r="E2140" s="15"/>
      <c r="F2140" s="15"/>
      <c r="G2140" s="15"/>
      <c r="H2140" s="15"/>
      <c r="I2140" s="15"/>
      <c r="J2140" s="15"/>
      <c r="K2140" s="15"/>
      <c r="L2140" s="15"/>
      <c r="M2140" s="15"/>
      <c r="N2140" s="15"/>
      <c r="O2140" s="15"/>
      <c r="P2140" s="15"/>
    </row>
    <row r="2141" spans="1:16" x14ac:dyDescent="0.25">
      <c r="A2141" s="15"/>
      <c r="B2141" s="15"/>
      <c r="C2141" s="15"/>
      <c r="D2141" s="15"/>
      <c r="E2141" s="15"/>
      <c r="F2141" s="15"/>
      <c r="G2141" s="15"/>
      <c r="H2141" s="15"/>
      <c r="I2141" s="15"/>
      <c r="J2141" s="15"/>
      <c r="K2141" s="15"/>
      <c r="L2141" s="15"/>
      <c r="M2141" s="15"/>
      <c r="N2141" s="15"/>
      <c r="O2141" s="15"/>
      <c r="P2141" s="15"/>
    </row>
    <row r="2142" spans="1:16" x14ac:dyDescent="0.25">
      <c r="A2142" s="15"/>
      <c r="B2142" s="15"/>
      <c r="C2142" s="15"/>
      <c r="D2142" s="15"/>
      <c r="E2142" s="15"/>
      <c r="F2142" s="15"/>
      <c r="G2142" s="15"/>
      <c r="H2142" s="15"/>
      <c r="I2142" s="15"/>
      <c r="J2142" s="15"/>
      <c r="K2142" s="15"/>
      <c r="L2142" s="15"/>
      <c r="M2142" s="15"/>
      <c r="N2142" s="15"/>
      <c r="O2142" s="15"/>
      <c r="P2142" s="15"/>
    </row>
    <row r="2143" spans="1:16" x14ac:dyDescent="0.25">
      <c r="A2143" s="15"/>
      <c r="B2143" s="15"/>
      <c r="C2143" s="15"/>
      <c r="D2143" s="15"/>
      <c r="E2143" s="15"/>
      <c r="F2143" s="15"/>
      <c r="G2143" s="15"/>
      <c r="H2143" s="15"/>
      <c r="I2143" s="15"/>
      <c r="J2143" s="15"/>
      <c r="K2143" s="15"/>
      <c r="L2143" s="15"/>
      <c r="M2143" s="15"/>
      <c r="N2143" s="15"/>
      <c r="O2143" s="15"/>
      <c r="P2143" s="15"/>
    </row>
    <row r="2144" spans="1:16" x14ac:dyDescent="0.25">
      <c r="A2144" s="15"/>
      <c r="B2144" s="15"/>
      <c r="C2144" s="15"/>
      <c r="D2144" s="15"/>
      <c r="E2144" s="15"/>
      <c r="F2144" s="15"/>
      <c r="G2144" s="15"/>
      <c r="H2144" s="15"/>
      <c r="I2144" s="15"/>
      <c r="J2144" s="15"/>
      <c r="K2144" s="15"/>
      <c r="L2144" s="15"/>
      <c r="M2144" s="15"/>
      <c r="N2144" s="15"/>
      <c r="O2144" s="15"/>
      <c r="P2144" s="15"/>
    </row>
    <row r="2145" spans="1:16" x14ac:dyDescent="0.25">
      <c r="A2145" s="15"/>
      <c r="B2145" s="15"/>
      <c r="C2145" s="15"/>
      <c r="D2145" s="15"/>
      <c r="E2145" s="15"/>
      <c r="F2145" s="15"/>
      <c r="G2145" s="15"/>
      <c r="H2145" s="15"/>
      <c r="I2145" s="15"/>
      <c r="J2145" s="15"/>
      <c r="K2145" s="15"/>
      <c r="L2145" s="15"/>
      <c r="M2145" s="15"/>
      <c r="N2145" s="15"/>
      <c r="O2145" s="15"/>
      <c r="P2145" s="15"/>
    </row>
    <row r="2146" spans="1:16" x14ac:dyDescent="0.25">
      <c r="A2146" s="15"/>
      <c r="B2146" s="15"/>
      <c r="C2146" s="15"/>
      <c r="D2146" s="15"/>
      <c r="E2146" s="15"/>
      <c r="F2146" s="15"/>
      <c r="G2146" s="15"/>
      <c r="H2146" s="15"/>
      <c r="I2146" s="15"/>
      <c r="J2146" s="15"/>
      <c r="K2146" s="15"/>
      <c r="L2146" s="15"/>
      <c r="M2146" s="15"/>
      <c r="N2146" s="15"/>
      <c r="O2146" s="15"/>
      <c r="P2146" s="15"/>
    </row>
    <row r="2147" spans="1:16" x14ac:dyDescent="0.25">
      <c r="A2147" s="15"/>
      <c r="B2147" s="15"/>
      <c r="C2147" s="15"/>
      <c r="D2147" s="15"/>
      <c r="E2147" s="15"/>
      <c r="F2147" s="15"/>
      <c r="G2147" s="15"/>
      <c r="H2147" s="15"/>
      <c r="I2147" s="15"/>
      <c r="J2147" s="15"/>
      <c r="K2147" s="15"/>
      <c r="L2147" s="15"/>
      <c r="M2147" s="15"/>
      <c r="N2147" s="15"/>
      <c r="O2147" s="15"/>
      <c r="P2147" s="15"/>
    </row>
    <row r="2148" spans="1:16" x14ac:dyDescent="0.25">
      <c r="A2148" s="15"/>
      <c r="B2148" s="15"/>
      <c r="C2148" s="15"/>
      <c r="D2148" s="15"/>
      <c r="E2148" s="15"/>
      <c r="F2148" s="15"/>
      <c r="G2148" s="15"/>
      <c r="H2148" s="15"/>
      <c r="I2148" s="15"/>
      <c r="J2148" s="15"/>
      <c r="K2148" s="15"/>
      <c r="L2148" s="15"/>
      <c r="M2148" s="15"/>
      <c r="N2148" s="15"/>
      <c r="O2148" s="15"/>
      <c r="P2148" s="15"/>
    </row>
    <row r="2149" spans="1:16" x14ac:dyDescent="0.25">
      <c r="A2149" s="15"/>
      <c r="B2149" s="15"/>
      <c r="C2149" s="15"/>
      <c r="D2149" s="15"/>
      <c r="E2149" s="15"/>
      <c r="F2149" s="15"/>
      <c r="G2149" s="15"/>
      <c r="H2149" s="15"/>
      <c r="I2149" s="15"/>
      <c r="J2149" s="15"/>
      <c r="K2149" s="15"/>
      <c r="L2149" s="15"/>
      <c r="M2149" s="15"/>
      <c r="N2149" s="15"/>
      <c r="O2149" s="15"/>
      <c r="P2149" s="15"/>
    </row>
    <row r="2150" spans="1:16" x14ac:dyDescent="0.25">
      <c r="A2150" s="15"/>
      <c r="B2150" s="15"/>
      <c r="C2150" s="15"/>
      <c r="D2150" s="15"/>
      <c r="E2150" s="15"/>
      <c r="F2150" s="15"/>
      <c r="G2150" s="15"/>
      <c r="H2150" s="15"/>
      <c r="I2150" s="15"/>
      <c r="J2150" s="15"/>
      <c r="K2150" s="15"/>
      <c r="L2150" s="15"/>
      <c r="M2150" s="15"/>
      <c r="N2150" s="15"/>
      <c r="O2150" s="15"/>
      <c r="P2150" s="15"/>
    </row>
    <row r="2151" spans="1:16" x14ac:dyDescent="0.25">
      <c r="A2151" s="15"/>
      <c r="B2151" s="15"/>
      <c r="C2151" s="15"/>
      <c r="D2151" s="15"/>
      <c r="E2151" s="15"/>
      <c r="F2151" s="15"/>
      <c r="G2151" s="15"/>
      <c r="H2151" s="15"/>
      <c r="I2151" s="15"/>
      <c r="J2151" s="15"/>
      <c r="K2151" s="15"/>
      <c r="L2151" s="15"/>
      <c r="M2151" s="15"/>
      <c r="N2151" s="15"/>
      <c r="O2151" s="15"/>
      <c r="P2151" s="15"/>
    </row>
    <row r="2152" spans="1:16" x14ac:dyDescent="0.25">
      <c r="A2152" s="15"/>
      <c r="B2152" s="15"/>
      <c r="C2152" s="15"/>
      <c r="D2152" s="15"/>
      <c r="E2152" s="15"/>
      <c r="F2152" s="15"/>
      <c r="G2152" s="15"/>
      <c r="H2152" s="15"/>
      <c r="I2152" s="15"/>
      <c r="J2152" s="15"/>
      <c r="K2152" s="15"/>
      <c r="L2152" s="15"/>
      <c r="M2152" s="15"/>
      <c r="N2152" s="15"/>
      <c r="O2152" s="15"/>
      <c r="P2152" s="15"/>
    </row>
    <row r="2153" spans="1:16" x14ac:dyDescent="0.25">
      <c r="A2153" s="15"/>
      <c r="B2153" s="15"/>
      <c r="C2153" s="15"/>
      <c r="D2153" s="15"/>
      <c r="E2153" s="15"/>
      <c r="F2153" s="15"/>
      <c r="G2153" s="15"/>
      <c r="H2153" s="15"/>
      <c r="I2153" s="15"/>
      <c r="J2153" s="15"/>
      <c r="K2153" s="15"/>
      <c r="L2153" s="15"/>
      <c r="M2153" s="15"/>
      <c r="N2153" s="15"/>
      <c r="O2153" s="15"/>
      <c r="P2153" s="15"/>
    </row>
    <row r="2154" spans="1:16" x14ac:dyDescent="0.25">
      <c r="A2154" s="15"/>
      <c r="B2154" s="15"/>
      <c r="C2154" s="15"/>
      <c r="D2154" s="15"/>
      <c r="E2154" s="15"/>
      <c r="F2154" s="15"/>
      <c r="G2154" s="15"/>
      <c r="H2154" s="15"/>
      <c r="I2154" s="15"/>
      <c r="J2154" s="15"/>
      <c r="K2154" s="15"/>
      <c r="L2154" s="15"/>
      <c r="M2154" s="15"/>
      <c r="N2154" s="15"/>
      <c r="O2154" s="15"/>
      <c r="P2154" s="15"/>
    </row>
    <row r="2155" spans="1:16" x14ac:dyDescent="0.25">
      <c r="A2155" s="15"/>
      <c r="B2155" s="15"/>
      <c r="C2155" s="15"/>
      <c r="D2155" s="15"/>
      <c r="E2155" s="15"/>
      <c r="F2155" s="15"/>
      <c r="G2155" s="15"/>
      <c r="H2155" s="15"/>
      <c r="I2155" s="15"/>
      <c r="J2155" s="15"/>
      <c r="K2155" s="15"/>
      <c r="L2155" s="15"/>
      <c r="M2155" s="15"/>
      <c r="N2155" s="15"/>
      <c r="O2155" s="15"/>
      <c r="P2155" s="15"/>
    </row>
    <row r="2156" spans="1:16" x14ac:dyDescent="0.25">
      <c r="A2156" s="15"/>
      <c r="B2156" s="15"/>
      <c r="C2156" s="15"/>
      <c r="D2156" s="15"/>
      <c r="E2156" s="15"/>
      <c r="F2156" s="15"/>
      <c r="G2156" s="15"/>
      <c r="H2156" s="15"/>
      <c r="I2156" s="15"/>
      <c r="J2156" s="15"/>
      <c r="K2156" s="15"/>
      <c r="L2156" s="15"/>
      <c r="M2156" s="15"/>
      <c r="N2156" s="15"/>
      <c r="O2156" s="15"/>
      <c r="P2156" s="15"/>
    </row>
    <row r="2157" spans="1:16" x14ac:dyDescent="0.25">
      <c r="A2157" s="15"/>
      <c r="B2157" s="15"/>
      <c r="C2157" s="15"/>
      <c r="D2157" s="15"/>
      <c r="E2157" s="15"/>
      <c r="F2157" s="15"/>
      <c r="G2157" s="15"/>
      <c r="H2157" s="15"/>
      <c r="I2157" s="15"/>
      <c r="J2157" s="15"/>
      <c r="K2157" s="15"/>
      <c r="L2157" s="15"/>
      <c r="M2157" s="15"/>
      <c r="N2157" s="15"/>
      <c r="O2157" s="15"/>
      <c r="P2157" s="15"/>
    </row>
    <row r="2158" spans="1:16" x14ac:dyDescent="0.25">
      <c r="A2158" s="15"/>
      <c r="B2158" s="15"/>
      <c r="C2158" s="15"/>
      <c r="D2158" s="15"/>
      <c r="E2158" s="15"/>
      <c r="F2158" s="15"/>
      <c r="G2158" s="15"/>
      <c r="H2158" s="15"/>
      <c r="I2158" s="15"/>
      <c r="J2158" s="15"/>
      <c r="K2158" s="15"/>
      <c r="L2158" s="15"/>
      <c r="M2158" s="15"/>
      <c r="N2158" s="15"/>
      <c r="O2158" s="15"/>
      <c r="P2158" s="15"/>
    </row>
    <row r="2159" spans="1:16" x14ac:dyDescent="0.25">
      <c r="A2159" s="15"/>
      <c r="B2159" s="15"/>
      <c r="C2159" s="15"/>
      <c r="D2159" s="15"/>
      <c r="E2159" s="15"/>
      <c r="F2159" s="15"/>
      <c r="G2159" s="15"/>
      <c r="H2159" s="15"/>
      <c r="I2159" s="15"/>
      <c r="J2159" s="15"/>
      <c r="K2159" s="15"/>
      <c r="L2159" s="15"/>
      <c r="M2159" s="15"/>
      <c r="N2159" s="15"/>
      <c r="O2159" s="15"/>
      <c r="P2159" s="15"/>
    </row>
    <row r="2160" spans="1:16" x14ac:dyDescent="0.25">
      <c r="A2160" s="15"/>
      <c r="B2160" s="15"/>
      <c r="C2160" s="15"/>
      <c r="D2160" s="15"/>
      <c r="E2160" s="15"/>
      <c r="F2160" s="15"/>
      <c r="G2160" s="15"/>
      <c r="H2160" s="15"/>
      <c r="I2160" s="15"/>
      <c r="J2160" s="15"/>
      <c r="K2160" s="15"/>
      <c r="L2160" s="15"/>
      <c r="M2160" s="15"/>
      <c r="N2160" s="15"/>
      <c r="O2160" s="15"/>
      <c r="P2160" s="15"/>
    </row>
    <row r="2161" spans="1:16" x14ac:dyDescent="0.25">
      <c r="A2161" s="15"/>
      <c r="B2161" s="15"/>
      <c r="C2161" s="15"/>
      <c r="D2161" s="15"/>
      <c r="E2161" s="15"/>
      <c r="F2161" s="15"/>
      <c r="G2161" s="15"/>
      <c r="H2161" s="15"/>
      <c r="I2161" s="15"/>
      <c r="J2161" s="15"/>
      <c r="K2161" s="15"/>
      <c r="L2161" s="15"/>
      <c r="M2161" s="15"/>
      <c r="N2161" s="15"/>
      <c r="O2161" s="15"/>
      <c r="P2161" s="15"/>
    </row>
    <row r="2162" spans="1:16" x14ac:dyDescent="0.25">
      <c r="A2162" s="15"/>
      <c r="B2162" s="15"/>
      <c r="C2162" s="15"/>
      <c r="D2162" s="15"/>
      <c r="E2162" s="15"/>
      <c r="F2162" s="15"/>
      <c r="G2162" s="15"/>
      <c r="H2162" s="15"/>
      <c r="I2162" s="15"/>
      <c r="J2162" s="15"/>
      <c r="K2162" s="15"/>
      <c r="L2162" s="15"/>
      <c r="M2162" s="15"/>
      <c r="N2162" s="15"/>
      <c r="O2162" s="15"/>
      <c r="P2162" s="15"/>
    </row>
    <row r="2163" spans="1:16" x14ac:dyDescent="0.25">
      <c r="A2163" s="15"/>
      <c r="B2163" s="15"/>
      <c r="C2163" s="15"/>
      <c r="D2163" s="15"/>
      <c r="E2163" s="15"/>
      <c r="F2163" s="15"/>
      <c r="G2163" s="15"/>
      <c r="H2163" s="15"/>
      <c r="I2163" s="15"/>
      <c r="J2163" s="15"/>
      <c r="K2163" s="15"/>
      <c r="L2163" s="15"/>
      <c r="M2163" s="15"/>
      <c r="N2163" s="15"/>
      <c r="O2163" s="15"/>
      <c r="P2163" s="15"/>
    </row>
    <row r="2164" spans="1:16" x14ac:dyDescent="0.25">
      <c r="A2164" s="15"/>
      <c r="B2164" s="15"/>
      <c r="C2164" s="15"/>
      <c r="D2164" s="15"/>
      <c r="E2164" s="15"/>
      <c r="F2164" s="15"/>
      <c r="G2164" s="15"/>
      <c r="H2164" s="15"/>
      <c r="I2164" s="15"/>
      <c r="J2164" s="15"/>
      <c r="K2164" s="15"/>
      <c r="L2164" s="15"/>
      <c r="M2164" s="15"/>
      <c r="N2164" s="15"/>
      <c r="O2164" s="15"/>
      <c r="P2164" s="15"/>
    </row>
    <row r="2165" spans="1:16" x14ac:dyDescent="0.25">
      <c r="A2165" s="15"/>
      <c r="B2165" s="15"/>
      <c r="C2165" s="15"/>
      <c r="D2165" s="15"/>
      <c r="E2165" s="15"/>
      <c r="F2165" s="15"/>
      <c r="G2165" s="15"/>
      <c r="H2165" s="15"/>
      <c r="I2165" s="15"/>
      <c r="J2165" s="15"/>
      <c r="K2165" s="15"/>
      <c r="L2165" s="15"/>
      <c r="M2165" s="15"/>
      <c r="N2165" s="15"/>
      <c r="O2165" s="15"/>
      <c r="P2165" s="15"/>
    </row>
    <row r="2166" spans="1:16" x14ac:dyDescent="0.25">
      <c r="A2166" s="15"/>
      <c r="B2166" s="15"/>
      <c r="C2166" s="15"/>
      <c r="D2166" s="15"/>
      <c r="E2166" s="15"/>
      <c r="F2166" s="15"/>
      <c r="G2166" s="15"/>
      <c r="H2166" s="15"/>
      <c r="I2166" s="15"/>
      <c r="J2166" s="15"/>
      <c r="K2166" s="15"/>
      <c r="L2166" s="15"/>
      <c r="M2166" s="15"/>
      <c r="N2166" s="15"/>
      <c r="O2166" s="15"/>
      <c r="P2166" s="15"/>
    </row>
    <row r="2167" spans="1:16" x14ac:dyDescent="0.25">
      <c r="A2167" s="15"/>
      <c r="B2167" s="15"/>
      <c r="C2167" s="15"/>
      <c r="D2167" s="15"/>
      <c r="E2167" s="15"/>
      <c r="F2167" s="15"/>
      <c r="G2167" s="15"/>
      <c r="H2167" s="15"/>
      <c r="I2167" s="15"/>
      <c r="J2167" s="15"/>
      <c r="K2167" s="15"/>
      <c r="L2167" s="15"/>
      <c r="M2167" s="15"/>
      <c r="N2167" s="15"/>
      <c r="O2167" s="15"/>
      <c r="P2167" s="15"/>
    </row>
    <row r="2168" spans="1:16" x14ac:dyDescent="0.25">
      <c r="A2168" s="15"/>
      <c r="B2168" s="15"/>
      <c r="C2168" s="15"/>
      <c r="D2168" s="15"/>
      <c r="E2168" s="15"/>
      <c r="F2168" s="15"/>
      <c r="G2168" s="15"/>
      <c r="H2168" s="15"/>
      <c r="I2168" s="15"/>
      <c r="J2168" s="15"/>
      <c r="K2168" s="15"/>
      <c r="L2168" s="15"/>
      <c r="M2168" s="15"/>
      <c r="N2168" s="15"/>
      <c r="O2168" s="15"/>
      <c r="P2168" s="15"/>
    </row>
    <row r="2169" spans="1:16" x14ac:dyDescent="0.25">
      <c r="A2169" s="15"/>
      <c r="B2169" s="15"/>
      <c r="C2169" s="15"/>
      <c r="D2169" s="15"/>
      <c r="E2169" s="15"/>
      <c r="F2169" s="15"/>
      <c r="G2169" s="15"/>
      <c r="H2169" s="15"/>
      <c r="I2169" s="15"/>
      <c r="J2169" s="15"/>
      <c r="K2169" s="15"/>
      <c r="L2169" s="15"/>
      <c r="M2169" s="15"/>
      <c r="N2169" s="15"/>
      <c r="O2169" s="15"/>
      <c r="P2169" s="15"/>
    </row>
    <row r="2170" spans="1:16" x14ac:dyDescent="0.25">
      <c r="A2170" s="15"/>
      <c r="B2170" s="15"/>
      <c r="C2170" s="15"/>
      <c r="D2170" s="15"/>
      <c r="E2170" s="15"/>
      <c r="F2170" s="15"/>
      <c r="G2170" s="15"/>
      <c r="H2170" s="15"/>
      <c r="I2170" s="15"/>
      <c r="J2170" s="15"/>
      <c r="K2170" s="15"/>
      <c r="L2170" s="15"/>
      <c r="M2170" s="15"/>
      <c r="N2170" s="15"/>
      <c r="O2170" s="15"/>
      <c r="P2170" s="15"/>
    </row>
    <row r="2171" spans="1:16" x14ac:dyDescent="0.25">
      <c r="A2171" s="15"/>
      <c r="B2171" s="15"/>
      <c r="C2171" s="15"/>
      <c r="D2171" s="15"/>
      <c r="E2171" s="15"/>
      <c r="F2171" s="15"/>
      <c r="G2171" s="15"/>
      <c r="H2171" s="15"/>
      <c r="I2171" s="15"/>
      <c r="J2171" s="15"/>
      <c r="K2171" s="15"/>
      <c r="L2171" s="15"/>
      <c r="M2171" s="15"/>
      <c r="N2171" s="15"/>
      <c r="O2171" s="15"/>
      <c r="P2171" s="15"/>
    </row>
    <row r="2172" spans="1:16" x14ac:dyDescent="0.25">
      <c r="A2172" s="15"/>
      <c r="B2172" s="15"/>
      <c r="C2172" s="15"/>
      <c r="D2172" s="15"/>
      <c r="E2172" s="15"/>
      <c r="F2172" s="15"/>
      <c r="G2172" s="15"/>
      <c r="H2172" s="15"/>
      <c r="I2172" s="15"/>
      <c r="J2172" s="15"/>
      <c r="K2172" s="15"/>
      <c r="L2172" s="15"/>
      <c r="M2172" s="15"/>
      <c r="N2172" s="15"/>
      <c r="O2172" s="15"/>
      <c r="P2172" s="15"/>
    </row>
    <row r="2173" spans="1:16" x14ac:dyDescent="0.25">
      <c r="A2173" s="15"/>
      <c r="B2173" s="15"/>
      <c r="C2173" s="15"/>
      <c r="D2173" s="15"/>
      <c r="E2173" s="15"/>
      <c r="F2173" s="15"/>
      <c r="G2173" s="15"/>
      <c r="H2173" s="15"/>
      <c r="I2173" s="15"/>
      <c r="J2173" s="15"/>
      <c r="K2173" s="15"/>
      <c r="L2173" s="15"/>
      <c r="M2173" s="15"/>
      <c r="N2173" s="15"/>
      <c r="O2173" s="15"/>
      <c r="P2173" s="15"/>
    </row>
    <row r="2174" spans="1:16" x14ac:dyDescent="0.25">
      <c r="A2174" s="15"/>
      <c r="B2174" s="15"/>
      <c r="C2174" s="15"/>
      <c r="D2174" s="15"/>
      <c r="E2174" s="15"/>
      <c r="F2174" s="15"/>
      <c r="G2174" s="15"/>
      <c r="H2174" s="15"/>
      <c r="I2174" s="15"/>
      <c r="J2174" s="15"/>
      <c r="K2174" s="15"/>
      <c r="L2174" s="15"/>
      <c r="M2174" s="15"/>
      <c r="N2174" s="15"/>
      <c r="O2174" s="15"/>
      <c r="P2174" s="15"/>
    </row>
    <row r="2175" spans="1:16" x14ac:dyDescent="0.25">
      <c r="A2175" s="15"/>
      <c r="B2175" s="15"/>
      <c r="C2175" s="15"/>
      <c r="D2175" s="15"/>
      <c r="E2175" s="15"/>
      <c r="F2175" s="15"/>
      <c r="G2175" s="15"/>
      <c r="H2175" s="15"/>
      <c r="I2175" s="15"/>
      <c r="J2175" s="15"/>
      <c r="K2175" s="15"/>
      <c r="L2175" s="15"/>
      <c r="M2175" s="15"/>
      <c r="N2175" s="15"/>
      <c r="O2175" s="15"/>
      <c r="P2175" s="15"/>
    </row>
    <row r="2176" spans="1:16" x14ac:dyDescent="0.25">
      <c r="A2176" s="15"/>
      <c r="B2176" s="15"/>
      <c r="C2176" s="15"/>
      <c r="D2176" s="15"/>
      <c r="E2176" s="15"/>
      <c r="F2176" s="15"/>
      <c r="G2176" s="15"/>
      <c r="H2176" s="15"/>
      <c r="I2176" s="15"/>
      <c r="J2176" s="15"/>
      <c r="K2176" s="15"/>
      <c r="L2176" s="15"/>
      <c r="M2176" s="15"/>
      <c r="N2176" s="15"/>
      <c r="O2176" s="15"/>
      <c r="P2176" s="15"/>
    </row>
    <row r="2177" spans="1:16" x14ac:dyDescent="0.25">
      <c r="A2177" s="15"/>
      <c r="B2177" s="15"/>
      <c r="C2177" s="15"/>
      <c r="D2177" s="15"/>
      <c r="E2177" s="15"/>
      <c r="F2177" s="15"/>
      <c r="G2177" s="15"/>
      <c r="H2177" s="15"/>
      <c r="I2177" s="15"/>
      <c r="J2177" s="15"/>
      <c r="K2177" s="15"/>
      <c r="L2177" s="15"/>
      <c r="M2177" s="15"/>
      <c r="N2177" s="15"/>
      <c r="O2177" s="15"/>
      <c r="P2177" s="15"/>
    </row>
    <row r="2178" spans="1:16" x14ac:dyDescent="0.25">
      <c r="A2178" s="15"/>
      <c r="B2178" s="15"/>
      <c r="C2178" s="15"/>
      <c r="D2178" s="15"/>
      <c r="E2178" s="15"/>
      <c r="F2178" s="15"/>
      <c r="G2178" s="15"/>
      <c r="H2178" s="15"/>
      <c r="I2178" s="15"/>
      <c r="J2178" s="15"/>
      <c r="K2178" s="15"/>
      <c r="L2178" s="15"/>
      <c r="M2178" s="15"/>
      <c r="N2178" s="15"/>
      <c r="O2178" s="15"/>
      <c r="P2178" s="15"/>
    </row>
    <row r="2179" spans="1:16" x14ac:dyDescent="0.25">
      <c r="A2179" s="15"/>
      <c r="B2179" s="15"/>
      <c r="C2179" s="15"/>
      <c r="D2179" s="15"/>
      <c r="E2179" s="15"/>
      <c r="F2179" s="15"/>
      <c r="G2179" s="15"/>
      <c r="H2179" s="15"/>
      <c r="I2179" s="15"/>
      <c r="J2179" s="15"/>
      <c r="K2179" s="15"/>
      <c r="L2179" s="15"/>
      <c r="M2179" s="15"/>
      <c r="N2179" s="15"/>
      <c r="O2179" s="15"/>
      <c r="P2179" s="15"/>
    </row>
    <row r="2180" spans="1:16" x14ac:dyDescent="0.25">
      <c r="A2180" s="15"/>
      <c r="B2180" s="15"/>
      <c r="C2180" s="15"/>
      <c r="D2180" s="15"/>
      <c r="E2180" s="15"/>
      <c r="F2180" s="15"/>
      <c r="G2180" s="15"/>
      <c r="H2180" s="15"/>
      <c r="I2180" s="15"/>
      <c r="J2180" s="15"/>
      <c r="K2180" s="15"/>
      <c r="L2180" s="15"/>
      <c r="M2180" s="15"/>
      <c r="N2180" s="15"/>
      <c r="O2180" s="15"/>
      <c r="P2180" s="15"/>
    </row>
    <row r="2181" spans="1:16" x14ac:dyDescent="0.25">
      <c r="A2181" s="15"/>
      <c r="B2181" s="15"/>
      <c r="C2181" s="15"/>
      <c r="D2181" s="15"/>
      <c r="E2181" s="15"/>
      <c r="F2181" s="15"/>
      <c r="G2181" s="15"/>
      <c r="H2181" s="15"/>
      <c r="I2181" s="15"/>
      <c r="J2181" s="15"/>
      <c r="K2181" s="15"/>
      <c r="L2181" s="15"/>
      <c r="M2181" s="15"/>
      <c r="N2181" s="15"/>
      <c r="O2181" s="15"/>
      <c r="P2181" s="15"/>
    </row>
    <row r="2182" spans="1:16" x14ac:dyDescent="0.25">
      <c r="A2182" s="15"/>
      <c r="B2182" s="15"/>
      <c r="C2182" s="15"/>
      <c r="D2182" s="15"/>
      <c r="E2182" s="15"/>
      <c r="F2182" s="15"/>
      <c r="G2182" s="15"/>
      <c r="H2182" s="15"/>
      <c r="I2182" s="15"/>
      <c r="J2182" s="15"/>
      <c r="K2182" s="15"/>
      <c r="L2182" s="15"/>
      <c r="M2182" s="15"/>
      <c r="N2182" s="15"/>
      <c r="O2182" s="15"/>
      <c r="P2182" s="15"/>
    </row>
    <row r="2183" spans="1:16" x14ac:dyDescent="0.25">
      <c r="A2183" s="15"/>
      <c r="B2183" s="15"/>
      <c r="C2183" s="15"/>
      <c r="D2183" s="15"/>
      <c r="E2183" s="15"/>
      <c r="F2183" s="15"/>
      <c r="G2183" s="15"/>
      <c r="H2183" s="15"/>
      <c r="I2183" s="15"/>
      <c r="J2183" s="15"/>
      <c r="K2183" s="15"/>
      <c r="L2183" s="15"/>
      <c r="M2183" s="15"/>
      <c r="N2183" s="15"/>
      <c r="O2183" s="15"/>
      <c r="P2183" s="15"/>
    </row>
    <row r="2184" spans="1:16" x14ac:dyDescent="0.25">
      <c r="A2184" s="15"/>
      <c r="B2184" s="15"/>
      <c r="C2184" s="15"/>
      <c r="D2184" s="15"/>
      <c r="E2184" s="15"/>
      <c r="F2184" s="15"/>
      <c r="G2184" s="15"/>
      <c r="H2184" s="15"/>
      <c r="I2184" s="15"/>
      <c r="J2184" s="15"/>
      <c r="K2184" s="15"/>
      <c r="L2184" s="15"/>
      <c r="M2184" s="15"/>
      <c r="N2184" s="15"/>
      <c r="O2184" s="15"/>
      <c r="P2184" s="15"/>
    </row>
    <row r="2185" spans="1:16" x14ac:dyDescent="0.25">
      <c r="A2185" s="15"/>
      <c r="B2185" s="15"/>
      <c r="C2185" s="15"/>
      <c r="D2185" s="15"/>
      <c r="E2185" s="15"/>
      <c r="F2185" s="15"/>
      <c r="G2185" s="15"/>
      <c r="H2185" s="15"/>
      <c r="I2185" s="15"/>
      <c r="J2185" s="15"/>
      <c r="K2185" s="15"/>
      <c r="L2185" s="15"/>
      <c r="M2185" s="15"/>
      <c r="N2185" s="15"/>
      <c r="O2185" s="15"/>
      <c r="P2185" s="15"/>
    </row>
    <row r="2186" spans="1:16" x14ac:dyDescent="0.25">
      <c r="A2186" s="15"/>
      <c r="B2186" s="15"/>
      <c r="C2186" s="15"/>
      <c r="D2186" s="15"/>
      <c r="E2186" s="15"/>
      <c r="F2186" s="15"/>
      <c r="G2186" s="15"/>
      <c r="H2186" s="15"/>
      <c r="I2186" s="15"/>
      <c r="J2186" s="15"/>
      <c r="K2186" s="15"/>
      <c r="L2186" s="15"/>
      <c r="M2186" s="15"/>
      <c r="N2186" s="15"/>
      <c r="O2186" s="15"/>
      <c r="P2186" s="15"/>
    </row>
    <row r="2187" spans="1:16" x14ac:dyDescent="0.25">
      <c r="A2187" s="15"/>
      <c r="B2187" s="15"/>
      <c r="C2187" s="15"/>
      <c r="D2187" s="15"/>
      <c r="E2187" s="15"/>
      <c r="F2187" s="15"/>
      <c r="G2187" s="15"/>
      <c r="H2187" s="15"/>
      <c r="I2187" s="15"/>
      <c r="J2187" s="15"/>
      <c r="K2187" s="15"/>
      <c r="L2187" s="15"/>
      <c r="M2187" s="15"/>
      <c r="N2187" s="15"/>
      <c r="O2187" s="15"/>
      <c r="P2187" s="15"/>
    </row>
    <row r="2188" spans="1:16" x14ac:dyDescent="0.25">
      <c r="A2188" s="15"/>
      <c r="B2188" s="15"/>
      <c r="C2188" s="15"/>
      <c r="D2188" s="15"/>
      <c r="E2188" s="15"/>
      <c r="F2188" s="15"/>
      <c r="G2188" s="15"/>
      <c r="H2188" s="15"/>
      <c r="I2188" s="15"/>
      <c r="J2188" s="15"/>
      <c r="K2188" s="15"/>
      <c r="L2188" s="15"/>
      <c r="M2188" s="15"/>
      <c r="N2188" s="15"/>
      <c r="O2188" s="15"/>
      <c r="P2188" s="15"/>
    </row>
    <row r="2189" spans="1:16" x14ac:dyDescent="0.25">
      <c r="A2189" s="15"/>
      <c r="B2189" s="15"/>
      <c r="C2189" s="15"/>
      <c r="D2189" s="15"/>
      <c r="E2189" s="15"/>
      <c r="F2189" s="15"/>
      <c r="G2189" s="15"/>
      <c r="H2189" s="15"/>
      <c r="I2189" s="15"/>
      <c r="J2189" s="15"/>
      <c r="K2189" s="15"/>
      <c r="L2189" s="15"/>
      <c r="M2189" s="15"/>
      <c r="N2189" s="15"/>
      <c r="O2189" s="15"/>
      <c r="P2189" s="15"/>
    </row>
    <row r="2190" spans="1:16" x14ac:dyDescent="0.25">
      <c r="A2190" s="15"/>
      <c r="B2190" s="15"/>
      <c r="C2190" s="15"/>
      <c r="D2190" s="15"/>
      <c r="E2190" s="15"/>
      <c r="F2190" s="15"/>
      <c r="G2190" s="15"/>
      <c r="H2190" s="15"/>
      <c r="I2190" s="15"/>
      <c r="J2190" s="15"/>
      <c r="K2190" s="15"/>
      <c r="L2190" s="15"/>
      <c r="M2190" s="15"/>
      <c r="N2190" s="15"/>
      <c r="O2190" s="15"/>
      <c r="P2190" s="15"/>
    </row>
    <row r="2191" spans="1:16" x14ac:dyDescent="0.25">
      <c r="A2191" s="15"/>
      <c r="B2191" s="15"/>
      <c r="C2191" s="15"/>
      <c r="D2191" s="15"/>
      <c r="E2191" s="15"/>
      <c r="F2191" s="15"/>
      <c r="G2191" s="15"/>
      <c r="H2191" s="15"/>
      <c r="I2191" s="15"/>
      <c r="J2191" s="15"/>
      <c r="K2191" s="15"/>
      <c r="L2191" s="15"/>
      <c r="M2191" s="15"/>
      <c r="N2191" s="15"/>
      <c r="O2191" s="15"/>
      <c r="P2191" s="15"/>
    </row>
    <row r="2192" spans="1:16" x14ac:dyDescent="0.25">
      <c r="A2192" s="15"/>
      <c r="B2192" s="15"/>
      <c r="C2192" s="15"/>
      <c r="D2192" s="15"/>
      <c r="E2192" s="15"/>
      <c r="F2192" s="15"/>
      <c r="G2192" s="15"/>
      <c r="H2192" s="15"/>
      <c r="I2192" s="15"/>
      <c r="J2192" s="15"/>
      <c r="K2192" s="15"/>
      <c r="L2192" s="15"/>
      <c r="M2192" s="15"/>
      <c r="N2192" s="15"/>
      <c r="O2192" s="15"/>
      <c r="P2192" s="15"/>
    </row>
    <row r="2193" spans="1:16" x14ac:dyDescent="0.25">
      <c r="A2193" s="15"/>
      <c r="B2193" s="15"/>
      <c r="C2193" s="15"/>
      <c r="D2193" s="15"/>
      <c r="E2193" s="15"/>
      <c r="F2193" s="15"/>
      <c r="G2193" s="15"/>
      <c r="H2193" s="15"/>
      <c r="I2193" s="15"/>
      <c r="J2193" s="15"/>
      <c r="K2193" s="15"/>
      <c r="L2193" s="15"/>
      <c r="M2193" s="15"/>
      <c r="N2193" s="15"/>
      <c r="O2193" s="15"/>
      <c r="P2193" s="15"/>
    </row>
    <row r="2194" spans="1:16" x14ac:dyDescent="0.25">
      <c r="A2194" s="15"/>
      <c r="B2194" s="15"/>
      <c r="C2194" s="15"/>
      <c r="D2194" s="15"/>
      <c r="E2194" s="15"/>
      <c r="F2194" s="15"/>
      <c r="G2194" s="15"/>
      <c r="H2194" s="15"/>
      <c r="I2194" s="15"/>
      <c r="J2194" s="15"/>
      <c r="K2194" s="15"/>
      <c r="L2194" s="15"/>
      <c r="M2194" s="15"/>
      <c r="N2194" s="15"/>
      <c r="O2194" s="15"/>
      <c r="P2194" s="15"/>
    </row>
    <row r="2195" spans="1:16" x14ac:dyDescent="0.25">
      <c r="A2195" s="15"/>
      <c r="B2195" s="15"/>
      <c r="C2195" s="15"/>
      <c r="D2195" s="15"/>
      <c r="E2195" s="15"/>
      <c r="F2195" s="15"/>
      <c r="G2195" s="15"/>
      <c r="H2195" s="15"/>
      <c r="I2195" s="15"/>
      <c r="J2195" s="15"/>
      <c r="K2195" s="15"/>
      <c r="L2195" s="15"/>
      <c r="M2195" s="15"/>
      <c r="N2195" s="15"/>
      <c r="O2195" s="15"/>
      <c r="P2195" s="15"/>
    </row>
    <row r="2196" spans="1:16" x14ac:dyDescent="0.25">
      <c r="A2196" s="15"/>
      <c r="B2196" s="15"/>
      <c r="C2196" s="15"/>
      <c r="D2196" s="15"/>
      <c r="E2196" s="15"/>
      <c r="F2196" s="15"/>
      <c r="G2196" s="15"/>
      <c r="H2196" s="15"/>
      <c r="I2196" s="15"/>
      <c r="J2196" s="15"/>
      <c r="K2196" s="15"/>
      <c r="L2196" s="15"/>
      <c r="M2196" s="15"/>
      <c r="N2196" s="15"/>
      <c r="O2196" s="15"/>
      <c r="P2196" s="15"/>
    </row>
    <row r="2197" spans="1:16" x14ac:dyDescent="0.25">
      <c r="A2197" s="15"/>
      <c r="B2197" s="15"/>
      <c r="C2197" s="15"/>
      <c r="D2197" s="15"/>
      <c r="E2197" s="15"/>
      <c r="F2197" s="15"/>
      <c r="G2197" s="15"/>
      <c r="H2197" s="15"/>
      <c r="I2197" s="15"/>
      <c r="J2197" s="15"/>
      <c r="K2197" s="15"/>
      <c r="L2197" s="15"/>
      <c r="M2197" s="15"/>
      <c r="N2197" s="15"/>
      <c r="O2197" s="15"/>
      <c r="P2197" s="15"/>
    </row>
    <row r="2198" spans="1:16" x14ac:dyDescent="0.25">
      <c r="A2198" s="15"/>
      <c r="B2198" s="15"/>
      <c r="C2198" s="15"/>
      <c r="D2198" s="15"/>
      <c r="E2198" s="15"/>
      <c r="F2198" s="15"/>
      <c r="G2198" s="15"/>
      <c r="H2198" s="15"/>
      <c r="I2198" s="15"/>
      <c r="J2198" s="15"/>
      <c r="K2198" s="15"/>
      <c r="L2198" s="15"/>
      <c r="M2198" s="15"/>
      <c r="N2198" s="15"/>
      <c r="O2198" s="15"/>
      <c r="P2198" s="15"/>
    </row>
    <row r="2199" spans="1:16" x14ac:dyDescent="0.25">
      <c r="A2199" s="15"/>
      <c r="B2199" s="15"/>
      <c r="C2199" s="15"/>
      <c r="D2199" s="15"/>
      <c r="E2199" s="15"/>
      <c r="F2199" s="15"/>
      <c r="G2199" s="15"/>
      <c r="H2199" s="15"/>
      <c r="I2199" s="15"/>
      <c r="J2199" s="15"/>
      <c r="K2199" s="15"/>
      <c r="L2199" s="15"/>
      <c r="M2199" s="15"/>
      <c r="N2199" s="15"/>
      <c r="O2199" s="15"/>
      <c r="P2199" s="15"/>
    </row>
    <row r="2200" spans="1:16" x14ac:dyDescent="0.25">
      <c r="A2200" s="15"/>
      <c r="B2200" s="15"/>
      <c r="C2200" s="15"/>
      <c r="D2200" s="15"/>
      <c r="E2200" s="15"/>
      <c r="F2200" s="15"/>
      <c r="G2200" s="15"/>
      <c r="H2200" s="15"/>
      <c r="I2200" s="15"/>
      <c r="J2200" s="15"/>
      <c r="K2200" s="15"/>
      <c r="L2200" s="15"/>
      <c r="M2200" s="15"/>
      <c r="N2200" s="15"/>
      <c r="O2200" s="15"/>
      <c r="P2200" s="15"/>
    </row>
    <row r="2201" spans="1:16" x14ac:dyDescent="0.25">
      <c r="A2201" s="15"/>
      <c r="B2201" s="15"/>
      <c r="C2201" s="15"/>
      <c r="D2201" s="15"/>
      <c r="E2201" s="15"/>
      <c r="F2201" s="15"/>
      <c r="G2201" s="15"/>
      <c r="H2201" s="15"/>
      <c r="I2201" s="15"/>
      <c r="J2201" s="15"/>
      <c r="K2201" s="15"/>
      <c r="L2201" s="15"/>
      <c r="M2201" s="15"/>
      <c r="N2201" s="15"/>
      <c r="O2201" s="15"/>
      <c r="P2201" s="15"/>
    </row>
    <row r="2202" spans="1:16" x14ac:dyDescent="0.25">
      <c r="A2202" s="15"/>
      <c r="B2202" s="15"/>
      <c r="C2202" s="15"/>
      <c r="D2202" s="15"/>
      <c r="E2202" s="15"/>
      <c r="F2202" s="15"/>
      <c r="G2202" s="15"/>
      <c r="H2202" s="15"/>
      <c r="I2202" s="15"/>
      <c r="J2202" s="15"/>
      <c r="K2202" s="15"/>
      <c r="L2202" s="15"/>
      <c r="M2202" s="15"/>
      <c r="N2202" s="15"/>
      <c r="O2202" s="15"/>
      <c r="P2202" s="15"/>
    </row>
    <row r="2203" spans="1:16" x14ac:dyDescent="0.25">
      <c r="A2203" s="15"/>
      <c r="B2203" s="15"/>
      <c r="C2203" s="15"/>
      <c r="D2203" s="15"/>
      <c r="E2203" s="15"/>
      <c r="F2203" s="15"/>
      <c r="G2203" s="15"/>
      <c r="H2203" s="15"/>
      <c r="I2203" s="15"/>
      <c r="J2203" s="15"/>
      <c r="K2203" s="15"/>
      <c r="L2203" s="15"/>
      <c r="M2203" s="15"/>
      <c r="N2203" s="15"/>
      <c r="O2203" s="15"/>
      <c r="P2203" s="15"/>
    </row>
    <row r="2204" spans="1:16" x14ac:dyDescent="0.25">
      <c r="A2204" s="15"/>
      <c r="B2204" s="15"/>
      <c r="C2204" s="15"/>
      <c r="D2204" s="15"/>
      <c r="E2204" s="15"/>
      <c r="F2204" s="15"/>
      <c r="G2204" s="15"/>
      <c r="H2204" s="15"/>
      <c r="I2204" s="15"/>
      <c r="J2204" s="15"/>
      <c r="K2204" s="15"/>
      <c r="L2204" s="15"/>
      <c r="M2204" s="15"/>
      <c r="N2204" s="15"/>
      <c r="O2204" s="15"/>
      <c r="P2204" s="15"/>
    </row>
    <row r="2205" spans="1:16" x14ac:dyDescent="0.25">
      <c r="A2205" s="15"/>
      <c r="B2205" s="15"/>
      <c r="C2205" s="15"/>
      <c r="D2205" s="15"/>
      <c r="E2205" s="15"/>
      <c r="F2205" s="15"/>
      <c r="G2205" s="15"/>
      <c r="H2205" s="15"/>
      <c r="I2205" s="15"/>
      <c r="J2205" s="15"/>
      <c r="K2205" s="15"/>
      <c r="L2205" s="15"/>
      <c r="M2205" s="15"/>
      <c r="N2205" s="15"/>
      <c r="O2205" s="15"/>
      <c r="P2205" s="15"/>
    </row>
    <row r="2206" spans="1:16" x14ac:dyDescent="0.25">
      <c r="A2206" s="15"/>
      <c r="B2206" s="15"/>
      <c r="C2206" s="15"/>
      <c r="D2206" s="15"/>
      <c r="E2206" s="15"/>
      <c r="F2206" s="15"/>
      <c r="G2206" s="15"/>
      <c r="H2206" s="15"/>
      <c r="I2206" s="15"/>
      <c r="J2206" s="15"/>
      <c r="K2206" s="15"/>
      <c r="L2206" s="15"/>
      <c r="M2206" s="15"/>
      <c r="N2206" s="15"/>
      <c r="O2206" s="15"/>
      <c r="P2206" s="15"/>
    </row>
    <row r="2207" spans="1:16" x14ac:dyDescent="0.25">
      <c r="A2207" s="15"/>
      <c r="B2207" s="15"/>
      <c r="C2207" s="15"/>
      <c r="D2207" s="15"/>
      <c r="E2207" s="15"/>
      <c r="F2207" s="15"/>
      <c r="G2207" s="15"/>
      <c r="H2207" s="15"/>
      <c r="I2207" s="15"/>
      <c r="J2207" s="15"/>
      <c r="K2207" s="15"/>
      <c r="L2207" s="15"/>
      <c r="M2207" s="15"/>
      <c r="N2207" s="15"/>
      <c r="O2207" s="15"/>
      <c r="P2207" s="15"/>
    </row>
    <row r="2208" spans="1:16" x14ac:dyDescent="0.25">
      <c r="A2208" s="15"/>
      <c r="B2208" s="15"/>
      <c r="C2208" s="15"/>
      <c r="D2208" s="15"/>
      <c r="E2208" s="15"/>
      <c r="F2208" s="15"/>
      <c r="G2208" s="15"/>
      <c r="H2208" s="15"/>
      <c r="I2208" s="15"/>
      <c r="J2208" s="15"/>
      <c r="K2208" s="15"/>
      <c r="L2208" s="15"/>
      <c r="M2208" s="15"/>
      <c r="N2208" s="15"/>
      <c r="O2208" s="15"/>
      <c r="P2208" s="15"/>
    </row>
    <row r="2209" spans="1:16" x14ac:dyDescent="0.25">
      <c r="A2209" s="15"/>
      <c r="B2209" s="15"/>
      <c r="C2209" s="15"/>
      <c r="D2209" s="15"/>
      <c r="E2209" s="15"/>
      <c r="F2209" s="15"/>
      <c r="G2209" s="15"/>
      <c r="H2209" s="15"/>
      <c r="I2209" s="15"/>
      <c r="J2209" s="15"/>
      <c r="K2209" s="15"/>
      <c r="L2209" s="15"/>
      <c r="M2209" s="15"/>
      <c r="N2209" s="15"/>
      <c r="O2209" s="15"/>
      <c r="P2209" s="15"/>
    </row>
    <row r="2210" spans="1:16" x14ac:dyDescent="0.25">
      <c r="A2210" s="15"/>
      <c r="B2210" s="15"/>
      <c r="C2210" s="15"/>
      <c r="D2210" s="15"/>
      <c r="E2210" s="15"/>
      <c r="F2210" s="15"/>
      <c r="G2210" s="15"/>
      <c r="H2210" s="15"/>
      <c r="I2210" s="15"/>
      <c r="J2210" s="15"/>
      <c r="K2210" s="15"/>
      <c r="L2210" s="15"/>
      <c r="M2210" s="15"/>
      <c r="N2210" s="15"/>
      <c r="O2210" s="15"/>
      <c r="P2210" s="15"/>
    </row>
    <row r="2211" spans="1:16" x14ac:dyDescent="0.25">
      <c r="A2211" s="15"/>
      <c r="B2211" s="15"/>
      <c r="C2211" s="15"/>
      <c r="D2211" s="15"/>
      <c r="E2211" s="15"/>
      <c r="F2211" s="15"/>
      <c r="G2211" s="15"/>
      <c r="H2211" s="15"/>
      <c r="I2211" s="15"/>
      <c r="J2211" s="15"/>
      <c r="K2211" s="15"/>
      <c r="L2211" s="15"/>
      <c r="M2211" s="15"/>
      <c r="N2211" s="15"/>
      <c r="O2211" s="15"/>
      <c r="P2211" s="15"/>
    </row>
    <row r="2212" spans="1:16" x14ac:dyDescent="0.25">
      <c r="A2212" s="15"/>
      <c r="B2212" s="15"/>
      <c r="C2212" s="15"/>
      <c r="D2212" s="15"/>
      <c r="E2212" s="15"/>
      <c r="F2212" s="15"/>
      <c r="G2212" s="15"/>
      <c r="H2212" s="15"/>
      <c r="I2212" s="15"/>
      <c r="J2212" s="15"/>
      <c r="K2212" s="15"/>
      <c r="L2212" s="15"/>
      <c r="M2212" s="15"/>
      <c r="N2212" s="15"/>
      <c r="O2212" s="15"/>
      <c r="P2212" s="15"/>
    </row>
    <row r="2213" spans="1:16" x14ac:dyDescent="0.25">
      <c r="A2213" s="15"/>
      <c r="B2213" s="15"/>
      <c r="C2213" s="15"/>
      <c r="D2213" s="15"/>
      <c r="E2213" s="15"/>
      <c r="F2213" s="15"/>
      <c r="G2213" s="15"/>
      <c r="H2213" s="15"/>
      <c r="I2213" s="15"/>
      <c r="J2213" s="15"/>
      <c r="K2213" s="15"/>
      <c r="L2213" s="15"/>
      <c r="M2213" s="15"/>
      <c r="N2213" s="15"/>
      <c r="O2213" s="15"/>
      <c r="P2213" s="15"/>
    </row>
    <row r="2214" spans="1:16" x14ac:dyDescent="0.25">
      <c r="A2214" s="15"/>
      <c r="B2214" s="15"/>
      <c r="C2214" s="15"/>
      <c r="D2214" s="15"/>
      <c r="E2214" s="15"/>
      <c r="F2214" s="15"/>
      <c r="G2214" s="15"/>
      <c r="H2214" s="15"/>
      <c r="I2214" s="15"/>
      <c r="J2214" s="15"/>
      <c r="K2214" s="15"/>
      <c r="L2214" s="15"/>
      <c r="M2214" s="15"/>
      <c r="N2214" s="15"/>
      <c r="O2214" s="15"/>
      <c r="P2214" s="15"/>
    </row>
    <row r="2215" spans="1:16" x14ac:dyDescent="0.25">
      <c r="A2215" s="15"/>
      <c r="B2215" s="15"/>
      <c r="C2215" s="15"/>
      <c r="D2215" s="15"/>
      <c r="E2215" s="15"/>
      <c r="F2215" s="15"/>
      <c r="G2215" s="15"/>
      <c r="H2215" s="15"/>
      <c r="I2215" s="15"/>
      <c r="J2215" s="15"/>
      <c r="K2215" s="15"/>
      <c r="L2215" s="15"/>
      <c r="M2215" s="15"/>
      <c r="N2215" s="15"/>
      <c r="O2215" s="15"/>
      <c r="P2215" s="15"/>
    </row>
    <row r="2216" spans="1:16" x14ac:dyDescent="0.25">
      <c r="A2216" s="15"/>
      <c r="B2216" s="15"/>
      <c r="C2216" s="15"/>
      <c r="D2216" s="15"/>
      <c r="E2216" s="15"/>
      <c r="F2216" s="15"/>
      <c r="G2216" s="15"/>
      <c r="H2216" s="15"/>
      <c r="I2216" s="15"/>
      <c r="J2216" s="15"/>
      <c r="K2216" s="15"/>
      <c r="L2216" s="15"/>
      <c r="M2216" s="15"/>
      <c r="N2216" s="15"/>
      <c r="O2216" s="15"/>
      <c r="P2216" s="15"/>
    </row>
    <row r="2217" spans="1:16" x14ac:dyDescent="0.25">
      <c r="A2217" s="15"/>
      <c r="B2217" s="15"/>
      <c r="C2217" s="15"/>
      <c r="D2217" s="15"/>
      <c r="E2217" s="15"/>
      <c r="F2217" s="15"/>
      <c r="G2217" s="15"/>
      <c r="H2217" s="15"/>
      <c r="I2217" s="15"/>
      <c r="J2217" s="15"/>
      <c r="K2217" s="15"/>
      <c r="L2217" s="15"/>
      <c r="M2217" s="15"/>
      <c r="N2217" s="15"/>
      <c r="O2217" s="15"/>
      <c r="P2217" s="15"/>
    </row>
    <row r="2218" spans="1:16" x14ac:dyDescent="0.25">
      <c r="A2218" s="15"/>
      <c r="B2218" s="15"/>
      <c r="C2218" s="15"/>
      <c r="D2218" s="15"/>
      <c r="E2218" s="15"/>
      <c r="F2218" s="15"/>
      <c r="G2218" s="15"/>
      <c r="H2218" s="15"/>
      <c r="I2218" s="15"/>
      <c r="J2218" s="15"/>
      <c r="K2218" s="15"/>
      <c r="L2218" s="15"/>
      <c r="M2218" s="15"/>
      <c r="N2218" s="15"/>
      <c r="O2218" s="15"/>
      <c r="P2218" s="15"/>
    </row>
    <row r="2219" spans="1:16" x14ac:dyDescent="0.25">
      <c r="A2219" s="15"/>
      <c r="B2219" s="15"/>
      <c r="C2219" s="15"/>
      <c r="D2219" s="15"/>
      <c r="E2219" s="15"/>
      <c r="F2219" s="15"/>
      <c r="G2219" s="15"/>
      <c r="H2219" s="15"/>
      <c r="I2219" s="15"/>
      <c r="J2219" s="15"/>
      <c r="K2219" s="15"/>
      <c r="L2219" s="15"/>
      <c r="M2219" s="15"/>
      <c r="N2219" s="15"/>
      <c r="O2219" s="15"/>
      <c r="P2219" s="15"/>
    </row>
    <row r="2220" spans="1:16" x14ac:dyDescent="0.25">
      <c r="A2220" s="15"/>
      <c r="B2220" s="15"/>
      <c r="C2220" s="15"/>
      <c r="D2220" s="15"/>
      <c r="E2220" s="15"/>
      <c r="F2220" s="15"/>
      <c r="G2220" s="15"/>
      <c r="H2220" s="15"/>
      <c r="I2220" s="15"/>
      <c r="J2220" s="15"/>
      <c r="K2220" s="15"/>
      <c r="L2220" s="15"/>
      <c r="M2220" s="15"/>
      <c r="N2220" s="15"/>
      <c r="O2220" s="15"/>
      <c r="P2220" s="15"/>
    </row>
    <row r="2221" spans="1:16" x14ac:dyDescent="0.25">
      <c r="A2221" s="15"/>
      <c r="B2221" s="15"/>
      <c r="C2221" s="15"/>
      <c r="D2221" s="15"/>
      <c r="E2221" s="15"/>
      <c r="F2221" s="15"/>
      <c r="G2221" s="15"/>
      <c r="H2221" s="15"/>
      <c r="I2221" s="15"/>
      <c r="J2221" s="15"/>
      <c r="K2221" s="15"/>
      <c r="L2221" s="15"/>
      <c r="M2221" s="15"/>
      <c r="N2221" s="15"/>
      <c r="O2221" s="15"/>
      <c r="P2221" s="15"/>
    </row>
    <row r="2222" spans="1:16" x14ac:dyDescent="0.25">
      <c r="A2222" s="15"/>
      <c r="B2222" s="15"/>
      <c r="C2222" s="15"/>
      <c r="D2222" s="15"/>
      <c r="E2222" s="15"/>
      <c r="F2222" s="15"/>
      <c r="G2222" s="15"/>
      <c r="H2222" s="15"/>
      <c r="I2222" s="15"/>
      <c r="J2222" s="15"/>
      <c r="K2222" s="15"/>
      <c r="L2222" s="15"/>
      <c r="M2222" s="15"/>
      <c r="N2222" s="15"/>
      <c r="O2222" s="15"/>
      <c r="P2222" s="15"/>
    </row>
    <row r="2223" spans="1:16" x14ac:dyDescent="0.25">
      <c r="A2223" s="15"/>
      <c r="B2223" s="15"/>
      <c r="C2223" s="15"/>
      <c r="D2223" s="15"/>
      <c r="E2223" s="15"/>
      <c r="F2223" s="15"/>
      <c r="G2223" s="15"/>
      <c r="H2223" s="15"/>
      <c r="I2223" s="15"/>
      <c r="J2223" s="15"/>
      <c r="K2223" s="15"/>
      <c r="L2223" s="15"/>
      <c r="M2223" s="15"/>
      <c r="N2223" s="15"/>
      <c r="O2223" s="15"/>
      <c r="P2223" s="15"/>
    </row>
    <row r="2224" spans="1:16" x14ac:dyDescent="0.25">
      <c r="A2224" s="15"/>
      <c r="B2224" s="15"/>
      <c r="C2224" s="15"/>
      <c r="D2224" s="15"/>
      <c r="E2224" s="15"/>
      <c r="F2224" s="15"/>
      <c r="G2224" s="15"/>
      <c r="H2224" s="15"/>
      <c r="I2224" s="15"/>
      <c r="J2224" s="15"/>
      <c r="K2224" s="15"/>
      <c r="L2224" s="15"/>
      <c r="M2224" s="15"/>
      <c r="N2224" s="15"/>
      <c r="O2224" s="15"/>
      <c r="P2224" s="15"/>
    </row>
    <row r="2225" spans="1:16" x14ac:dyDescent="0.25">
      <c r="A2225" s="15"/>
      <c r="B2225" s="15"/>
      <c r="C2225" s="15"/>
      <c r="D2225" s="15"/>
      <c r="E2225" s="15"/>
      <c r="F2225" s="15"/>
      <c r="G2225" s="15"/>
      <c r="H2225" s="15"/>
      <c r="I2225" s="15"/>
      <c r="J2225" s="15"/>
      <c r="K2225" s="15"/>
      <c r="L2225" s="15"/>
      <c r="M2225" s="15"/>
      <c r="N2225" s="15"/>
      <c r="O2225" s="15"/>
      <c r="P2225" s="15"/>
    </row>
    <row r="2226" spans="1:16" x14ac:dyDescent="0.25">
      <c r="A2226" s="15"/>
      <c r="B2226" s="15"/>
      <c r="C2226" s="15"/>
      <c r="D2226" s="15"/>
      <c r="E2226" s="15"/>
      <c r="F2226" s="15"/>
      <c r="G2226" s="15"/>
      <c r="H2226" s="15"/>
      <c r="I2226" s="15"/>
      <c r="J2226" s="15"/>
      <c r="K2226" s="15"/>
      <c r="L2226" s="15"/>
      <c r="M2226" s="15"/>
      <c r="N2226" s="15"/>
      <c r="O2226" s="15"/>
      <c r="P2226" s="15"/>
    </row>
    <row r="2227" spans="1:16" x14ac:dyDescent="0.25">
      <c r="A2227" s="15"/>
      <c r="B2227" s="15"/>
      <c r="C2227" s="15"/>
      <c r="D2227" s="15"/>
      <c r="E2227" s="15"/>
      <c r="F2227" s="15"/>
      <c r="G2227" s="15"/>
      <c r="H2227" s="15"/>
      <c r="I2227" s="15"/>
      <c r="J2227" s="15"/>
      <c r="K2227" s="15"/>
      <c r="L2227" s="15"/>
      <c r="M2227" s="15"/>
      <c r="N2227" s="15"/>
      <c r="O2227" s="15"/>
      <c r="P2227" s="15"/>
    </row>
    <row r="2228" spans="1:16" x14ac:dyDescent="0.25">
      <c r="A2228" s="15"/>
      <c r="B2228" s="15"/>
      <c r="C2228" s="15"/>
      <c r="D2228" s="15"/>
      <c r="E2228" s="15"/>
      <c r="F2228" s="15"/>
      <c r="G2228" s="15"/>
      <c r="H2228" s="15"/>
      <c r="I2228" s="15"/>
      <c r="J2228" s="15"/>
      <c r="K2228" s="15"/>
      <c r="L2228" s="15"/>
      <c r="M2228" s="15"/>
      <c r="N2228" s="15"/>
      <c r="O2228" s="15"/>
      <c r="P2228" s="15"/>
    </row>
    <row r="2229" spans="1:16" x14ac:dyDescent="0.25">
      <c r="A2229" s="15"/>
      <c r="B2229" s="15"/>
      <c r="C2229" s="15"/>
      <c r="D2229" s="15"/>
      <c r="E2229" s="15"/>
      <c r="F2229" s="15"/>
      <c r="G2229" s="15"/>
      <c r="H2229" s="15"/>
      <c r="I2229" s="15"/>
      <c r="J2229" s="15"/>
      <c r="K2229" s="15"/>
      <c r="L2229" s="15"/>
      <c r="M2229" s="15"/>
      <c r="N2229" s="15"/>
      <c r="O2229" s="15"/>
      <c r="P2229" s="15"/>
    </row>
    <row r="2230" spans="1:16" x14ac:dyDescent="0.25">
      <c r="A2230" s="15"/>
      <c r="B2230" s="15"/>
      <c r="C2230" s="15"/>
      <c r="D2230" s="15"/>
      <c r="E2230" s="15"/>
      <c r="F2230" s="15"/>
      <c r="G2230" s="15"/>
      <c r="H2230" s="15"/>
      <c r="I2230" s="15"/>
      <c r="J2230" s="15"/>
      <c r="K2230" s="15"/>
      <c r="L2230" s="15"/>
      <c r="M2230" s="15"/>
      <c r="N2230" s="15"/>
      <c r="O2230" s="15"/>
      <c r="P2230" s="15"/>
    </row>
    <row r="2231" spans="1:16" x14ac:dyDescent="0.25">
      <c r="A2231" s="15"/>
      <c r="B2231" s="15"/>
      <c r="C2231" s="15"/>
      <c r="D2231" s="15"/>
      <c r="E2231" s="15"/>
      <c r="F2231" s="15"/>
      <c r="G2231" s="15"/>
      <c r="H2231" s="15"/>
      <c r="I2231" s="15"/>
      <c r="J2231" s="15"/>
      <c r="K2231" s="15"/>
      <c r="L2231" s="15"/>
      <c r="M2231" s="15"/>
      <c r="N2231" s="15"/>
      <c r="O2231" s="15"/>
      <c r="P2231" s="15"/>
    </row>
    <row r="2232" spans="1:16" x14ac:dyDescent="0.25">
      <c r="A2232" s="15"/>
      <c r="B2232" s="15"/>
      <c r="C2232" s="15"/>
      <c r="D2232" s="15"/>
      <c r="E2232" s="15"/>
      <c r="F2232" s="15"/>
      <c r="G2232" s="15"/>
      <c r="H2232" s="15"/>
      <c r="I2232" s="15"/>
      <c r="J2232" s="15"/>
      <c r="K2232" s="15"/>
      <c r="L2232" s="15"/>
      <c r="M2232" s="15"/>
      <c r="N2232" s="15"/>
      <c r="O2232" s="15"/>
      <c r="P2232" s="15"/>
    </row>
    <row r="2233" spans="1:16" x14ac:dyDescent="0.25">
      <c r="A2233" s="15"/>
      <c r="B2233" s="15"/>
      <c r="C2233" s="15"/>
      <c r="D2233" s="15"/>
      <c r="E2233" s="15"/>
      <c r="F2233" s="15"/>
      <c r="G2233" s="15"/>
      <c r="H2233" s="15"/>
      <c r="I2233" s="15"/>
      <c r="J2233" s="15"/>
      <c r="K2233" s="15"/>
      <c r="L2233" s="15"/>
      <c r="M2233" s="15"/>
      <c r="N2233" s="15"/>
      <c r="O2233" s="15"/>
      <c r="P2233" s="15"/>
    </row>
    <row r="2234" spans="1:16" x14ac:dyDescent="0.25">
      <c r="A2234" s="15"/>
      <c r="B2234" s="15"/>
      <c r="C2234" s="15"/>
      <c r="D2234" s="15"/>
      <c r="E2234" s="15"/>
      <c r="F2234" s="15"/>
      <c r="G2234" s="15"/>
      <c r="H2234" s="15"/>
      <c r="I2234" s="15"/>
      <c r="J2234" s="15"/>
      <c r="K2234" s="15"/>
      <c r="L2234" s="15"/>
      <c r="M2234" s="15"/>
      <c r="N2234" s="15"/>
      <c r="O2234" s="15"/>
      <c r="P2234" s="15"/>
    </row>
    <row r="2235" spans="1:16" x14ac:dyDescent="0.25">
      <c r="A2235" s="15"/>
      <c r="B2235" s="15"/>
      <c r="C2235" s="15"/>
      <c r="D2235" s="15"/>
      <c r="E2235" s="15"/>
      <c r="F2235" s="15"/>
      <c r="G2235" s="15"/>
      <c r="H2235" s="15"/>
      <c r="I2235" s="15"/>
      <c r="J2235" s="15"/>
      <c r="K2235" s="15"/>
      <c r="L2235" s="15"/>
      <c r="M2235" s="15"/>
      <c r="N2235" s="15"/>
      <c r="O2235" s="15"/>
      <c r="P2235" s="15"/>
    </row>
    <row r="2236" spans="1:16" x14ac:dyDescent="0.25">
      <c r="A2236" s="15"/>
      <c r="B2236" s="15"/>
      <c r="C2236" s="15"/>
      <c r="D2236" s="15"/>
      <c r="E2236" s="15"/>
      <c r="F2236" s="15"/>
      <c r="G2236" s="15"/>
      <c r="H2236" s="15"/>
      <c r="I2236" s="15"/>
      <c r="J2236" s="15"/>
      <c r="K2236" s="15"/>
      <c r="L2236" s="15"/>
      <c r="M2236" s="15"/>
      <c r="N2236" s="15"/>
      <c r="O2236" s="15"/>
      <c r="P2236" s="15"/>
    </row>
    <row r="2237" spans="1:16" x14ac:dyDescent="0.25">
      <c r="A2237" s="15"/>
      <c r="B2237" s="15"/>
      <c r="C2237" s="15"/>
      <c r="D2237" s="15"/>
      <c r="E2237" s="15"/>
      <c r="F2237" s="15"/>
      <c r="G2237" s="15"/>
      <c r="H2237" s="15"/>
      <c r="I2237" s="15"/>
      <c r="J2237" s="15"/>
      <c r="K2237" s="15"/>
      <c r="L2237" s="15"/>
      <c r="M2237" s="15"/>
      <c r="N2237" s="15"/>
      <c r="O2237" s="15"/>
      <c r="P2237" s="15"/>
    </row>
    <row r="2238" spans="1:16" x14ac:dyDescent="0.25">
      <c r="A2238" s="15"/>
      <c r="B2238" s="15"/>
      <c r="C2238" s="15"/>
      <c r="D2238" s="15"/>
      <c r="E2238" s="15"/>
      <c r="F2238" s="15"/>
      <c r="G2238" s="15"/>
      <c r="H2238" s="15"/>
      <c r="I2238" s="15"/>
      <c r="J2238" s="15"/>
      <c r="K2238" s="15"/>
      <c r="L2238" s="15"/>
      <c r="M2238" s="15"/>
      <c r="N2238" s="15"/>
      <c r="O2238" s="15"/>
      <c r="P2238" s="15"/>
    </row>
    <row r="2239" spans="1:16" x14ac:dyDescent="0.25">
      <c r="A2239" s="15"/>
      <c r="B2239" s="15"/>
      <c r="C2239" s="15"/>
      <c r="D2239" s="15"/>
      <c r="E2239" s="15"/>
      <c r="F2239" s="15"/>
      <c r="G2239" s="15"/>
      <c r="H2239" s="15"/>
      <c r="I2239" s="15"/>
      <c r="J2239" s="15"/>
      <c r="K2239" s="15"/>
      <c r="L2239" s="15"/>
      <c r="M2239" s="15"/>
      <c r="N2239" s="15"/>
      <c r="O2239" s="15"/>
      <c r="P2239" s="15"/>
    </row>
    <row r="2240" spans="1:16" x14ac:dyDescent="0.25">
      <c r="A2240" s="15"/>
      <c r="B2240" s="15"/>
      <c r="C2240" s="15"/>
      <c r="D2240" s="15"/>
      <c r="E2240" s="15"/>
      <c r="F2240" s="15"/>
      <c r="G2240" s="15"/>
      <c r="H2240" s="15"/>
      <c r="I2240" s="15"/>
      <c r="J2240" s="15"/>
      <c r="K2240" s="15"/>
      <c r="L2240" s="15"/>
      <c r="M2240" s="15"/>
      <c r="N2240" s="15"/>
      <c r="O2240" s="15"/>
      <c r="P2240" s="15"/>
    </row>
    <row r="2241" spans="1:16" x14ac:dyDescent="0.25">
      <c r="A2241" s="15"/>
      <c r="B2241" s="15"/>
      <c r="C2241" s="15"/>
      <c r="D2241" s="15"/>
      <c r="E2241" s="15"/>
      <c r="F2241" s="15"/>
      <c r="G2241" s="15"/>
      <c r="H2241" s="15"/>
      <c r="I2241" s="15"/>
      <c r="J2241" s="15"/>
      <c r="K2241" s="15"/>
      <c r="L2241" s="15"/>
      <c r="M2241" s="15"/>
      <c r="N2241" s="15"/>
      <c r="O2241" s="15"/>
      <c r="P2241" s="15"/>
    </row>
    <row r="2242" spans="1:16" x14ac:dyDescent="0.25">
      <c r="A2242" s="15"/>
      <c r="B2242" s="15"/>
      <c r="C2242" s="15"/>
      <c r="D2242" s="15"/>
      <c r="E2242" s="15"/>
      <c r="F2242" s="15"/>
      <c r="G2242" s="15"/>
      <c r="H2242" s="15"/>
      <c r="I2242" s="15"/>
      <c r="J2242" s="15"/>
      <c r="K2242" s="15"/>
      <c r="L2242" s="15"/>
      <c r="M2242" s="15"/>
      <c r="N2242" s="15"/>
      <c r="O2242" s="15"/>
      <c r="P2242" s="15"/>
    </row>
    <row r="2243" spans="1:16" x14ac:dyDescent="0.25">
      <c r="A2243" s="15"/>
      <c r="B2243" s="15"/>
      <c r="C2243" s="15"/>
      <c r="D2243" s="15"/>
      <c r="E2243" s="15"/>
      <c r="F2243" s="15"/>
      <c r="G2243" s="15"/>
      <c r="H2243" s="15"/>
      <c r="I2243" s="15"/>
      <c r="J2243" s="15"/>
      <c r="K2243" s="15"/>
      <c r="L2243" s="15"/>
      <c r="M2243" s="15"/>
      <c r="N2243" s="15"/>
      <c r="O2243" s="15"/>
      <c r="P2243" s="15"/>
    </row>
    <row r="2244" spans="1:16" x14ac:dyDescent="0.25">
      <c r="A2244" s="15"/>
      <c r="B2244" s="15"/>
      <c r="C2244" s="15"/>
      <c r="D2244" s="15"/>
      <c r="E2244" s="15"/>
      <c r="F2244" s="15"/>
      <c r="G2244" s="15"/>
      <c r="H2244" s="15"/>
      <c r="I2244" s="15"/>
      <c r="J2244" s="15"/>
      <c r="K2244" s="15"/>
      <c r="L2244" s="15"/>
      <c r="M2244" s="15"/>
      <c r="N2244" s="15"/>
      <c r="O2244" s="15"/>
      <c r="P2244" s="15"/>
    </row>
    <row r="2245" spans="1:16" x14ac:dyDescent="0.25">
      <c r="A2245" s="15"/>
      <c r="B2245" s="15"/>
      <c r="C2245" s="15"/>
      <c r="D2245" s="15"/>
      <c r="E2245" s="15"/>
      <c r="F2245" s="15"/>
      <c r="G2245" s="15"/>
      <c r="H2245" s="15"/>
      <c r="I2245" s="15"/>
      <c r="J2245" s="15"/>
      <c r="K2245" s="15"/>
      <c r="L2245" s="15"/>
      <c r="M2245" s="15"/>
      <c r="N2245" s="15"/>
      <c r="O2245" s="15"/>
      <c r="P2245" s="15"/>
    </row>
    <row r="2246" spans="1:16" x14ac:dyDescent="0.25">
      <c r="A2246" s="15"/>
      <c r="B2246" s="15"/>
      <c r="C2246" s="15"/>
      <c r="D2246" s="15"/>
      <c r="E2246" s="15"/>
      <c r="F2246" s="15"/>
      <c r="G2246" s="15"/>
      <c r="H2246" s="15"/>
      <c r="I2246" s="15"/>
      <c r="J2246" s="15"/>
      <c r="K2246" s="15"/>
      <c r="L2246" s="15"/>
      <c r="M2246" s="15"/>
      <c r="N2246" s="15"/>
      <c r="O2246" s="15"/>
      <c r="P2246" s="15"/>
    </row>
    <row r="2247" spans="1:16" x14ac:dyDescent="0.25">
      <c r="A2247" s="15"/>
      <c r="B2247" s="15"/>
      <c r="C2247" s="15"/>
      <c r="D2247" s="15"/>
      <c r="E2247" s="15"/>
      <c r="F2247" s="15"/>
      <c r="G2247" s="15"/>
      <c r="H2247" s="15"/>
      <c r="I2247" s="15"/>
      <c r="J2247" s="15"/>
      <c r="K2247" s="15"/>
      <c r="L2247" s="15"/>
      <c r="M2247" s="15"/>
      <c r="N2247" s="15"/>
      <c r="O2247" s="15"/>
      <c r="P2247" s="15"/>
    </row>
    <row r="2248" spans="1:16" x14ac:dyDescent="0.25">
      <c r="A2248" s="15"/>
      <c r="B2248" s="15"/>
      <c r="C2248" s="15"/>
      <c r="D2248" s="15"/>
      <c r="E2248" s="15"/>
      <c r="F2248" s="15"/>
      <c r="G2248" s="15"/>
      <c r="H2248" s="15"/>
      <c r="I2248" s="15"/>
      <c r="J2248" s="15"/>
      <c r="K2248" s="15"/>
      <c r="L2248" s="15"/>
      <c r="M2248" s="15"/>
      <c r="N2248" s="15"/>
      <c r="O2248" s="15"/>
      <c r="P2248" s="15"/>
    </row>
    <row r="2249" spans="1:16" x14ac:dyDescent="0.25">
      <c r="A2249" s="15"/>
      <c r="B2249" s="15"/>
      <c r="C2249" s="15"/>
      <c r="D2249" s="15"/>
      <c r="E2249" s="15"/>
      <c r="F2249" s="15"/>
      <c r="G2249" s="15"/>
      <c r="H2249" s="15"/>
      <c r="I2249" s="15"/>
      <c r="J2249" s="15"/>
      <c r="K2249" s="15"/>
      <c r="L2249" s="15"/>
      <c r="M2249" s="15"/>
      <c r="N2249" s="15"/>
      <c r="O2249" s="15"/>
      <c r="P2249" s="15"/>
    </row>
    <row r="2250" spans="1:16" x14ac:dyDescent="0.25">
      <c r="A2250" s="15"/>
      <c r="B2250" s="15"/>
      <c r="C2250" s="15"/>
      <c r="D2250" s="15"/>
      <c r="E2250" s="15"/>
      <c r="F2250" s="15"/>
      <c r="G2250" s="15"/>
      <c r="H2250" s="15"/>
      <c r="I2250" s="15"/>
      <c r="J2250" s="15"/>
      <c r="K2250" s="15"/>
      <c r="L2250" s="15"/>
      <c r="M2250" s="15"/>
      <c r="N2250" s="15"/>
      <c r="O2250" s="15"/>
      <c r="P2250" s="15"/>
    </row>
    <row r="2251" spans="1:16" x14ac:dyDescent="0.25">
      <c r="A2251" s="15"/>
      <c r="B2251" s="15"/>
      <c r="C2251" s="15"/>
      <c r="D2251" s="15"/>
      <c r="E2251" s="15"/>
      <c r="F2251" s="15"/>
      <c r="G2251" s="15"/>
      <c r="H2251" s="15"/>
      <c r="I2251" s="15"/>
      <c r="J2251" s="15"/>
      <c r="K2251" s="15"/>
      <c r="L2251" s="15"/>
      <c r="M2251" s="15"/>
      <c r="N2251" s="15"/>
      <c r="O2251" s="15"/>
      <c r="P2251" s="15"/>
    </row>
    <row r="2252" spans="1:16" x14ac:dyDescent="0.25">
      <c r="A2252" s="15"/>
      <c r="B2252" s="15"/>
      <c r="C2252" s="15"/>
      <c r="D2252" s="15"/>
      <c r="E2252" s="15"/>
      <c r="F2252" s="15"/>
      <c r="G2252" s="15"/>
      <c r="H2252" s="15"/>
      <c r="I2252" s="15"/>
      <c r="J2252" s="15"/>
      <c r="K2252" s="15"/>
      <c r="L2252" s="15"/>
      <c r="M2252" s="15"/>
      <c r="N2252" s="15"/>
      <c r="O2252" s="15"/>
      <c r="P2252" s="15"/>
    </row>
    <row r="2253" spans="1:16" x14ac:dyDescent="0.25">
      <c r="A2253" s="15"/>
      <c r="B2253" s="15"/>
      <c r="C2253" s="15"/>
      <c r="D2253" s="15"/>
      <c r="E2253" s="15"/>
      <c r="F2253" s="15"/>
      <c r="G2253" s="15"/>
      <c r="H2253" s="15"/>
      <c r="I2253" s="15"/>
      <c r="J2253" s="15"/>
      <c r="K2253" s="15"/>
      <c r="L2253" s="15"/>
      <c r="M2253" s="15"/>
      <c r="N2253" s="15"/>
      <c r="O2253" s="15"/>
      <c r="P2253" s="15"/>
    </row>
    <row r="2254" spans="1:16" x14ac:dyDescent="0.25">
      <c r="A2254" s="15"/>
      <c r="B2254" s="15"/>
      <c r="C2254" s="15"/>
      <c r="D2254" s="15"/>
      <c r="E2254" s="15"/>
      <c r="F2254" s="15"/>
      <c r="G2254" s="15"/>
      <c r="H2254" s="15"/>
      <c r="I2254" s="15"/>
      <c r="J2254" s="15"/>
      <c r="K2254" s="15"/>
      <c r="L2254" s="15"/>
      <c r="M2254" s="15"/>
      <c r="N2254" s="15"/>
      <c r="O2254" s="15"/>
      <c r="P2254" s="15"/>
    </row>
    <row r="2255" spans="1:16" x14ac:dyDescent="0.25">
      <c r="A2255" s="15"/>
      <c r="B2255" s="15"/>
      <c r="C2255" s="15"/>
      <c r="D2255" s="15"/>
      <c r="E2255" s="15"/>
      <c r="F2255" s="15"/>
      <c r="G2255" s="15"/>
      <c r="H2255" s="15"/>
      <c r="I2255" s="15"/>
      <c r="J2255" s="15"/>
      <c r="K2255" s="15"/>
      <c r="L2255" s="15"/>
      <c r="M2255" s="15"/>
      <c r="N2255" s="15"/>
      <c r="O2255" s="15"/>
      <c r="P2255" s="15"/>
    </row>
    <row r="2256" spans="1:16" x14ac:dyDescent="0.25">
      <c r="A2256" s="15"/>
      <c r="B2256" s="15"/>
      <c r="C2256" s="15"/>
      <c r="D2256" s="15"/>
      <c r="E2256" s="15"/>
      <c r="F2256" s="15"/>
      <c r="G2256" s="15"/>
      <c r="H2256" s="15"/>
      <c r="I2256" s="15"/>
      <c r="J2256" s="15"/>
      <c r="K2256" s="15"/>
      <c r="L2256" s="15"/>
      <c r="M2256" s="15"/>
      <c r="N2256" s="15"/>
      <c r="O2256" s="15"/>
      <c r="P2256" s="15"/>
    </row>
    <row r="2257" spans="1:16" x14ac:dyDescent="0.25">
      <c r="A2257" s="15"/>
      <c r="B2257" s="15"/>
      <c r="C2257" s="15"/>
      <c r="D2257" s="15"/>
      <c r="E2257" s="15"/>
      <c r="F2257" s="15"/>
      <c r="G2257" s="15"/>
      <c r="H2257" s="15"/>
      <c r="I2257" s="15"/>
      <c r="J2257" s="15"/>
      <c r="K2257" s="15"/>
      <c r="L2257" s="15"/>
      <c r="M2257" s="15"/>
      <c r="N2257" s="15"/>
      <c r="O2257" s="15"/>
      <c r="P2257" s="15"/>
    </row>
    <row r="2258" spans="1:16" x14ac:dyDescent="0.25">
      <c r="A2258" s="15"/>
      <c r="B2258" s="15"/>
      <c r="C2258" s="15"/>
      <c r="D2258" s="15"/>
      <c r="E2258" s="15"/>
      <c r="F2258" s="15"/>
      <c r="G2258" s="15"/>
      <c r="H2258" s="15"/>
      <c r="I2258" s="15"/>
      <c r="J2258" s="15"/>
      <c r="K2258" s="15"/>
      <c r="L2258" s="15"/>
      <c r="M2258" s="15"/>
      <c r="N2258" s="15"/>
      <c r="O2258" s="15"/>
      <c r="P2258" s="15"/>
    </row>
    <row r="2259" spans="1:16" x14ac:dyDescent="0.25">
      <c r="A2259" s="15"/>
      <c r="B2259" s="15"/>
      <c r="C2259" s="15"/>
      <c r="D2259" s="15"/>
      <c r="E2259" s="15"/>
      <c r="F2259" s="15"/>
      <c r="G2259" s="15"/>
      <c r="H2259" s="15"/>
      <c r="I2259" s="15"/>
      <c r="J2259" s="15"/>
      <c r="K2259" s="15"/>
      <c r="L2259" s="15"/>
      <c r="M2259" s="15"/>
      <c r="N2259" s="15"/>
      <c r="O2259" s="15"/>
      <c r="P2259" s="15"/>
    </row>
    <row r="2260" spans="1:16" x14ac:dyDescent="0.25">
      <c r="A2260" s="15"/>
      <c r="B2260" s="15"/>
      <c r="C2260" s="15"/>
      <c r="D2260" s="15"/>
      <c r="E2260" s="15"/>
      <c r="F2260" s="15"/>
      <c r="G2260" s="15"/>
      <c r="H2260" s="15"/>
      <c r="I2260" s="15"/>
      <c r="J2260" s="15"/>
      <c r="K2260" s="15"/>
      <c r="L2260" s="15"/>
      <c r="M2260" s="15"/>
      <c r="N2260" s="15"/>
      <c r="O2260" s="15"/>
      <c r="P2260" s="15"/>
    </row>
    <row r="2261" spans="1:16" x14ac:dyDescent="0.25">
      <c r="A2261" s="15"/>
      <c r="B2261" s="15"/>
      <c r="C2261" s="15"/>
      <c r="D2261" s="15"/>
      <c r="E2261" s="15"/>
      <c r="F2261" s="15"/>
      <c r="G2261" s="15"/>
      <c r="H2261" s="15"/>
      <c r="I2261" s="15"/>
      <c r="J2261" s="15"/>
      <c r="K2261" s="15"/>
      <c r="L2261" s="15"/>
      <c r="M2261" s="15"/>
      <c r="N2261" s="15"/>
      <c r="O2261" s="15"/>
      <c r="P2261" s="15"/>
    </row>
    <row r="2262" spans="1:16" x14ac:dyDescent="0.25">
      <c r="A2262" s="15"/>
      <c r="B2262" s="15"/>
      <c r="C2262" s="15"/>
      <c r="D2262" s="15"/>
      <c r="E2262" s="15"/>
      <c r="F2262" s="15"/>
      <c r="G2262" s="15"/>
      <c r="H2262" s="15"/>
      <c r="I2262" s="15"/>
      <c r="J2262" s="15"/>
      <c r="K2262" s="15"/>
      <c r="L2262" s="15"/>
      <c r="M2262" s="15"/>
      <c r="N2262" s="15"/>
      <c r="O2262" s="15"/>
      <c r="P2262" s="15"/>
    </row>
    <row r="2263" spans="1:16" x14ac:dyDescent="0.25">
      <c r="A2263" s="15"/>
      <c r="B2263" s="15"/>
      <c r="C2263" s="15"/>
      <c r="D2263" s="15"/>
      <c r="E2263" s="15"/>
      <c r="F2263" s="15"/>
      <c r="G2263" s="15"/>
      <c r="H2263" s="15"/>
      <c r="I2263" s="15"/>
      <c r="J2263" s="15"/>
      <c r="K2263" s="15"/>
      <c r="L2263" s="15"/>
      <c r="M2263" s="15"/>
      <c r="N2263" s="15"/>
      <c r="O2263" s="15"/>
      <c r="P2263" s="15"/>
    </row>
    <row r="2264" spans="1:16" x14ac:dyDescent="0.25">
      <c r="A2264" s="15"/>
      <c r="B2264" s="15"/>
      <c r="C2264" s="15"/>
      <c r="D2264" s="15"/>
      <c r="E2264" s="15"/>
      <c r="F2264" s="15"/>
      <c r="G2264" s="15"/>
      <c r="H2264" s="15"/>
      <c r="I2264" s="15"/>
      <c r="J2264" s="15"/>
      <c r="K2264" s="15"/>
      <c r="L2264" s="15"/>
      <c r="M2264" s="15"/>
      <c r="N2264" s="15"/>
      <c r="O2264" s="15"/>
      <c r="P2264" s="15"/>
    </row>
    <row r="2265" spans="1:16" x14ac:dyDescent="0.25">
      <c r="A2265" s="15"/>
      <c r="B2265" s="15"/>
      <c r="C2265" s="15"/>
      <c r="D2265" s="15"/>
      <c r="E2265" s="15"/>
      <c r="F2265" s="15"/>
      <c r="G2265" s="15"/>
      <c r="H2265" s="15"/>
      <c r="I2265" s="15"/>
      <c r="J2265" s="15"/>
      <c r="K2265" s="15"/>
      <c r="L2265" s="15"/>
      <c r="M2265" s="15"/>
      <c r="N2265" s="15"/>
      <c r="O2265" s="15"/>
      <c r="P2265" s="15"/>
    </row>
    <row r="2266" spans="1:16" x14ac:dyDescent="0.25">
      <c r="A2266" s="15"/>
      <c r="B2266" s="15"/>
      <c r="C2266" s="15"/>
      <c r="D2266" s="15"/>
      <c r="E2266" s="15"/>
      <c r="F2266" s="15"/>
      <c r="G2266" s="15"/>
      <c r="H2266" s="15"/>
      <c r="I2266" s="15"/>
      <c r="J2266" s="15"/>
      <c r="K2266" s="15"/>
      <c r="L2266" s="15"/>
      <c r="M2266" s="15"/>
      <c r="N2266" s="15"/>
      <c r="O2266" s="15"/>
      <c r="P2266" s="15"/>
    </row>
    <row r="2267" spans="1:16" x14ac:dyDescent="0.25">
      <c r="A2267" s="15"/>
      <c r="B2267" s="15"/>
      <c r="C2267" s="15"/>
      <c r="D2267" s="15"/>
      <c r="E2267" s="15"/>
      <c r="F2267" s="15"/>
      <c r="G2267" s="15"/>
      <c r="H2267" s="15"/>
      <c r="I2267" s="15"/>
      <c r="J2267" s="15"/>
      <c r="K2267" s="15"/>
      <c r="L2267" s="15"/>
      <c r="M2267" s="15"/>
      <c r="N2267" s="15"/>
      <c r="O2267" s="15"/>
      <c r="P2267" s="15"/>
    </row>
    <row r="2268" spans="1:16" x14ac:dyDescent="0.25">
      <c r="A2268" s="15"/>
      <c r="B2268" s="15"/>
      <c r="C2268" s="15"/>
      <c r="D2268" s="15"/>
      <c r="E2268" s="15"/>
      <c r="F2268" s="15"/>
      <c r="G2268" s="15"/>
      <c r="H2268" s="15"/>
      <c r="I2268" s="15"/>
      <c r="J2268" s="15"/>
      <c r="K2268" s="15"/>
      <c r="L2268" s="15"/>
      <c r="M2268" s="15"/>
      <c r="N2268" s="15"/>
      <c r="O2268" s="15"/>
      <c r="P2268" s="15"/>
    </row>
    <row r="2269" spans="1:16" x14ac:dyDescent="0.25">
      <c r="A2269" s="15"/>
      <c r="B2269" s="15"/>
      <c r="C2269" s="15"/>
      <c r="D2269" s="15"/>
      <c r="E2269" s="15"/>
      <c r="F2269" s="15"/>
      <c r="G2269" s="15"/>
      <c r="H2269" s="15"/>
      <c r="I2269" s="15"/>
      <c r="J2269" s="15"/>
      <c r="K2269" s="15"/>
      <c r="L2269" s="15"/>
      <c r="M2269" s="15"/>
      <c r="N2269" s="15"/>
      <c r="O2269" s="15"/>
      <c r="P2269" s="15"/>
    </row>
    <row r="2270" spans="1:16" x14ac:dyDescent="0.25">
      <c r="A2270" s="15"/>
      <c r="B2270" s="15"/>
      <c r="C2270" s="15"/>
      <c r="D2270" s="15"/>
      <c r="E2270" s="15"/>
      <c r="F2270" s="15"/>
      <c r="G2270" s="15"/>
      <c r="H2270" s="15"/>
      <c r="I2270" s="15"/>
      <c r="J2270" s="15"/>
      <c r="K2270" s="15"/>
      <c r="L2270" s="15"/>
      <c r="M2270" s="15"/>
      <c r="N2270" s="15"/>
      <c r="O2270" s="15"/>
      <c r="P2270" s="15"/>
    </row>
    <row r="2271" spans="1:16" x14ac:dyDescent="0.25">
      <c r="A2271" s="15"/>
      <c r="B2271" s="15"/>
      <c r="C2271" s="15"/>
      <c r="D2271" s="15"/>
      <c r="E2271" s="15"/>
      <c r="F2271" s="15"/>
      <c r="G2271" s="15"/>
      <c r="H2271" s="15"/>
      <c r="I2271" s="15"/>
      <c r="J2271" s="15"/>
      <c r="K2271" s="15"/>
      <c r="L2271" s="15"/>
      <c r="M2271" s="15"/>
      <c r="N2271" s="15"/>
      <c r="O2271" s="15"/>
      <c r="P2271" s="15"/>
    </row>
    <row r="2272" spans="1:16" x14ac:dyDescent="0.25">
      <c r="A2272" s="15"/>
      <c r="B2272" s="15"/>
      <c r="C2272" s="15"/>
      <c r="D2272" s="15"/>
      <c r="E2272" s="15"/>
      <c r="F2272" s="15"/>
      <c r="G2272" s="15"/>
      <c r="H2272" s="15"/>
      <c r="I2272" s="15"/>
      <c r="J2272" s="15"/>
      <c r="K2272" s="15"/>
      <c r="L2272" s="15"/>
      <c r="M2272" s="15"/>
      <c r="N2272" s="15"/>
      <c r="O2272" s="15"/>
      <c r="P2272" s="15"/>
    </row>
    <row r="2273" spans="1:16" x14ac:dyDescent="0.25">
      <c r="A2273" s="15"/>
      <c r="B2273" s="15"/>
      <c r="C2273" s="15"/>
      <c r="D2273" s="15"/>
      <c r="E2273" s="15"/>
      <c r="F2273" s="15"/>
      <c r="G2273" s="15"/>
      <c r="H2273" s="15"/>
      <c r="I2273" s="15"/>
      <c r="J2273" s="15"/>
      <c r="K2273" s="15"/>
      <c r="L2273" s="15"/>
      <c r="M2273" s="15"/>
      <c r="N2273" s="15"/>
      <c r="O2273" s="15"/>
      <c r="P2273" s="15"/>
    </row>
    <row r="2274" spans="1:16" x14ac:dyDescent="0.25">
      <c r="A2274" s="15"/>
      <c r="B2274" s="15"/>
      <c r="C2274" s="15"/>
      <c r="D2274" s="15"/>
      <c r="E2274" s="15"/>
      <c r="F2274" s="15"/>
      <c r="G2274" s="15"/>
      <c r="H2274" s="15"/>
      <c r="I2274" s="15"/>
      <c r="J2274" s="15"/>
      <c r="K2274" s="15"/>
      <c r="L2274" s="15"/>
      <c r="M2274" s="15"/>
      <c r="N2274" s="15"/>
      <c r="O2274" s="15"/>
      <c r="P2274" s="15"/>
    </row>
    <row r="2275" spans="1:16" x14ac:dyDescent="0.25">
      <c r="A2275" s="15"/>
      <c r="B2275" s="15"/>
      <c r="C2275" s="15"/>
      <c r="D2275" s="15"/>
      <c r="E2275" s="15"/>
      <c r="F2275" s="15"/>
      <c r="G2275" s="15"/>
      <c r="H2275" s="15"/>
      <c r="I2275" s="15"/>
      <c r="J2275" s="15"/>
      <c r="K2275" s="15"/>
      <c r="L2275" s="15"/>
      <c r="M2275" s="15"/>
      <c r="N2275" s="15"/>
      <c r="O2275" s="15"/>
      <c r="P2275" s="15"/>
    </row>
    <row r="2276" spans="1:16" x14ac:dyDescent="0.25">
      <c r="A2276" s="15"/>
      <c r="B2276" s="15"/>
      <c r="C2276" s="15"/>
      <c r="D2276" s="15"/>
      <c r="E2276" s="15"/>
      <c r="F2276" s="15"/>
      <c r="G2276" s="15"/>
      <c r="H2276" s="15"/>
      <c r="I2276" s="15"/>
      <c r="J2276" s="15"/>
      <c r="K2276" s="15"/>
      <c r="L2276" s="15"/>
      <c r="M2276" s="15"/>
      <c r="N2276" s="15"/>
      <c r="O2276" s="15"/>
      <c r="P2276" s="15"/>
    </row>
    <row r="2277" spans="1:16" x14ac:dyDescent="0.25">
      <c r="A2277" s="15"/>
      <c r="B2277" s="15"/>
      <c r="C2277" s="15"/>
      <c r="D2277" s="15"/>
      <c r="E2277" s="15"/>
      <c r="F2277" s="15"/>
      <c r="G2277" s="15"/>
      <c r="H2277" s="15"/>
      <c r="I2277" s="15"/>
      <c r="J2277" s="15"/>
      <c r="K2277" s="15"/>
      <c r="L2277" s="15"/>
      <c r="M2277" s="15"/>
      <c r="N2277" s="15"/>
      <c r="O2277" s="15"/>
      <c r="P2277" s="15"/>
    </row>
    <row r="2278" spans="1:16" x14ac:dyDescent="0.25">
      <c r="A2278" s="15"/>
      <c r="B2278" s="15"/>
      <c r="C2278" s="15"/>
      <c r="D2278" s="15"/>
      <c r="E2278" s="15"/>
      <c r="F2278" s="15"/>
      <c r="G2278" s="15"/>
      <c r="H2278" s="15"/>
      <c r="I2278" s="15"/>
      <c r="J2278" s="15"/>
      <c r="K2278" s="15"/>
      <c r="L2278" s="15"/>
      <c r="M2278" s="15"/>
      <c r="N2278" s="15"/>
      <c r="O2278" s="15"/>
      <c r="P2278" s="15"/>
    </row>
    <row r="2279" spans="1:16" x14ac:dyDescent="0.25">
      <c r="A2279" s="15"/>
      <c r="B2279" s="15"/>
      <c r="C2279" s="15"/>
      <c r="D2279" s="15"/>
      <c r="E2279" s="15"/>
      <c r="F2279" s="15"/>
      <c r="G2279" s="15"/>
      <c r="H2279" s="15"/>
      <c r="I2279" s="15"/>
      <c r="J2279" s="15"/>
      <c r="K2279" s="15"/>
      <c r="L2279" s="15"/>
      <c r="M2279" s="15"/>
      <c r="N2279" s="15"/>
      <c r="O2279" s="15"/>
      <c r="P2279" s="15"/>
    </row>
    <row r="2280" spans="1:16" x14ac:dyDescent="0.25">
      <c r="A2280" s="15"/>
      <c r="B2280" s="15"/>
      <c r="C2280" s="15"/>
      <c r="D2280" s="15"/>
      <c r="E2280" s="15"/>
      <c r="F2280" s="15"/>
      <c r="G2280" s="15"/>
      <c r="H2280" s="15"/>
      <c r="I2280" s="15"/>
      <c r="J2280" s="15"/>
      <c r="K2280" s="15"/>
      <c r="L2280" s="15"/>
      <c r="M2280" s="15"/>
      <c r="N2280" s="15"/>
      <c r="O2280" s="15"/>
      <c r="P2280" s="15"/>
    </row>
    <row r="2281" spans="1:16" x14ac:dyDescent="0.25">
      <c r="A2281" s="15"/>
      <c r="B2281" s="15"/>
      <c r="C2281" s="15"/>
      <c r="D2281" s="15"/>
      <c r="E2281" s="15"/>
      <c r="F2281" s="15"/>
      <c r="G2281" s="15"/>
      <c r="H2281" s="15"/>
      <c r="I2281" s="15"/>
      <c r="J2281" s="15"/>
      <c r="K2281" s="15"/>
      <c r="L2281" s="15"/>
      <c r="M2281" s="15"/>
      <c r="N2281" s="15"/>
      <c r="O2281" s="15"/>
      <c r="P2281" s="15"/>
    </row>
    <row r="2282" spans="1:16" x14ac:dyDescent="0.25">
      <c r="A2282" s="15"/>
      <c r="B2282" s="15"/>
      <c r="C2282" s="15"/>
      <c r="D2282" s="15"/>
      <c r="E2282" s="15"/>
      <c r="F2282" s="15"/>
      <c r="G2282" s="15"/>
      <c r="H2282" s="15"/>
      <c r="I2282" s="15"/>
      <c r="J2282" s="15"/>
      <c r="K2282" s="15"/>
      <c r="L2282" s="15"/>
      <c r="M2282" s="15"/>
      <c r="N2282" s="15"/>
      <c r="O2282" s="15"/>
      <c r="P2282" s="15"/>
    </row>
    <row r="2283" spans="1:16" x14ac:dyDescent="0.25">
      <c r="A2283" s="15"/>
      <c r="B2283" s="15"/>
      <c r="C2283" s="15"/>
      <c r="D2283" s="15"/>
      <c r="E2283" s="15"/>
      <c r="F2283" s="15"/>
      <c r="G2283" s="15"/>
      <c r="H2283" s="15"/>
      <c r="I2283" s="15"/>
      <c r="J2283" s="15"/>
      <c r="K2283" s="15"/>
      <c r="L2283" s="15"/>
      <c r="M2283" s="15"/>
      <c r="N2283" s="15"/>
      <c r="O2283" s="15"/>
      <c r="P2283" s="15"/>
    </row>
    <row r="2284" spans="1:16" x14ac:dyDescent="0.25">
      <c r="A2284" s="15"/>
      <c r="B2284" s="15"/>
      <c r="C2284" s="15"/>
      <c r="D2284" s="15"/>
      <c r="E2284" s="15"/>
      <c r="F2284" s="15"/>
      <c r="G2284" s="15"/>
      <c r="H2284" s="15"/>
      <c r="I2284" s="15"/>
      <c r="J2284" s="15"/>
      <c r="K2284" s="15"/>
      <c r="L2284" s="15"/>
      <c r="M2284" s="15"/>
      <c r="N2284" s="15"/>
      <c r="O2284" s="15"/>
      <c r="P2284" s="15"/>
    </row>
    <row r="2285" spans="1:16" x14ac:dyDescent="0.25">
      <c r="A2285" s="15"/>
      <c r="B2285" s="15"/>
      <c r="C2285" s="15"/>
      <c r="D2285" s="15"/>
      <c r="E2285" s="15"/>
      <c r="F2285" s="15"/>
      <c r="G2285" s="15"/>
      <c r="H2285" s="15"/>
      <c r="I2285" s="15"/>
      <c r="J2285" s="15"/>
      <c r="K2285" s="15"/>
      <c r="L2285" s="15"/>
      <c r="M2285" s="15"/>
      <c r="N2285" s="15"/>
      <c r="O2285" s="15"/>
      <c r="P2285" s="15"/>
    </row>
    <row r="2286" spans="1:16" x14ac:dyDescent="0.25">
      <c r="A2286" s="15"/>
      <c r="B2286" s="15"/>
      <c r="C2286" s="15"/>
      <c r="D2286" s="15"/>
      <c r="E2286" s="15"/>
      <c r="F2286" s="15"/>
      <c r="G2286" s="15"/>
      <c r="H2286" s="15"/>
      <c r="I2286" s="15"/>
      <c r="J2286" s="15"/>
      <c r="K2286" s="15"/>
      <c r="L2286" s="15"/>
      <c r="M2286" s="15"/>
      <c r="N2286" s="15"/>
      <c r="O2286" s="15"/>
      <c r="P2286" s="15"/>
    </row>
    <row r="2287" spans="1:16" x14ac:dyDescent="0.25">
      <c r="A2287" s="15"/>
      <c r="B2287" s="15"/>
      <c r="C2287" s="15"/>
      <c r="D2287" s="15"/>
      <c r="E2287" s="15"/>
      <c r="F2287" s="15"/>
      <c r="G2287" s="15"/>
      <c r="H2287" s="15"/>
      <c r="I2287" s="15"/>
      <c r="J2287" s="15"/>
      <c r="K2287" s="15"/>
      <c r="L2287" s="15"/>
      <c r="M2287" s="15"/>
      <c r="N2287" s="15"/>
      <c r="O2287" s="15"/>
      <c r="P2287" s="15"/>
    </row>
    <row r="2288" spans="1:16" x14ac:dyDescent="0.25">
      <c r="A2288" s="15"/>
      <c r="B2288" s="15"/>
      <c r="C2288" s="15"/>
      <c r="D2288" s="15"/>
      <c r="E2288" s="15"/>
      <c r="F2288" s="15"/>
      <c r="G2288" s="15"/>
      <c r="H2288" s="15"/>
      <c r="I2288" s="15"/>
      <c r="J2288" s="15"/>
      <c r="K2288" s="15"/>
      <c r="L2288" s="15"/>
      <c r="M2288" s="15"/>
      <c r="N2288" s="15"/>
      <c r="O2288" s="15"/>
      <c r="P2288" s="15"/>
    </row>
    <row r="2289" spans="1:16" x14ac:dyDescent="0.25">
      <c r="A2289" s="15"/>
      <c r="B2289" s="15"/>
      <c r="C2289" s="15"/>
      <c r="D2289" s="15"/>
      <c r="E2289" s="15"/>
      <c r="F2289" s="15"/>
      <c r="G2289" s="15"/>
      <c r="H2289" s="15"/>
      <c r="I2289" s="15"/>
      <c r="J2289" s="15"/>
      <c r="K2289" s="15"/>
      <c r="L2289" s="15"/>
      <c r="M2289" s="15"/>
      <c r="N2289" s="15"/>
      <c r="O2289" s="15"/>
      <c r="P2289" s="15"/>
    </row>
    <row r="2290" spans="1:16" x14ac:dyDescent="0.25">
      <c r="A2290" s="15"/>
      <c r="B2290" s="15"/>
      <c r="C2290" s="15"/>
      <c r="D2290" s="15"/>
      <c r="E2290" s="15"/>
      <c r="F2290" s="15"/>
      <c r="G2290" s="15"/>
      <c r="H2290" s="15"/>
      <c r="I2290" s="15"/>
      <c r="J2290" s="15"/>
      <c r="K2290" s="15"/>
      <c r="L2290" s="15"/>
      <c r="M2290" s="15"/>
      <c r="N2290" s="15"/>
      <c r="O2290" s="15"/>
      <c r="P2290" s="15"/>
    </row>
    <row r="2291" spans="1:16" x14ac:dyDescent="0.25">
      <c r="A2291" s="15"/>
      <c r="B2291" s="15"/>
      <c r="C2291" s="15"/>
      <c r="D2291" s="15"/>
      <c r="E2291" s="15"/>
      <c r="F2291" s="15"/>
      <c r="G2291" s="15"/>
      <c r="H2291" s="15"/>
      <c r="I2291" s="15"/>
      <c r="J2291" s="15"/>
      <c r="K2291" s="15"/>
      <c r="L2291" s="15"/>
      <c r="M2291" s="15"/>
      <c r="N2291" s="15"/>
      <c r="O2291" s="15"/>
      <c r="P2291" s="15"/>
    </row>
    <row r="2292" spans="1:16" x14ac:dyDescent="0.25">
      <c r="A2292" s="15"/>
      <c r="B2292" s="15"/>
      <c r="C2292" s="15"/>
      <c r="D2292" s="15"/>
      <c r="E2292" s="15"/>
      <c r="F2292" s="15"/>
      <c r="G2292" s="15"/>
      <c r="H2292" s="15"/>
      <c r="I2292" s="15"/>
      <c r="J2292" s="15"/>
      <c r="K2292" s="15"/>
      <c r="L2292" s="15"/>
      <c r="M2292" s="15"/>
      <c r="N2292" s="15"/>
      <c r="O2292" s="15"/>
      <c r="P2292" s="15"/>
    </row>
    <row r="2293" spans="1:16" x14ac:dyDescent="0.25">
      <c r="A2293" s="15"/>
      <c r="B2293" s="15"/>
      <c r="C2293" s="15"/>
      <c r="D2293" s="15"/>
      <c r="E2293" s="15"/>
      <c r="F2293" s="15"/>
      <c r="G2293" s="15"/>
      <c r="H2293" s="15"/>
      <c r="I2293" s="15"/>
      <c r="J2293" s="15"/>
      <c r="K2293" s="15"/>
      <c r="L2293" s="15"/>
      <c r="M2293" s="15"/>
      <c r="N2293" s="15"/>
      <c r="O2293" s="15"/>
      <c r="P2293" s="15"/>
    </row>
    <row r="2294" spans="1:16" x14ac:dyDescent="0.25">
      <c r="A2294" s="15"/>
      <c r="B2294" s="15"/>
      <c r="C2294" s="15"/>
      <c r="D2294" s="15"/>
      <c r="E2294" s="15"/>
      <c r="F2294" s="15"/>
      <c r="G2294" s="15"/>
      <c r="H2294" s="15"/>
      <c r="I2294" s="15"/>
      <c r="J2294" s="15"/>
      <c r="K2294" s="15"/>
      <c r="L2294" s="15"/>
      <c r="M2294" s="15"/>
      <c r="N2294" s="15"/>
      <c r="O2294" s="15"/>
      <c r="P2294" s="15"/>
    </row>
    <row r="2295" spans="1:16" x14ac:dyDescent="0.25">
      <c r="A2295" s="15"/>
      <c r="B2295" s="15"/>
      <c r="C2295" s="15"/>
      <c r="D2295" s="15"/>
      <c r="E2295" s="15"/>
      <c r="F2295" s="15"/>
      <c r="G2295" s="15"/>
      <c r="H2295" s="15"/>
      <c r="I2295" s="15"/>
      <c r="J2295" s="15"/>
      <c r="K2295" s="15"/>
      <c r="L2295" s="15"/>
      <c r="M2295" s="15"/>
      <c r="N2295" s="15"/>
      <c r="O2295" s="15"/>
      <c r="P2295" s="15"/>
    </row>
    <row r="2296" spans="1:16" x14ac:dyDescent="0.25">
      <c r="A2296" s="15"/>
      <c r="B2296" s="15"/>
      <c r="C2296" s="15"/>
      <c r="D2296" s="15"/>
      <c r="E2296" s="15"/>
      <c r="F2296" s="15"/>
      <c r="G2296" s="15"/>
      <c r="H2296" s="15"/>
      <c r="I2296" s="15"/>
      <c r="J2296" s="15"/>
      <c r="K2296" s="15"/>
      <c r="L2296" s="15"/>
      <c r="M2296" s="15"/>
      <c r="N2296" s="15"/>
      <c r="O2296" s="15"/>
      <c r="P2296" s="15"/>
    </row>
    <row r="2297" spans="1:16" x14ac:dyDescent="0.25">
      <c r="A2297" s="15"/>
      <c r="B2297" s="15"/>
      <c r="C2297" s="15"/>
      <c r="D2297" s="15"/>
      <c r="E2297" s="15"/>
      <c r="F2297" s="15"/>
      <c r="G2297" s="15"/>
      <c r="H2297" s="15"/>
      <c r="I2297" s="15"/>
      <c r="J2297" s="15"/>
      <c r="K2297" s="15"/>
      <c r="L2297" s="15"/>
      <c r="M2297" s="15"/>
      <c r="N2297" s="15"/>
      <c r="O2297" s="15"/>
      <c r="P2297" s="15"/>
    </row>
    <row r="2298" spans="1:16" x14ac:dyDescent="0.25">
      <c r="A2298" s="15"/>
      <c r="B2298" s="15"/>
      <c r="C2298" s="15"/>
      <c r="D2298" s="15"/>
      <c r="E2298" s="15"/>
      <c r="F2298" s="15"/>
      <c r="G2298" s="15"/>
      <c r="H2298" s="15"/>
      <c r="I2298" s="15"/>
      <c r="J2298" s="15"/>
      <c r="K2298" s="15"/>
      <c r="L2298" s="15"/>
      <c r="M2298" s="15"/>
      <c r="N2298" s="15"/>
      <c r="O2298" s="15"/>
      <c r="P2298" s="15"/>
    </row>
    <row r="2299" spans="1:16" x14ac:dyDescent="0.25">
      <c r="A2299" s="15"/>
      <c r="B2299" s="15"/>
      <c r="C2299" s="15"/>
      <c r="D2299" s="15"/>
      <c r="E2299" s="15"/>
      <c r="F2299" s="15"/>
      <c r="G2299" s="15"/>
      <c r="H2299" s="15"/>
      <c r="I2299" s="15"/>
      <c r="J2299" s="15"/>
      <c r="K2299" s="15"/>
      <c r="L2299" s="15"/>
      <c r="M2299" s="15"/>
      <c r="N2299" s="15"/>
      <c r="O2299" s="15"/>
      <c r="P2299" s="15"/>
    </row>
    <row r="2300" spans="1:16" x14ac:dyDescent="0.25">
      <c r="A2300" s="15"/>
      <c r="B2300" s="15"/>
      <c r="C2300" s="15"/>
      <c r="D2300" s="15"/>
      <c r="E2300" s="15"/>
      <c r="F2300" s="15"/>
      <c r="G2300" s="15"/>
      <c r="H2300" s="15"/>
      <c r="I2300" s="15"/>
      <c r="J2300" s="15"/>
      <c r="K2300" s="15"/>
      <c r="L2300" s="15"/>
      <c r="M2300" s="15"/>
      <c r="N2300" s="15"/>
      <c r="O2300" s="15"/>
      <c r="P2300" s="15"/>
    </row>
    <row r="2301" spans="1:16" x14ac:dyDescent="0.25">
      <c r="D2301" s="15"/>
      <c r="E2301" s="15"/>
      <c r="F2301" s="15"/>
      <c r="G2301" s="15"/>
      <c r="H2301" s="15"/>
      <c r="I2301" s="15"/>
      <c r="J2301" s="15"/>
      <c r="K2301" s="15"/>
      <c r="L2301" s="15"/>
      <c r="M2301" s="15"/>
      <c r="N2301" s="15"/>
      <c r="O2301" s="15"/>
      <c r="P2301" s="15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9" r:id="rId3" name="TextBox1">
          <controlPr defaultSize="0" autoLine="0" autoPict="0" r:id="rId4">
            <anchor moveWithCells="1">
              <from>
                <xdr:col>0</xdr:col>
                <xdr:colOff>0</xdr:colOff>
                <xdr:row>5</xdr:row>
                <xdr:rowOff>200025</xdr:rowOff>
              </from>
              <to>
                <xdr:col>2</xdr:col>
                <xdr:colOff>657225</xdr:colOff>
                <xdr:row>6</xdr:row>
                <xdr:rowOff>228600</xdr:rowOff>
              </to>
            </anchor>
          </controlPr>
        </control>
      </mc:Choice>
      <mc:Fallback>
        <control shapeId="17409" r:id="rId3" name="TextBox1"/>
      </mc:Fallback>
    </mc:AlternateContent>
    <mc:AlternateContent xmlns:mc="http://schemas.openxmlformats.org/markup-compatibility/2006">
      <mc:Choice Requires="x14">
        <control shapeId="17410" r:id="rId5" name="Button 2">
          <controlPr defaultSize="0" print="0" autoFill="0" autoPict="0" macro="[0]!AÑO2022GUARDAR">
            <anchor moveWithCells="1" sizeWithCells="1">
              <from>
                <xdr:col>3</xdr:col>
                <xdr:colOff>542925</xdr:colOff>
                <xdr:row>7</xdr:row>
                <xdr:rowOff>0</xdr:rowOff>
              </from>
              <to>
                <xdr:col>4</xdr:col>
                <xdr:colOff>2428875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6" name="Button 3">
          <controlPr defaultSize="0" print="0" autoFill="0" autoPict="0" macro="[0]!_xlnm.Database">
            <anchor moveWithCells="1" sizeWithCells="1">
              <from>
                <xdr:col>4</xdr:col>
                <xdr:colOff>2438400</xdr:colOff>
                <xdr:row>7</xdr:row>
                <xdr:rowOff>9525</xdr:rowOff>
              </from>
              <to>
                <xdr:col>6</xdr:col>
                <xdr:colOff>19050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7" name="Button 4">
          <controlPr defaultSize="0" print="0" autoFill="0" autoPict="0" macro="[0]!MENU">
            <anchor moveWithCells="1" sizeWithCells="1">
              <from>
                <xdr:col>6</xdr:col>
                <xdr:colOff>28575</xdr:colOff>
                <xdr:row>7</xdr:row>
                <xdr:rowOff>19050</xdr:rowOff>
              </from>
              <to>
                <xdr:col>7</xdr:col>
                <xdr:colOff>19050</xdr:colOff>
                <xdr:row>9</xdr:row>
                <xdr:rowOff>19050</xdr:rowOff>
              </to>
            </anchor>
          </controlPr>
        </control>
      </mc:Choice>
    </mc:AlternateContent>
  </controls>
  <tableParts count="1"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427AB-5E6B-4076-9DCB-4E24EE6BA6B4}">
  <sheetPr codeName="Hoja12">
    <tabColor rgb="FF9966FF"/>
  </sheetPr>
  <dimension ref="A1:AA636"/>
  <sheetViews>
    <sheetView workbookViewId="0">
      <selection activeCell="A15" sqref="A15"/>
    </sheetView>
  </sheetViews>
  <sheetFormatPr baseColWidth="10" defaultRowHeight="15" x14ac:dyDescent="0.25"/>
  <cols>
    <col min="1" max="1" width="48.140625" customWidth="1"/>
    <col min="2" max="2" width="21.42578125" customWidth="1"/>
    <col min="3" max="3" width="13.5703125" customWidth="1"/>
    <col min="4" max="4" width="3.5703125" customWidth="1"/>
    <col min="5" max="5" width="36.28515625" customWidth="1"/>
    <col min="6" max="6" width="24.140625" customWidth="1"/>
  </cols>
  <sheetData>
    <row r="1" spans="1:27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</row>
    <row r="2" spans="1:27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</row>
    <row r="3" spans="1:27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</row>
    <row r="4" spans="1:27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</row>
    <row r="5" spans="1:27" ht="15.75" thickBot="1" x14ac:dyDescent="0.3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</row>
    <row r="6" spans="1:27" ht="27" thickBot="1" x14ac:dyDescent="0.45">
      <c r="A6" s="16"/>
      <c r="B6" s="16"/>
      <c r="C6" s="16"/>
      <c r="D6" s="16"/>
      <c r="E6" s="3" t="s">
        <v>3</v>
      </c>
      <c r="F6" s="4" t="s">
        <v>1</v>
      </c>
      <c r="G6" s="51" t="s">
        <v>2</v>
      </c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</row>
    <row r="7" spans="1:27" ht="19.5" thickBot="1" x14ac:dyDescent="0.35">
      <c r="A7" s="16"/>
      <c r="B7" s="16"/>
      <c r="C7" s="16"/>
      <c r="D7" s="16"/>
      <c r="E7" s="25"/>
      <c r="F7" s="33" t="s">
        <v>320</v>
      </c>
      <c r="G7" s="26" t="s">
        <v>451</v>
      </c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</row>
    <row r="8" spans="1:27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</row>
    <row r="9" spans="1:27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</row>
    <row r="10" spans="1:27" ht="15.75" thickBot="1" x14ac:dyDescent="0.3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</row>
    <row r="11" spans="1:27" ht="19.5" thickBot="1" x14ac:dyDescent="0.35">
      <c r="A11" s="36" t="s">
        <v>4</v>
      </c>
      <c r="B11" s="36" t="s">
        <v>1</v>
      </c>
      <c r="C11" s="36" t="s">
        <v>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 ht="19.5" thickBot="1" x14ac:dyDescent="0.35">
      <c r="A12" s="25" t="s">
        <v>332</v>
      </c>
      <c r="B12" s="33" t="s">
        <v>320</v>
      </c>
      <c r="C12" s="24" t="s">
        <v>118</v>
      </c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 ht="19.5" thickBot="1" x14ac:dyDescent="0.35">
      <c r="A13" s="25" t="s">
        <v>329</v>
      </c>
      <c r="B13" s="25" t="s">
        <v>320</v>
      </c>
      <c r="C13" s="24" t="s">
        <v>119</v>
      </c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</row>
    <row r="14" spans="1:27" ht="19.5" thickBot="1" x14ac:dyDescent="0.35">
      <c r="A14" s="25" t="s">
        <v>321</v>
      </c>
      <c r="B14" s="25" t="s">
        <v>320</v>
      </c>
      <c r="C14" s="24" t="s">
        <v>120</v>
      </c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</row>
    <row r="15" spans="1:27" ht="19.5" thickBot="1" x14ac:dyDescent="0.35">
      <c r="A15" s="25" t="s">
        <v>330</v>
      </c>
      <c r="B15" s="25" t="s">
        <v>320</v>
      </c>
      <c r="C15" s="24" t="s">
        <v>121</v>
      </c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</row>
    <row r="16" spans="1:27" ht="19.5" thickBot="1" x14ac:dyDescent="0.35">
      <c r="A16" s="25" t="s">
        <v>325</v>
      </c>
      <c r="B16" s="25" t="s">
        <v>320</v>
      </c>
      <c r="C16" s="24" t="s">
        <v>122</v>
      </c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</row>
    <row r="17" spans="1:27" ht="19.5" thickBot="1" x14ac:dyDescent="0.35">
      <c r="A17" s="25" t="s">
        <v>328</v>
      </c>
      <c r="B17" s="25" t="s">
        <v>320</v>
      </c>
      <c r="C17" s="24" t="s">
        <v>123</v>
      </c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</row>
    <row r="18" spans="1:27" ht="19.5" thickBot="1" x14ac:dyDescent="0.35">
      <c r="A18" s="25" t="s">
        <v>326</v>
      </c>
      <c r="B18" s="25" t="s">
        <v>320</v>
      </c>
      <c r="C18" s="24" t="s">
        <v>124</v>
      </c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</row>
    <row r="19" spans="1:27" ht="19.5" thickBot="1" x14ac:dyDescent="0.35">
      <c r="A19" s="25" t="s">
        <v>327</v>
      </c>
      <c r="B19" s="25" t="s">
        <v>320</v>
      </c>
      <c r="C19" s="24" t="s">
        <v>125</v>
      </c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</row>
    <row r="20" spans="1:27" ht="19.5" thickBot="1" x14ac:dyDescent="0.35">
      <c r="A20" s="25" t="s">
        <v>334</v>
      </c>
      <c r="B20" s="25" t="s">
        <v>320</v>
      </c>
      <c r="C20" s="24" t="s">
        <v>126</v>
      </c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</row>
    <row r="21" spans="1:27" ht="19.5" thickBot="1" x14ac:dyDescent="0.35">
      <c r="A21" s="25" t="s">
        <v>322</v>
      </c>
      <c r="B21" s="25" t="s">
        <v>320</v>
      </c>
      <c r="C21" s="24" t="s">
        <v>127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</row>
    <row r="22" spans="1:27" ht="19.5" thickBot="1" x14ac:dyDescent="0.35">
      <c r="A22" s="25" t="s">
        <v>323</v>
      </c>
      <c r="B22" s="25" t="s">
        <v>320</v>
      </c>
      <c r="C22" s="24" t="s">
        <v>128</v>
      </c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</row>
    <row r="23" spans="1:27" ht="19.5" thickBot="1" x14ac:dyDescent="0.35">
      <c r="A23" s="25" t="s">
        <v>333</v>
      </c>
      <c r="B23" s="25" t="s">
        <v>320</v>
      </c>
      <c r="C23" s="24" t="s">
        <v>129</v>
      </c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</row>
    <row r="24" spans="1:27" ht="19.5" thickBot="1" x14ac:dyDescent="0.35">
      <c r="A24" s="25" t="s">
        <v>324</v>
      </c>
      <c r="B24" s="25" t="s">
        <v>320</v>
      </c>
      <c r="C24" s="24" t="s">
        <v>130</v>
      </c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</row>
    <row r="25" spans="1:27" ht="19.5" thickBot="1" x14ac:dyDescent="0.35">
      <c r="A25" s="25" t="s">
        <v>331</v>
      </c>
      <c r="B25" s="25" t="s">
        <v>320</v>
      </c>
      <c r="C25" s="24" t="s">
        <v>131</v>
      </c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</row>
    <row r="26" spans="1:27" ht="19.5" thickBot="1" x14ac:dyDescent="0.35">
      <c r="A26" s="25" t="s">
        <v>1457</v>
      </c>
      <c r="B26" s="25" t="s">
        <v>320</v>
      </c>
      <c r="C26" s="26" t="s">
        <v>585</v>
      </c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</row>
    <row r="27" spans="1:27" ht="18.75" x14ac:dyDescent="0.3">
      <c r="A27" s="34" t="s">
        <v>9</v>
      </c>
      <c r="B27" s="34"/>
      <c r="C27" s="29">
        <f>SUBTOTAL(103,TABLAAÑO2023[FICHA])</f>
        <v>15</v>
      </c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</row>
    <row r="28" spans="1:27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</row>
    <row r="29" spans="1:27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</row>
    <row r="30" spans="1:27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</row>
    <row r="31" spans="1:27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</row>
    <row r="32" spans="1:27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</row>
    <row r="33" spans="1:27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</row>
    <row r="34" spans="1:27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</row>
    <row r="35" spans="1:27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</row>
    <row r="36" spans="1:27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</row>
    <row r="37" spans="1:27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</row>
    <row r="38" spans="1:27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</row>
    <row r="39" spans="1:27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</row>
    <row r="40" spans="1:27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</row>
    <row r="41" spans="1:27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</row>
    <row r="42" spans="1:27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</row>
    <row r="43" spans="1:27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</row>
    <row r="44" spans="1:27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</row>
    <row r="45" spans="1:27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</row>
    <row r="46" spans="1:27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</row>
    <row r="47" spans="1:27" x14ac:dyDescent="0.25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</row>
    <row r="48" spans="1:27" x14ac:dyDescent="0.2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</row>
    <row r="49" spans="1:27" x14ac:dyDescent="0.2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</row>
    <row r="50" spans="1:27" x14ac:dyDescent="0.25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</row>
    <row r="51" spans="1:27" x14ac:dyDescent="0.25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</row>
    <row r="52" spans="1:27" x14ac:dyDescent="0.25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</row>
    <row r="53" spans="1:27" x14ac:dyDescent="0.25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</row>
    <row r="54" spans="1:27" x14ac:dyDescent="0.25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</row>
    <row r="55" spans="1:27" x14ac:dyDescent="0.25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</row>
    <row r="56" spans="1:27" x14ac:dyDescent="0.25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</row>
    <row r="57" spans="1:27" x14ac:dyDescent="0.25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</row>
    <row r="58" spans="1:27" x14ac:dyDescent="0.25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</row>
    <row r="59" spans="1:27" x14ac:dyDescent="0.25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</row>
    <row r="60" spans="1:27" x14ac:dyDescent="0.25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</row>
    <row r="61" spans="1:27" x14ac:dyDescent="0.25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</row>
    <row r="62" spans="1:27" x14ac:dyDescent="0.25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</row>
    <row r="63" spans="1:27" x14ac:dyDescent="0.25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</row>
    <row r="64" spans="1:27" x14ac:dyDescent="0.25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</row>
    <row r="65" spans="1:27" x14ac:dyDescent="0.25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</row>
    <row r="66" spans="1:27" x14ac:dyDescent="0.25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</row>
    <row r="67" spans="1:27" x14ac:dyDescent="0.25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</row>
    <row r="68" spans="1:27" x14ac:dyDescent="0.25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</row>
    <row r="69" spans="1:27" x14ac:dyDescent="0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</row>
    <row r="70" spans="1:27" x14ac:dyDescent="0.25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</row>
    <row r="71" spans="1:27" x14ac:dyDescent="0.25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</row>
    <row r="72" spans="1:27" x14ac:dyDescent="0.25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</row>
    <row r="73" spans="1:27" x14ac:dyDescent="0.25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</row>
    <row r="74" spans="1:27" x14ac:dyDescent="0.25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</row>
    <row r="75" spans="1:27" x14ac:dyDescent="0.25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</row>
    <row r="76" spans="1:27" x14ac:dyDescent="0.25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</row>
    <row r="77" spans="1:27" x14ac:dyDescent="0.25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</row>
    <row r="78" spans="1:27" x14ac:dyDescent="0.25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</row>
    <row r="79" spans="1:27" x14ac:dyDescent="0.25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</row>
    <row r="80" spans="1:27" x14ac:dyDescent="0.25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</row>
    <row r="81" spans="1:27" x14ac:dyDescent="0.25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</row>
    <row r="82" spans="1:27" x14ac:dyDescent="0.25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</row>
    <row r="83" spans="1:27" x14ac:dyDescent="0.25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</row>
    <row r="84" spans="1:27" x14ac:dyDescent="0.25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</row>
    <row r="85" spans="1:27" x14ac:dyDescent="0.25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</row>
    <row r="86" spans="1:27" x14ac:dyDescent="0.25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</row>
    <row r="87" spans="1:27" x14ac:dyDescent="0.25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</row>
    <row r="88" spans="1:27" x14ac:dyDescent="0.25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</row>
    <row r="89" spans="1:27" x14ac:dyDescent="0.25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</row>
    <row r="90" spans="1:27" x14ac:dyDescent="0.25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</row>
    <row r="91" spans="1:27" x14ac:dyDescent="0.25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</row>
    <row r="92" spans="1:27" x14ac:dyDescent="0.25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</row>
    <row r="93" spans="1:27" x14ac:dyDescent="0.25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</row>
    <row r="94" spans="1:27" x14ac:dyDescent="0.25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</row>
    <row r="95" spans="1:27" x14ac:dyDescent="0.25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</row>
    <row r="96" spans="1:27" x14ac:dyDescent="0.25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</row>
    <row r="97" spans="1:27" x14ac:dyDescent="0.25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</row>
    <row r="98" spans="1:27" x14ac:dyDescent="0.25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</row>
    <row r="99" spans="1:27" x14ac:dyDescent="0.25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</row>
    <row r="100" spans="1:27" x14ac:dyDescent="0.25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</row>
    <row r="101" spans="1:27" x14ac:dyDescent="0.25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</row>
    <row r="102" spans="1:27" x14ac:dyDescent="0.25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</row>
    <row r="103" spans="1:27" x14ac:dyDescent="0.25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</row>
    <row r="104" spans="1:27" x14ac:dyDescent="0.25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</row>
    <row r="105" spans="1:27" x14ac:dyDescent="0.25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</row>
    <row r="106" spans="1:27" x14ac:dyDescent="0.25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</row>
    <row r="107" spans="1:27" x14ac:dyDescent="0.25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</row>
    <row r="108" spans="1:27" x14ac:dyDescent="0.25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</row>
    <row r="109" spans="1:27" x14ac:dyDescent="0.25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</row>
    <row r="110" spans="1:27" x14ac:dyDescent="0.25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</row>
    <row r="111" spans="1:27" x14ac:dyDescent="0.25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</row>
    <row r="112" spans="1:27" x14ac:dyDescent="0.25">
      <c r="A112" s="16"/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</row>
    <row r="113" spans="1:27" x14ac:dyDescent="0.25">
      <c r="A113" s="16"/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</row>
    <row r="114" spans="1:27" x14ac:dyDescent="0.25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</row>
    <row r="115" spans="1:27" x14ac:dyDescent="0.25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</row>
    <row r="116" spans="1:27" x14ac:dyDescent="0.25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</row>
    <row r="117" spans="1:27" x14ac:dyDescent="0.25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</row>
    <row r="118" spans="1:27" x14ac:dyDescent="0.25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</row>
    <row r="119" spans="1:27" x14ac:dyDescent="0.25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</row>
    <row r="120" spans="1:27" x14ac:dyDescent="0.25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</row>
    <row r="121" spans="1:27" x14ac:dyDescent="0.25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</row>
    <row r="122" spans="1:27" x14ac:dyDescent="0.25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</row>
    <row r="123" spans="1:27" x14ac:dyDescent="0.25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</row>
    <row r="124" spans="1:27" x14ac:dyDescent="0.25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</row>
    <row r="125" spans="1:27" x14ac:dyDescent="0.25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</row>
    <row r="126" spans="1:27" x14ac:dyDescent="0.25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</row>
    <row r="127" spans="1:27" x14ac:dyDescent="0.25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</row>
    <row r="128" spans="1:27" x14ac:dyDescent="0.25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</row>
    <row r="129" spans="1:27" x14ac:dyDescent="0.25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</row>
    <row r="130" spans="1:27" x14ac:dyDescent="0.25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</row>
    <row r="131" spans="1:27" x14ac:dyDescent="0.25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</row>
    <row r="132" spans="1:27" x14ac:dyDescent="0.25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</row>
    <row r="133" spans="1:27" x14ac:dyDescent="0.25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</row>
    <row r="134" spans="1:27" x14ac:dyDescent="0.25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</row>
    <row r="135" spans="1:27" x14ac:dyDescent="0.25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</row>
    <row r="136" spans="1:27" x14ac:dyDescent="0.25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</row>
    <row r="137" spans="1:27" x14ac:dyDescent="0.25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</row>
    <row r="138" spans="1:27" x14ac:dyDescent="0.25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</row>
    <row r="139" spans="1:27" x14ac:dyDescent="0.25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</row>
    <row r="140" spans="1:27" x14ac:dyDescent="0.25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</row>
    <row r="141" spans="1:27" x14ac:dyDescent="0.25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</row>
    <row r="142" spans="1:27" x14ac:dyDescent="0.25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</row>
    <row r="143" spans="1:27" x14ac:dyDescent="0.25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</row>
    <row r="144" spans="1:27" x14ac:dyDescent="0.25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  <c r="AA144" s="16"/>
    </row>
    <row r="145" spans="1:27" x14ac:dyDescent="0.25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</row>
    <row r="146" spans="1:27" x14ac:dyDescent="0.25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</row>
    <row r="147" spans="1:27" x14ac:dyDescent="0.25">
      <c r="A147" s="16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</row>
    <row r="148" spans="1:27" x14ac:dyDescent="0.25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</row>
    <row r="149" spans="1:27" x14ac:dyDescent="0.25">
      <c r="A149" s="16"/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  <c r="AA149" s="16"/>
    </row>
    <row r="150" spans="1:27" x14ac:dyDescent="0.25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</row>
    <row r="151" spans="1:27" x14ac:dyDescent="0.25">
      <c r="A151" s="16"/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</row>
    <row r="152" spans="1:27" x14ac:dyDescent="0.25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</row>
    <row r="153" spans="1:27" x14ac:dyDescent="0.25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</row>
    <row r="154" spans="1:27" x14ac:dyDescent="0.25">
      <c r="A154" s="16"/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</row>
    <row r="155" spans="1:27" x14ac:dyDescent="0.25">
      <c r="A155" s="16"/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  <c r="AA155" s="16"/>
    </row>
    <row r="156" spans="1:27" x14ac:dyDescent="0.25">
      <c r="A156" s="16"/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</row>
    <row r="157" spans="1:27" x14ac:dyDescent="0.25">
      <c r="A157" s="16"/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</row>
    <row r="158" spans="1:27" x14ac:dyDescent="0.25">
      <c r="A158" s="16"/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  <c r="AA158" s="16"/>
    </row>
    <row r="159" spans="1:27" x14ac:dyDescent="0.25">
      <c r="A159" s="16"/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  <c r="AA159" s="16"/>
    </row>
    <row r="160" spans="1:27" x14ac:dyDescent="0.25">
      <c r="A160" s="16"/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/>
    </row>
    <row r="161" spans="1:27" x14ac:dyDescent="0.25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  <c r="AA161" s="16"/>
    </row>
    <row r="162" spans="1:27" x14ac:dyDescent="0.25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</row>
    <row r="163" spans="1:27" x14ac:dyDescent="0.25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</row>
    <row r="164" spans="1:27" x14ac:dyDescent="0.25">
      <c r="A164" s="16"/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</row>
    <row r="165" spans="1:27" x14ac:dyDescent="0.25">
      <c r="A165" s="16"/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  <c r="AA165" s="16"/>
    </row>
    <row r="166" spans="1:27" x14ac:dyDescent="0.25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</row>
    <row r="167" spans="1:27" x14ac:dyDescent="0.25">
      <c r="A167" s="16"/>
      <c r="B167" s="16"/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</row>
    <row r="168" spans="1:27" x14ac:dyDescent="0.25">
      <c r="A168" s="16"/>
      <c r="B168" s="16"/>
      <c r="C168" s="16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  <c r="AA168" s="16"/>
    </row>
    <row r="169" spans="1:27" x14ac:dyDescent="0.25">
      <c r="A169" s="16"/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</row>
    <row r="170" spans="1:27" x14ac:dyDescent="0.25">
      <c r="A170" s="16"/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  <c r="AA170" s="16"/>
    </row>
    <row r="171" spans="1:27" x14ac:dyDescent="0.25">
      <c r="A171" s="16"/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  <c r="AA171" s="16"/>
    </row>
    <row r="172" spans="1:27" x14ac:dyDescent="0.25">
      <c r="A172" s="16"/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</row>
    <row r="173" spans="1:27" x14ac:dyDescent="0.25">
      <c r="A173" s="16"/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  <c r="AA173" s="16"/>
    </row>
    <row r="174" spans="1:27" x14ac:dyDescent="0.25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</row>
    <row r="175" spans="1:27" x14ac:dyDescent="0.25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  <c r="AA175" s="16"/>
    </row>
    <row r="176" spans="1:27" x14ac:dyDescent="0.25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</row>
    <row r="177" spans="1:27" x14ac:dyDescent="0.25">
      <c r="A177" s="16"/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</row>
    <row r="178" spans="1:27" x14ac:dyDescent="0.25">
      <c r="A178" s="16"/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</row>
    <row r="179" spans="1:27" x14ac:dyDescent="0.25">
      <c r="A179" s="16"/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</row>
    <row r="180" spans="1:27" x14ac:dyDescent="0.25">
      <c r="A180" s="16"/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  <c r="AA180" s="16"/>
    </row>
    <row r="181" spans="1:27" x14ac:dyDescent="0.25">
      <c r="A181" s="16"/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</row>
    <row r="182" spans="1:27" x14ac:dyDescent="0.25">
      <c r="A182" s="16"/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</row>
    <row r="183" spans="1:27" x14ac:dyDescent="0.25">
      <c r="A183" s="16"/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</row>
    <row r="184" spans="1:27" x14ac:dyDescent="0.25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</row>
    <row r="185" spans="1:27" x14ac:dyDescent="0.25">
      <c r="A185" s="16"/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</row>
    <row r="186" spans="1:27" x14ac:dyDescent="0.25">
      <c r="A186" s="16"/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  <c r="AA186" s="16"/>
    </row>
    <row r="187" spans="1:27" x14ac:dyDescent="0.25">
      <c r="A187" s="16"/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</row>
    <row r="188" spans="1:27" x14ac:dyDescent="0.25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  <c r="AA188" s="16"/>
    </row>
    <row r="189" spans="1:27" x14ac:dyDescent="0.25">
      <c r="A189" s="16"/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</row>
    <row r="190" spans="1:27" x14ac:dyDescent="0.25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</row>
    <row r="191" spans="1:27" x14ac:dyDescent="0.25">
      <c r="A191" s="16"/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</row>
    <row r="192" spans="1:27" x14ac:dyDescent="0.25">
      <c r="A192" s="16"/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  <c r="AA192" s="16"/>
    </row>
    <row r="193" spans="1:27" x14ac:dyDescent="0.25">
      <c r="A193" s="16"/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</row>
    <row r="194" spans="1:27" x14ac:dyDescent="0.25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  <c r="AA194" s="16"/>
    </row>
    <row r="195" spans="1:27" x14ac:dyDescent="0.25">
      <c r="A195" s="16"/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</row>
    <row r="196" spans="1:27" x14ac:dyDescent="0.25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</row>
    <row r="197" spans="1:27" x14ac:dyDescent="0.25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</row>
    <row r="198" spans="1:27" x14ac:dyDescent="0.25">
      <c r="A198" s="16"/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  <c r="AA198" s="16"/>
    </row>
    <row r="199" spans="1:27" x14ac:dyDescent="0.25">
      <c r="A199" s="16"/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</row>
    <row r="200" spans="1:27" x14ac:dyDescent="0.25">
      <c r="A200" s="16"/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  <c r="AA200" s="16"/>
    </row>
    <row r="201" spans="1:27" x14ac:dyDescent="0.25">
      <c r="A201" s="16"/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</row>
    <row r="202" spans="1:27" x14ac:dyDescent="0.25">
      <c r="A202" s="16"/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</row>
    <row r="203" spans="1:27" x14ac:dyDescent="0.25">
      <c r="A203" s="16"/>
      <c r="B203" s="16"/>
      <c r="C203" s="16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</row>
    <row r="204" spans="1:27" x14ac:dyDescent="0.25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</row>
    <row r="205" spans="1:27" x14ac:dyDescent="0.25">
      <c r="A205" s="16"/>
      <c r="B205" s="16"/>
      <c r="C205" s="16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</row>
    <row r="206" spans="1:27" x14ac:dyDescent="0.25">
      <c r="A206" s="16"/>
      <c r="B206" s="16"/>
      <c r="C206" s="16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  <c r="AA206" s="16"/>
    </row>
    <row r="207" spans="1:27" x14ac:dyDescent="0.25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</row>
    <row r="208" spans="1:27" x14ac:dyDescent="0.25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</row>
    <row r="209" spans="1:27" x14ac:dyDescent="0.25">
      <c r="A209" s="16"/>
      <c r="B209" s="16"/>
      <c r="C209" s="16"/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</row>
    <row r="210" spans="1:27" x14ac:dyDescent="0.25">
      <c r="A210" s="16"/>
      <c r="B210" s="16"/>
      <c r="C210" s="16"/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  <c r="AA210" s="16"/>
    </row>
    <row r="211" spans="1:27" x14ac:dyDescent="0.25">
      <c r="A211" s="16"/>
      <c r="B211" s="16"/>
      <c r="C211" s="16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</row>
    <row r="212" spans="1:27" x14ac:dyDescent="0.25">
      <c r="A212" s="16"/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  <c r="AA212" s="16"/>
    </row>
    <row r="213" spans="1:27" x14ac:dyDescent="0.25">
      <c r="A213" s="16"/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</row>
    <row r="214" spans="1:27" x14ac:dyDescent="0.25">
      <c r="A214" s="16"/>
      <c r="B214" s="16"/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</row>
    <row r="215" spans="1:27" x14ac:dyDescent="0.25">
      <c r="A215" s="16"/>
      <c r="B215" s="16"/>
      <c r="C215" s="16"/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</row>
    <row r="216" spans="1:27" x14ac:dyDescent="0.25">
      <c r="A216" s="16"/>
      <c r="B216" s="16"/>
      <c r="C216" s="16"/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  <c r="AA216" s="16"/>
    </row>
    <row r="217" spans="1:27" x14ac:dyDescent="0.25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</row>
    <row r="218" spans="1:27" x14ac:dyDescent="0.25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  <c r="AA218" s="16"/>
    </row>
    <row r="219" spans="1:27" x14ac:dyDescent="0.25">
      <c r="A219" s="16"/>
      <c r="B219" s="16"/>
      <c r="C219" s="16"/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  <c r="AA219" s="16"/>
    </row>
    <row r="220" spans="1:27" x14ac:dyDescent="0.25">
      <c r="A220" s="16"/>
      <c r="B220" s="16"/>
      <c r="C220" s="16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  <c r="AA220" s="16"/>
    </row>
    <row r="221" spans="1:27" x14ac:dyDescent="0.25">
      <c r="A221" s="16"/>
      <c r="B221" s="16"/>
      <c r="C221" s="16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  <c r="AA221" s="16"/>
    </row>
    <row r="222" spans="1:27" x14ac:dyDescent="0.25">
      <c r="A222" s="16"/>
      <c r="B222" s="16"/>
      <c r="C222" s="16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</row>
    <row r="223" spans="1:27" x14ac:dyDescent="0.25">
      <c r="A223" s="16"/>
      <c r="B223" s="16"/>
      <c r="C223" s="16"/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  <c r="AA223" s="16"/>
    </row>
    <row r="224" spans="1:27" x14ac:dyDescent="0.25">
      <c r="A224" s="16"/>
      <c r="B224" s="16"/>
      <c r="C224" s="16"/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  <c r="AA224" s="16"/>
    </row>
    <row r="225" spans="1:27" x14ac:dyDescent="0.25">
      <c r="A225" s="16"/>
      <c r="B225" s="16"/>
      <c r="C225" s="16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  <c r="AA225" s="16"/>
    </row>
    <row r="226" spans="1:27" x14ac:dyDescent="0.25">
      <c r="A226" s="16"/>
      <c r="B226" s="16"/>
      <c r="C226" s="16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</row>
    <row r="227" spans="1:27" x14ac:dyDescent="0.25">
      <c r="A227" s="16"/>
      <c r="B227" s="16"/>
      <c r="C227" s="16"/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</row>
    <row r="228" spans="1:27" x14ac:dyDescent="0.25">
      <c r="A228" s="16"/>
      <c r="B228" s="16"/>
      <c r="C228" s="16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  <c r="AA228" s="16"/>
    </row>
    <row r="229" spans="1:27" x14ac:dyDescent="0.25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/>
    </row>
    <row r="230" spans="1:27" x14ac:dyDescent="0.25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</row>
    <row r="231" spans="1:27" x14ac:dyDescent="0.25">
      <c r="A231" s="16"/>
      <c r="B231" s="16"/>
      <c r="C231" s="16"/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  <c r="AA231" s="16"/>
    </row>
    <row r="232" spans="1:27" x14ac:dyDescent="0.25">
      <c r="A232" s="16"/>
      <c r="B232" s="16"/>
      <c r="C232" s="16"/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  <c r="AA232" s="16"/>
    </row>
    <row r="233" spans="1:27" x14ac:dyDescent="0.25">
      <c r="A233" s="16"/>
      <c r="B233" s="16"/>
      <c r="C233" s="16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  <c r="AA233" s="16"/>
    </row>
    <row r="234" spans="1:27" x14ac:dyDescent="0.25">
      <c r="A234" s="16"/>
      <c r="B234" s="16"/>
      <c r="C234" s="16"/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  <c r="AA234" s="16"/>
    </row>
    <row r="235" spans="1:27" x14ac:dyDescent="0.25">
      <c r="A235" s="16"/>
      <c r="B235" s="16"/>
      <c r="C235" s="16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  <c r="AA235" s="16"/>
    </row>
    <row r="236" spans="1:27" x14ac:dyDescent="0.25">
      <c r="A236" s="16"/>
      <c r="B236" s="16"/>
      <c r="C236" s="16"/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  <c r="AA236" s="16"/>
    </row>
    <row r="237" spans="1:27" x14ac:dyDescent="0.25">
      <c r="A237" s="16"/>
      <c r="B237" s="16"/>
      <c r="C237" s="16"/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  <c r="AA237" s="16"/>
    </row>
    <row r="238" spans="1:27" x14ac:dyDescent="0.25">
      <c r="A238" s="16"/>
      <c r="B238" s="16"/>
      <c r="C238" s="16"/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  <c r="AA238" s="16"/>
    </row>
    <row r="239" spans="1:27" x14ac:dyDescent="0.25">
      <c r="A239" s="16"/>
      <c r="B239" s="16"/>
      <c r="C239" s="16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  <c r="AA239" s="16"/>
    </row>
    <row r="240" spans="1:27" x14ac:dyDescent="0.25">
      <c r="A240" s="16"/>
      <c r="B240" s="16"/>
      <c r="C240" s="16"/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  <c r="AA240" s="16"/>
    </row>
    <row r="241" spans="1:27" x14ac:dyDescent="0.25">
      <c r="A241" s="16"/>
      <c r="B241" s="16"/>
      <c r="C241" s="16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</row>
    <row r="242" spans="1:27" x14ac:dyDescent="0.25">
      <c r="A242" s="16"/>
      <c r="B242" s="16"/>
      <c r="C242" s="16"/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  <c r="AA242" s="16"/>
    </row>
    <row r="243" spans="1:27" x14ac:dyDescent="0.25">
      <c r="A243" s="16"/>
      <c r="B243" s="16"/>
      <c r="C243" s="16"/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  <c r="AA243" s="16"/>
    </row>
    <row r="244" spans="1:27" x14ac:dyDescent="0.25">
      <c r="A244" s="16"/>
      <c r="B244" s="16"/>
      <c r="C244" s="16"/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</row>
    <row r="245" spans="1:27" x14ac:dyDescent="0.25">
      <c r="A245" s="16"/>
      <c r="B245" s="16"/>
      <c r="C245" s="16"/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  <c r="AA245" s="16"/>
    </row>
    <row r="246" spans="1:27" x14ac:dyDescent="0.25">
      <c r="A246" s="16"/>
      <c r="B246" s="16"/>
      <c r="C246" s="16"/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  <c r="AA246" s="16"/>
    </row>
    <row r="247" spans="1:27" x14ac:dyDescent="0.25">
      <c r="A247" s="16"/>
      <c r="B247" s="16"/>
      <c r="C247" s="16"/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  <c r="AA247" s="16"/>
    </row>
    <row r="248" spans="1:27" x14ac:dyDescent="0.25">
      <c r="A248" s="16"/>
      <c r="B248" s="16"/>
      <c r="C248" s="16"/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  <c r="AA248" s="16"/>
    </row>
    <row r="249" spans="1:27" x14ac:dyDescent="0.25">
      <c r="A249" s="16"/>
      <c r="B249" s="16"/>
      <c r="C249" s="16"/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  <c r="AA249" s="16"/>
    </row>
    <row r="250" spans="1:27" x14ac:dyDescent="0.25">
      <c r="A250" s="16"/>
      <c r="B250" s="16"/>
      <c r="C250" s="16"/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  <c r="AA250" s="16"/>
    </row>
    <row r="251" spans="1:27" x14ac:dyDescent="0.25">
      <c r="A251" s="16"/>
      <c r="B251" s="16"/>
      <c r="C251" s="16"/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  <c r="AA251" s="16"/>
    </row>
    <row r="252" spans="1:27" x14ac:dyDescent="0.25">
      <c r="A252" s="16"/>
      <c r="B252" s="16"/>
      <c r="C252" s="16"/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  <c r="AA252" s="16"/>
    </row>
    <row r="253" spans="1:27" x14ac:dyDescent="0.25">
      <c r="A253" s="16"/>
      <c r="B253" s="16"/>
      <c r="C253" s="16"/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  <c r="AA253" s="16"/>
    </row>
    <row r="254" spans="1:27" x14ac:dyDescent="0.25">
      <c r="A254" s="16"/>
      <c r="B254" s="16"/>
      <c r="C254" s="16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</row>
    <row r="255" spans="1:27" x14ac:dyDescent="0.25">
      <c r="A255" s="16"/>
      <c r="B255" s="16"/>
      <c r="C255" s="16"/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  <c r="AA255" s="16"/>
    </row>
    <row r="256" spans="1:27" x14ac:dyDescent="0.25">
      <c r="A256" s="16"/>
      <c r="B256" s="16"/>
      <c r="C256" s="16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  <c r="AA256" s="16"/>
    </row>
    <row r="257" spans="1:27" x14ac:dyDescent="0.25">
      <c r="A257" s="16"/>
      <c r="B257" s="16"/>
      <c r="C257" s="16"/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  <c r="AA257" s="16"/>
    </row>
    <row r="258" spans="1:27" x14ac:dyDescent="0.25">
      <c r="A258" s="16"/>
      <c r="B258" s="16"/>
      <c r="C258" s="16"/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  <c r="AA258" s="16"/>
    </row>
    <row r="259" spans="1:27" x14ac:dyDescent="0.25">
      <c r="A259" s="16"/>
      <c r="B259" s="16"/>
      <c r="C259" s="16"/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  <c r="AA259" s="16"/>
    </row>
    <row r="260" spans="1:27" x14ac:dyDescent="0.25">
      <c r="A260" s="16"/>
      <c r="B260" s="16"/>
      <c r="C260" s="16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  <c r="AA260" s="16"/>
    </row>
    <row r="261" spans="1:27" x14ac:dyDescent="0.25">
      <c r="A261" s="16"/>
      <c r="B261" s="16"/>
      <c r="C261" s="16"/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</row>
    <row r="262" spans="1:27" x14ac:dyDescent="0.25">
      <c r="A262" s="16"/>
      <c r="B262" s="16"/>
      <c r="C262" s="16"/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  <c r="AA262" s="16"/>
    </row>
    <row r="263" spans="1:27" x14ac:dyDescent="0.25">
      <c r="A263" s="16"/>
      <c r="B263" s="16"/>
      <c r="C263" s="16"/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  <c r="AA263" s="16"/>
    </row>
    <row r="264" spans="1:27" x14ac:dyDescent="0.25">
      <c r="A264" s="16"/>
      <c r="B264" s="16"/>
      <c r="C264" s="16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  <c r="AA264" s="16"/>
    </row>
    <row r="265" spans="1:27" x14ac:dyDescent="0.25">
      <c r="A265" s="16"/>
      <c r="B265" s="16"/>
      <c r="C265" s="16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</row>
    <row r="266" spans="1:27" x14ac:dyDescent="0.25">
      <c r="A266" s="16"/>
      <c r="B266" s="16"/>
      <c r="C266" s="16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  <c r="AA266" s="16"/>
    </row>
    <row r="267" spans="1:27" x14ac:dyDescent="0.25">
      <c r="A267" s="16"/>
      <c r="B267" s="16"/>
      <c r="C267" s="16"/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  <c r="AA267" s="16"/>
    </row>
    <row r="268" spans="1:27" x14ac:dyDescent="0.25">
      <c r="A268" s="16"/>
      <c r="B268" s="16"/>
      <c r="C268" s="16"/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  <c r="AA268" s="16"/>
    </row>
    <row r="269" spans="1:27" x14ac:dyDescent="0.25">
      <c r="A269" s="16"/>
      <c r="B269" s="16"/>
      <c r="C269" s="16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</row>
    <row r="270" spans="1:27" x14ac:dyDescent="0.25">
      <c r="A270" s="16"/>
      <c r="B270" s="16"/>
      <c r="C270" s="16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</row>
    <row r="271" spans="1:27" x14ac:dyDescent="0.25">
      <c r="A271" s="16"/>
      <c r="B271" s="16"/>
      <c r="C271" s="16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</row>
    <row r="272" spans="1:27" x14ac:dyDescent="0.25">
      <c r="A272" s="16"/>
      <c r="B272" s="16"/>
      <c r="C272" s="16"/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</row>
    <row r="273" spans="1:27" x14ac:dyDescent="0.25">
      <c r="A273" s="16"/>
      <c r="B273" s="16"/>
      <c r="C273" s="16"/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</row>
    <row r="274" spans="1:27" x14ac:dyDescent="0.25">
      <c r="A274" s="16"/>
      <c r="B274" s="16"/>
      <c r="C274" s="16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</row>
    <row r="275" spans="1:27" x14ac:dyDescent="0.25">
      <c r="A275" s="16"/>
      <c r="B275" s="16"/>
      <c r="C275" s="16"/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</row>
    <row r="276" spans="1:27" x14ac:dyDescent="0.25">
      <c r="A276" s="16"/>
      <c r="B276" s="16"/>
      <c r="C276" s="16"/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</row>
    <row r="277" spans="1:27" x14ac:dyDescent="0.25">
      <c r="A277" s="16"/>
      <c r="B277" s="16"/>
      <c r="C277" s="16"/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</row>
    <row r="278" spans="1:27" x14ac:dyDescent="0.25">
      <c r="A278" s="16"/>
      <c r="B278" s="16"/>
      <c r="C278" s="16"/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</row>
    <row r="279" spans="1:27" x14ac:dyDescent="0.25">
      <c r="A279" s="16"/>
      <c r="B279" s="16"/>
      <c r="C279" s="16"/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</row>
    <row r="280" spans="1:27" x14ac:dyDescent="0.25">
      <c r="A280" s="16"/>
      <c r="B280" s="16"/>
      <c r="C280" s="16"/>
      <c r="D280" s="16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</row>
    <row r="281" spans="1:27" x14ac:dyDescent="0.25">
      <c r="A281" s="16"/>
      <c r="B281" s="16"/>
      <c r="C281" s="16"/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</row>
    <row r="282" spans="1:27" x14ac:dyDescent="0.25">
      <c r="A282" s="16"/>
      <c r="B282" s="16"/>
      <c r="C282" s="16"/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  <c r="AA282" s="16"/>
    </row>
    <row r="283" spans="1:27" x14ac:dyDescent="0.25">
      <c r="A283" s="16"/>
      <c r="B283" s="16"/>
      <c r="C283" s="16"/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</row>
    <row r="284" spans="1:27" x14ac:dyDescent="0.25">
      <c r="A284" s="16"/>
      <c r="B284" s="16"/>
      <c r="C284" s="16"/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  <c r="AA284" s="16"/>
    </row>
    <row r="285" spans="1:27" x14ac:dyDescent="0.25">
      <c r="A285" s="16"/>
      <c r="B285" s="16"/>
      <c r="C285" s="16"/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</row>
    <row r="286" spans="1:27" x14ac:dyDescent="0.25">
      <c r="A286" s="16"/>
      <c r="B286" s="16"/>
      <c r="C286" s="16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  <c r="AA286" s="16"/>
    </row>
    <row r="287" spans="1:27" x14ac:dyDescent="0.25">
      <c r="A287" s="16"/>
      <c r="B287" s="16"/>
      <c r="C287" s="16"/>
      <c r="D287" s="16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  <c r="AA287" s="16"/>
    </row>
    <row r="288" spans="1:27" x14ac:dyDescent="0.25">
      <c r="A288" s="16"/>
      <c r="B288" s="16"/>
      <c r="C288" s="16"/>
      <c r="D288" s="16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  <c r="AA288" s="16"/>
    </row>
    <row r="289" spans="1:27" x14ac:dyDescent="0.25">
      <c r="A289" s="16"/>
      <c r="B289" s="16"/>
      <c r="C289" s="16"/>
      <c r="D289" s="16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  <c r="AA289" s="16"/>
    </row>
    <row r="290" spans="1:27" x14ac:dyDescent="0.25">
      <c r="A290" s="16"/>
      <c r="B290" s="16"/>
      <c r="C290" s="16"/>
      <c r="D290" s="16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  <c r="AA290" s="16"/>
    </row>
    <row r="291" spans="1:27" x14ac:dyDescent="0.25">
      <c r="A291" s="16"/>
      <c r="B291" s="16"/>
      <c r="C291" s="16"/>
      <c r="D291" s="16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  <c r="AA291" s="16"/>
    </row>
    <row r="292" spans="1:27" x14ac:dyDescent="0.25">
      <c r="A292" s="16"/>
      <c r="B292" s="16"/>
      <c r="C292" s="16"/>
      <c r="D292" s="16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  <c r="AA292" s="16"/>
    </row>
    <row r="293" spans="1:27" x14ac:dyDescent="0.25">
      <c r="A293" s="16"/>
      <c r="B293" s="16"/>
      <c r="C293" s="16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  <c r="AA293" s="16"/>
    </row>
    <row r="294" spans="1:27" x14ac:dyDescent="0.25">
      <c r="A294" s="16"/>
      <c r="B294" s="16"/>
      <c r="C294" s="16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</row>
    <row r="295" spans="1:27" x14ac:dyDescent="0.25">
      <c r="A295" s="16"/>
      <c r="B295" s="16"/>
      <c r="C295" s="16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  <c r="AA295" s="16"/>
    </row>
    <row r="296" spans="1:27" x14ac:dyDescent="0.25">
      <c r="A296" s="16"/>
      <c r="B296" s="16"/>
      <c r="C296" s="16"/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  <c r="AA296" s="16"/>
    </row>
    <row r="297" spans="1:27" x14ac:dyDescent="0.25">
      <c r="A297" s="16"/>
      <c r="B297" s="16"/>
      <c r="C297" s="16"/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  <c r="AA297" s="16"/>
    </row>
    <row r="298" spans="1:27" x14ac:dyDescent="0.25">
      <c r="A298" s="16"/>
      <c r="B298" s="16"/>
      <c r="C298" s="16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  <c r="AA298" s="16"/>
    </row>
    <row r="299" spans="1:27" x14ac:dyDescent="0.25">
      <c r="A299" s="16"/>
      <c r="B299" s="16"/>
      <c r="C299" s="16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  <c r="AA299" s="16"/>
    </row>
    <row r="300" spans="1:27" x14ac:dyDescent="0.25">
      <c r="A300" s="16"/>
      <c r="B300" s="16"/>
      <c r="C300" s="16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  <c r="AA300" s="16"/>
    </row>
    <row r="301" spans="1:27" x14ac:dyDescent="0.25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  <c r="AA301" s="16"/>
    </row>
    <row r="302" spans="1:27" x14ac:dyDescent="0.25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  <c r="AA302" s="16"/>
    </row>
    <row r="303" spans="1:27" x14ac:dyDescent="0.25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  <c r="AA303" s="16"/>
    </row>
    <row r="304" spans="1:27" x14ac:dyDescent="0.25">
      <c r="A304" s="16"/>
      <c r="B304" s="16"/>
      <c r="C304" s="16"/>
      <c r="D304" s="16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  <c r="AA304" s="16"/>
    </row>
    <row r="305" spans="1:27" x14ac:dyDescent="0.25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  <c r="AA305" s="16"/>
    </row>
    <row r="306" spans="1:27" x14ac:dyDescent="0.25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</row>
    <row r="307" spans="1:27" x14ac:dyDescent="0.25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  <c r="AA307" s="16"/>
    </row>
    <row r="308" spans="1:27" x14ac:dyDescent="0.25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  <c r="AA308" s="16"/>
    </row>
    <row r="309" spans="1:27" x14ac:dyDescent="0.25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  <c r="AA309" s="16"/>
    </row>
    <row r="310" spans="1:27" x14ac:dyDescent="0.25">
      <c r="A310" s="16"/>
      <c r="B310" s="16"/>
      <c r="C310" s="16"/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  <c r="AA310" s="16"/>
    </row>
    <row r="311" spans="1:27" x14ac:dyDescent="0.25">
      <c r="A311" s="16"/>
      <c r="B311" s="16"/>
      <c r="C311" s="16"/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  <c r="AA311" s="16"/>
    </row>
    <row r="312" spans="1:27" x14ac:dyDescent="0.25">
      <c r="A312" s="16"/>
      <c r="B312" s="16"/>
      <c r="C312" s="16"/>
      <c r="D312" s="16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  <c r="AA312" s="16"/>
    </row>
    <row r="313" spans="1:27" x14ac:dyDescent="0.25">
      <c r="A313" s="16"/>
      <c r="B313" s="16"/>
      <c r="C313" s="16"/>
      <c r="D313" s="16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  <c r="AA313" s="16"/>
    </row>
    <row r="314" spans="1:27" x14ac:dyDescent="0.25">
      <c r="A314" s="16"/>
      <c r="B314" s="16"/>
      <c r="C314" s="16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  <c r="AA314" s="16"/>
    </row>
    <row r="315" spans="1:27" x14ac:dyDescent="0.25">
      <c r="A315" s="16"/>
      <c r="B315" s="16"/>
      <c r="C315" s="16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  <c r="AA315" s="16"/>
    </row>
    <row r="316" spans="1:27" x14ac:dyDescent="0.25">
      <c r="A316" s="16"/>
      <c r="B316" s="16"/>
      <c r="C316" s="16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  <c r="AA316" s="16"/>
    </row>
    <row r="317" spans="1:27" x14ac:dyDescent="0.25">
      <c r="A317" s="16"/>
      <c r="B317" s="16"/>
      <c r="C317" s="16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  <c r="AA317" s="16"/>
    </row>
    <row r="318" spans="1:27" x14ac:dyDescent="0.25">
      <c r="A318" s="16"/>
      <c r="B318" s="16"/>
      <c r="C318" s="16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  <c r="AA318" s="16"/>
    </row>
    <row r="319" spans="1:27" x14ac:dyDescent="0.25">
      <c r="A319" s="16"/>
      <c r="B319" s="16"/>
      <c r="C319" s="16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  <c r="AA319" s="16"/>
    </row>
    <row r="320" spans="1:27" x14ac:dyDescent="0.25">
      <c r="A320" s="16"/>
      <c r="B320" s="16"/>
      <c r="C320" s="16"/>
      <c r="D320" s="16"/>
      <c r="E320" s="16"/>
      <c r="F320" s="16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  <c r="AA320" s="16"/>
    </row>
    <row r="321" spans="1:27" x14ac:dyDescent="0.25">
      <c r="A321" s="16"/>
      <c r="B321" s="16"/>
      <c r="C321" s="16"/>
      <c r="D321" s="16"/>
      <c r="E321" s="16"/>
      <c r="F321" s="16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  <c r="AA321" s="16"/>
    </row>
    <row r="322" spans="1:27" x14ac:dyDescent="0.25">
      <c r="A322" s="16"/>
      <c r="B322" s="16"/>
      <c r="C322" s="16"/>
      <c r="D322" s="16"/>
      <c r="E322" s="16"/>
      <c r="F322" s="16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  <c r="AA322" s="16"/>
    </row>
    <row r="323" spans="1:27" x14ac:dyDescent="0.25">
      <c r="A323" s="16"/>
      <c r="B323" s="16"/>
      <c r="C323" s="16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  <c r="AA323" s="16"/>
    </row>
    <row r="324" spans="1:27" x14ac:dyDescent="0.25">
      <c r="A324" s="16"/>
      <c r="B324" s="16"/>
      <c r="C324" s="16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</row>
    <row r="325" spans="1:27" x14ac:dyDescent="0.25">
      <c r="A325" s="16"/>
      <c r="B325" s="16"/>
      <c r="C325" s="16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  <c r="AA325" s="16"/>
    </row>
    <row r="326" spans="1:27" x14ac:dyDescent="0.25">
      <c r="A326" s="16"/>
      <c r="B326" s="16"/>
      <c r="C326" s="16"/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  <c r="AA326" s="16"/>
    </row>
    <row r="327" spans="1:27" x14ac:dyDescent="0.25">
      <c r="A327" s="16"/>
      <c r="B327" s="16"/>
      <c r="C327" s="16"/>
      <c r="D327" s="16"/>
      <c r="E327" s="16"/>
      <c r="F327" s="16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</row>
    <row r="328" spans="1:27" x14ac:dyDescent="0.25">
      <c r="A328" s="16"/>
      <c r="B328" s="16"/>
      <c r="C328" s="16"/>
      <c r="D328" s="16"/>
      <c r="E328" s="16"/>
      <c r="F328" s="16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  <c r="AA328" s="16"/>
    </row>
    <row r="329" spans="1:27" x14ac:dyDescent="0.25">
      <c r="A329" s="16"/>
      <c r="B329" s="16"/>
      <c r="C329" s="16"/>
      <c r="D329" s="16"/>
      <c r="E329" s="16"/>
      <c r="F329" s="16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  <c r="AA329" s="16"/>
    </row>
    <row r="330" spans="1:27" x14ac:dyDescent="0.25">
      <c r="A330" s="16"/>
      <c r="B330" s="16"/>
      <c r="C330" s="16"/>
      <c r="D330" s="16"/>
      <c r="E330" s="16"/>
      <c r="F330" s="16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  <c r="AA330" s="16"/>
    </row>
    <row r="331" spans="1:27" x14ac:dyDescent="0.25">
      <c r="A331" s="16"/>
      <c r="B331" s="16"/>
      <c r="C331" s="16"/>
      <c r="D331" s="16"/>
      <c r="E331" s="16"/>
      <c r="F331" s="16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  <c r="AA331" s="16"/>
    </row>
    <row r="332" spans="1:27" x14ac:dyDescent="0.25">
      <c r="A332" s="16"/>
      <c r="B332" s="16"/>
      <c r="C332" s="16"/>
      <c r="D332" s="16"/>
      <c r="E332" s="16"/>
      <c r="F332" s="16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  <c r="AA332" s="16"/>
    </row>
    <row r="333" spans="1:27" x14ac:dyDescent="0.25">
      <c r="A333" s="16"/>
      <c r="B333" s="16"/>
      <c r="C333" s="16"/>
      <c r="D333" s="16"/>
      <c r="E333" s="16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  <c r="AA333" s="16"/>
    </row>
    <row r="334" spans="1:27" x14ac:dyDescent="0.25">
      <c r="A334" s="16"/>
      <c r="B334" s="16"/>
      <c r="C334" s="16"/>
      <c r="D334" s="16"/>
      <c r="E334" s="16"/>
      <c r="F334" s="16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  <c r="AA334" s="16"/>
    </row>
    <row r="335" spans="1:27" x14ac:dyDescent="0.25">
      <c r="A335" s="16"/>
      <c r="B335" s="16"/>
      <c r="C335" s="16"/>
      <c r="D335" s="16"/>
      <c r="E335" s="16"/>
      <c r="F335" s="16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</row>
    <row r="336" spans="1:27" x14ac:dyDescent="0.25">
      <c r="A336" s="16"/>
      <c r="B336" s="16"/>
      <c r="C336" s="16"/>
      <c r="D336" s="16"/>
      <c r="E336" s="16"/>
      <c r="F336" s="16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  <c r="AA336" s="16"/>
    </row>
    <row r="337" spans="1:27" x14ac:dyDescent="0.25">
      <c r="A337" s="16"/>
      <c r="B337" s="16"/>
      <c r="C337" s="16"/>
      <c r="D337" s="16"/>
      <c r="E337" s="16"/>
      <c r="F337" s="16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  <c r="AA337" s="16"/>
    </row>
    <row r="338" spans="1:27" x14ac:dyDescent="0.25">
      <c r="A338" s="16"/>
      <c r="B338" s="16"/>
      <c r="C338" s="16"/>
      <c r="D338" s="16"/>
      <c r="E338" s="16"/>
      <c r="F338" s="16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  <c r="AA338" s="16"/>
    </row>
    <row r="339" spans="1:27" x14ac:dyDescent="0.25">
      <c r="A339" s="16"/>
      <c r="B339" s="16"/>
      <c r="C339" s="16"/>
      <c r="D339" s="16"/>
      <c r="E339" s="16"/>
      <c r="F339" s="16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</row>
    <row r="340" spans="1:27" x14ac:dyDescent="0.25">
      <c r="A340" s="16"/>
      <c r="B340" s="16"/>
      <c r="C340" s="16"/>
      <c r="D340" s="16"/>
      <c r="E340" s="16"/>
      <c r="F340" s="16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  <c r="AA340" s="16"/>
    </row>
    <row r="341" spans="1:27" x14ac:dyDescent="0.25">
      <c r="A341" s="16"/>
      <c r="B341" s="16"/>
      <c r="C341" s="16"/>
      <c r="D341" s="16"/>
      <c r="E341" s="16"/>
      <c r="F341" s="16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  <c r="AA341" s="16"/>
    </row>
    <row r="342" spans="1:27" x14ac:dyDescent="0.25">
      <c r="A342" s="16"/>
      <c r="B342" s="16"/>
      <c r="C342" s="16"/>
      <c r="D342" s="16"/>
      <c r="E342" s="16"/>
      <c r="F342" s="16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  <c r="AA342" s="16"/>
    </row>
    <row r="343" spans="1:27" x14ac:dyDescent="0.25">
      <c r="A343" s="16"/>
      <c r="B343" s="16"/>
      <c r="C343" s="16"/>
      <c r="D343" s="16"/>
      <c r="E343" s="16"/>
      <c r="F343" s="16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  <c r="AA343" s="16"/>
    </row>
    <row r="344" spans="1:27" x14ac:dyDescent="0.25">
      <c r="A344" s="16"/>
      <c r="B344" s="16"/>
      <c r="C344" s="16"/>
      <c r="D344" s="16"/>
      <c r="E344" s="16"/>
      <c r="F344" s="16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  <c r="AA344" s="16"/>
    </row>
    <row r="345" spans="1:27" x14ac:dyDescent="0.25">
      <c r="A345" s="16"/>
      <c r="B345" s="16"/>
      <c r="C345" s="16"/>
      <c r="D345" s="16"/>
      <c r="E345" s="16"/>
      <c r="F345" s="16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  <c r="AA345" s="16"/>
    </row>
    <row r="346" spans="1:27" x14ac:dyDescent="0.25">
      <c r="A346" s="16"/>
      <c r="B346" s="16"/>
      <c r="C346" s="16"/>
      <c r="D346" s="16"/>
      <c r="E346" s="16"/>
      <c r="F346" s="16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  <c r="AA346" s="16"/>
    </row>
    <row r="347" spans="1:27" x14ac:dyDescent="0.25">
      <c r="A347" s="16"/>
      <c r="B347" s="16"/>
      <c r="C347" s="16"/>
      <c r="D347" s="16"/>
      <c r="E347" s="16"/>
      <c r="F347" s="16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  <c r="AA347" s="16"/>
    </row>
    <row r="348" spans="1:27" x14ac:dyDescent="0.25">
      <c r="A348" s="16"/>
      <c r="B348" s="16"/>
      <c r="C348" s="16"/>
      <c r="D348" s="16"/>
      <c r="E348" s="16"/>
      <c r="F348" s="16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  <c r="AA348" s="16"/>
    </row>
    <row r="349" spans="1:27" x14ac:dyDescent="0.25">
      <c r="A349" s="16"/>
      <c r="B349" s="16"/>
      <c r="C349" s="16"/>
      <c r="D349" s="16"/>
      <c r="E349" s="16"/>
      <c r="F349" s="16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  <c r="AA349" s="16"/>
    </row>
    <row r="350" spans="1:27" x14ac:dyDescent="0.25">
      <c r="A350" s="16"/>
      <c r="B350" s="16"/>
      <c r="C350" s="16"/>
      <c r="D350" s="16"/>
      <c r="E350" s="16"/>
      <c r="F350" s="16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  <c r="AA350" s="16"/>
    </row>
    <row r="351" spans="1:27" x14ac:dyDescent="0.25">
      <c r="A351" s="16"/>
      <c r="B351" s="16"/>
      <c r="C351" s="16"/>
      <c r="D351" s="16"/>
      <c r="E351" s="16"/>
      <c r="F351" s="16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  <c r="AA351" s="16"/>
    </row>
    <row r="352" spans="1:27" x14ac:dyDescent="0.25">
      <c r="A352" s="16"/>
      <c r="B352" s="16"/>
      <c r="C352" s="16"/>
      <c r="D352" s="16"/>
      <c r="E352" s="16"/>
      <c r="F352" s="16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  <c r="AA352" s="16"/>
    </row>
    <row r="353" spans="1:27" x14ac:dyDescent="0.25">
      <c r="A353" s="16"/>
      <c r="B353" s="16"/>
      <c r="C353" s="16"/>
      <c r="D353" s="16"/>
      <c r="E353" s="16"/>
      <c r="F353" s="16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  <c r="AA353" s="16"/>
    </row>
    <row r="354" spans="1:27" x14ac:dyDescent="0.25">
      <c r="A354" s="16"/>
      <c r="B354" s="16"/>
      <c r="C354" s="16"/>
      <c r="D354" s="16"/>
      <c r="E354" s="16"/>
      <c r="F354" s="16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  <c r="AA354" s="16"/>
    </row>
    <row r="355" spans="1:27" x14ac:dyDescent="0.25">
      <c r="A355" s="16"/>
      <c r="B355" s="16"/>
      <c r="C355" s="16"/>
      <c r="D355" s="16"/>
      <c r="E355" s="16"/>
      <c r="F355" s="16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  <c r="AA355" s="16"/>
    </row>
    <row r="356" spans="1:27" x14ac:dyDescent="0.25">
      <c r="A356" s="16"/>
      <c r="B356" s="16"/>
      <c r="C356" s="16"/>
      <c r="D356" s="16"/>
      <c r="E356" s="16"/>
      <c r="F356" s="16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</row>
    <row r="357" spans="1:27" x14ac:dyDescent="0.25">
      <c r="A357" s="16"/>
      <c r="B357" s="16"/>
      <c r="C357" s="16"/>
      <c r="D357" s="16"/>
      <c r="E357" s="16"/>
      <c r="F357" s="16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  <c r="AA357" s="16"/>
    </row>
    <row r="358" spans="1:27" x14ac:dyDescent="0.25">
      <c r="A358" s="16"/>
      <c r="B358" s="16"/>
      <c r="C358" s="16"/>
      <c r="D358" s="16"/>
      <c r="E358" s="16"/>
      <c r="F358" s="16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  <c r="AA358" s="16"/>
    </row>
    <row r="359" spans="1:27" x14ac:dyDescent="0.25">
      <c r="A359" s="16"/>
      <c r="B359" s="16"/>
      <c r="C359" s="16"/>
      <c r="D359" s="16"/>
      <c r="E359" s="16"/>
      <c r="F359" s="16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  <c r="AA359" s="16"/>
    </row>
    <row r="360" spans="1:27" x14ac:dyDescent="0.25">
      <c r="A360" s="16"/>
      <c r="B360" s="16"/>
      <c r="C360" s="16"/>
      <c r="D360" s="16"/>
      <c r="E360" s="16"/>
      <c r="F360" s="16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  <c r="AA360" s="16"/>
    </row>
    <row r="361" spans="1:27" x14ac:dyDescent="0.25">
      <c r="A361" s="16"/>
      <c r="B361" s="16"/>
      <c r="C361" s="16"/>
      <c r="D361" s="16"/>
      <c r="E361" s="16"/>
      <c r="F361" s="16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  <c r="AA361" s="16"/>
    </row>
    <row r="362" spans="1:27" x14ac:dyDescent="0.25">
      <c r="A362" s="16"/>
      <c r="B362" s="16"/>
      <c r="C362" s="16"/>
      <c r="D362" s="16"/>
      <c r="E362" s="16"/>
      <c r="F362" s="16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  <c r="AA362" s="16"/>
    </row>
    <row r="363" spans="1:27" x14ac:dyDescent="0.25">
      <c r="A363" s="16"/>
      <c r="B363" s="16"/>
      <c r="C363" s="16"/>
      <c r="D363" s="16"/>
      <c r="E363" s="16"/>
      <c r="F363" s="16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  <c r="AA363" s="16"/>
    </row>
    <row r="364" spans="1:27" x14ac:dyDescent="0.25">
      <c r="A364" s="16"/>
      <c r="B364" s="16"/>
      <c r="C364" s="16"/>
      <c r="D364" s="16"/>
      <c r="E364" s="16"/>
      <c r="F364" s="16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  <c r="AA364" s="16"/>
    </row>
    <row r="365" spans="1:27" x14ac:dyDescent="0.25">
      <c r="A365" s="16"/>
      <c r="B365" s="16"/>
      <c r="C365" s="16"/>
      <c r="D365" s="16"/>
      <c r="E365" s="16"/>
      <c r="F365" s="16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  <c r="AA365" s="16"/>
    </row>
    <row r="366" spans="1:27" x14ac:dyDescent="0.25">
      <c r="A366" s="16"/>
      <c r="B366" s="16"/>
      <c r="C366" s="16"/>
      <c r="D366" s="16"/>
      <c r="E366" s="16"/>
      <c r="F366" s="16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  <c r="AA366" s="16"/>
    </row>
    <row r="367" spans="1:27" x14ac:dyDescent="0.25">
      <c r="A367" s="16"/>
      <c r="B367" s="16"/>
      <c r="C367" s="16"/>
      <c r="D367" s="16"/>
      <c r="E367" s="16"/>
      <c r="F367" s="16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  <c r="AA367" s="16"/>
    </row>
    <row r="368" spans="1:27" x14ac:dyDescent="0.25">
      <c r="A368" s="16"/>
      <c r="B368" s="16"/>
      <c r="C368" s="16"/>
      <c r="D368" s="16"/>
      <c r="E368" s="16"/>
      <c r="F368" s="16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  <c r="AA368" s="16"/>
    </row>
    <row r="369" spans="1:27" x14ac:dyDescent="0.25">
      <c r="A369" s="16"/>
      <c r="B369" s="16"/>
      <c r="C369" s="16"/>
      <c r="D369" s="16"/>
      <c r="E369" s="16"/>
      <c r="F369" s="16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  <c r="AA369" s="16"/>
    </row>
    <row r="370" spans="1:27" x14ac:dyDescent="0.25">
      <c r="A370" s="16"/>
      <c r="B370" s="16"/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  <c r="AA370" s="16"/>
    </row>
    <row r="371" spans="1:27" x14ac:dyDescent="0.25">
      <c r="A371" s="16"/>
      <c r="B371" s="16"/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  <c r="AA371" s="16"/>
    </row>
    <row r="372" spans="1:27" x14ac:dyDescent="0.25">
      <c r="A372" s="16"/>
      <c r="B372" s="16"/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  <c r="AA372" s="16"/>
    </row>
    <row r="373" spans="1:27" x14ac:dyDescent="0.25">
      <c r="A373" s="16"/>
      <c r="B373" s="16"/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  <c r="AA373" s="16"/>
    </row>
    <row r="374" spans="1:27" x14ac:dyDescent="0.25">
      <c r="A374" s="16"/>
      <c r="B374" s="16"/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  <c r="AA374" s="16"/>
    </row>
    <row r="375" spans="1:27" x14ac:dyDescent="0.25">
      <c r="A375" s="16"/>
      <c r="B375" s="16"/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  <c r="AA375" s="16"/>
    </row>
    <row r="376" spans="1:27" x14ac:dyDescent="0.25">
      <c r="A376" s="16"/>
      <c r="B376" s="16"/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  <c r="AA376" s="16"/>
    </row>
    <row r="377" spans="1:27" x14ac:dyDescent="0.25">
      <c r="A377" s="16"/>
      <c r="B377" s="16"/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  <c r="AA377" s="16"/>
    </row>
    <row r="378" spans="1:27" x14ac:dyDescent="0.25">
      <c r="A378" s="16"/>
      <c r="B378" s="16"/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  <c r="AA378" s="16"/>
    </row>
    <row r="379" spans="1:27" x14ac:dyDescent="0.25">
      <c r="A379" s="16"/>
      <c r="B379" s="16"/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  <c r="AA379" s="16"/>
    </row>
    <row r="380" spans="1:27" x14ac:dyDescent="0.25">
      <c r="A380" s="16"/>
      <c r="B380" s="16"/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  <c r="AA380" s="16"/>
    </row>
    <row r="381" spans="1:27" x14ac:dyDescent="0.25">
      <c r="A381" s="16"/>
      <c r="B381" s="16"/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  <c r="AA381" s="16"/>
    </row>
    <row r="382" spans="1:27" x14ac:dyDescent="0.25">
      <c r="A382" s="16"/>
      <c r="B382" s="16"/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  <c r="AA382" s="16"/>
    </row>
    <row r="383" spans="1:27" x14ac:dyDescent="0.25">
      <c r="A383" s="16"/>
      <c r="B383" s="16"/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  <c r="AA383" s="16"/>
    </row>
    <row r="384" spans="1:27" x14ac:dyDescent="0.25">
      <c r="A384" s="16"/>
      <c r="B384" s="16"/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  <c r="AA384" s="16"/>
    </row>
    <row r="385" spans="1:27" x14ac:dyDescent="0.25">
      <c r="A385" s="16"/>
      <c r="B385" s="16"/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  <c r="AA385" s="16"/>
    </row>
    <row r="386" spans="1:27" x14ac:dyDescent="0.25">
      <c r="A386" s="16"/>
      <c r="B386" s="16"/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  <c r="AA386" s="16"/>
    </row>
    <row r="387" spans="1:27" x14ac:dyDescent="0.25">
      <c r="A387" s="16"/>
      <c r="B387" s="16"/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  <c r="AA387" s="16"/>
    </row>
    <row r="388" spans="1:27" x14ac:dyDescent="0.25">
      <c r="A388" s="16"/>
      <c r="B388" s="16"/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  <c r="AA388" s="16"/>
    </row>
    <row r="389" spans="1:27" x14ac:dyDescent="0.25">
      <c r="A389" s="16"/>
      <c r="B389" s="16"/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  <c r="AA389" s="16"/>
    </row>
    <row r="390" spans="1:27" x14ac:dyDescent="0.25">
      <c r="A390" s="16"/>
      <c r="B390" s="16"/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</row>
    <row r="391" spans="1:27" x14ac:dyDescent="0.25">
      <c r="A391" s="16"/>
      <c r="B391" s="16"/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</row>
    <row r="392" spans="1:27" x14ac:dyDescent="0.25">
      <c r="A392" s="16"/>
      <c r="B392" s="16"/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</row>
    <row r="393" spans="1:27" x14ac:dyDescent="0.25">
      <c r="A393" s="16"/>
      <c r="B393" s="16"/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</row>
    <row r="394" spans="1:27" x14ac:dyDescent="0.25">
      <c r="A394" s="16"/>
      <c r="B394" s="16"/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</row>
    <row r="395" spans="1:27" x14ac:dyDescent="0.25">
      <c r="A395" s="16"/>
      <c r="B395" s="16"/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</row>
    <row r="396" spans="1:27" x14ac:dyDescent="0.25">
      <c r="A396" s="16"/>
      <c r="B396" s="16"/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</row>
    <row r="397" spans="1:27" x14ac:dyDescent="0.25">
      <c r="A397" s="16"/>
      <c r="B397" s="16"/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  <c r="AA397" s="16"/>
    </row>
    <row r="398" spans="1:27" x14ac:dyDescent="0.25">
      <c r="A398" s="16"/>
      <c r="B398" s="16"/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</row>
    <row r="399" spans="1:27" x14ac:dyDescent="0.25">
      <c r="A399" s="16"/>
      <c r="B399" s="16"/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  <c r="AA399" s="16"/>
    </row>
    <row r="400" spans="1:27" x14ac:dyDescent="0.25">
      <c r="A400" s="16"/>
      <c r="B400" s="16"/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</row>
    <row r="401" spans="1:27" x14ac:dyDescent="0.25">
      <c r="A401" s="16"/>
      <c r="B401" s="16"/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  <c r="AA401" s="16"/>
    </row>
    <row r="402" spans="1:27" x14ac:dyDescent="0.25">
      <c r="A402" s="16"/>
      <c r="B402" s="16"/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</row>
    <row r="403" spans="1:27" x14ac:dyDescent="0.25">
      <c r="A403" s="16"/>
      <c r="B403" s="16"/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</row>
    <row r="404" spans="1:27" x14ac:dyDescent="0.25">
      <c r="A404" s="16"/>
      <c r="B404" s="16"/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</row>
    <row r="405" spans="1:27" x14ac:dyDescent="0.25">
      <c r="A405" s="16"/>
      <c r="B405" s="16"/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</row>
    <row r="406" spans="1:27" x14ac:dyDescent="0.25">
      <c r="A406" s="16"/>
      <c r="B406" s="16"/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</row>
    <row r="407" spans="1:27" x14ac:dyDescent="0.25">
      <c r="A407" s="16"/>
      <c r="B407" s="16"/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</row>
    <row r="408" spans="1:27" x14ac:dyDescent="0.25">
      <c r="A408" s="16"/>
      <c r="B408" s="16"/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</row>
    <row r="409" spans="1:27" x14ac:dyDescent="0.25">
      <c r="A409" s="16"/>
      <c r="B409" s="16"/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</row>
    <row r="410" spans="1:27" x14ac:dyDescent="0.25">
      <c r="A410" s="16"/>
      <c r="B410" s="16"/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</row>
    <row r="411" spans="1:27" x14ac:dyDescent="0.25">
      <c r="A411" s="16"/>
      <c r="B411" s="16"/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</row>
    <row r="412" spans="1:27" x14ac:dyDescent="0.25">
      <c r="A412" s="16"/>
      <c r="B412" s="16"/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  <c r="AA412" s="16"/>
    </row>
    <row r="413" spans="1:27" x14ac:dyDescent="0.25">
      <c r="A413" s="16"/>
      <c r="B413" s="16"/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  <c r="AA413" s="16"/>
    </row>
    <row r="414" spans="1:27" x14ac:dyDescent="0.25">
      <c r="A414" s="16"/>
      <c r="B414" s="16"/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  <c r="AA414" s="16"/>
    </row>
    <row r="415" spans="1:27" x14ac:dyDescent="0.25">
      <c r="A415" s="16"/>
      <c r="B415" s="16"/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  <c r="AA415" s="16"/>
    </row>
    <row r="416" spans="1:27" x14ac:dyDescent="0.25">
      <c r="A416" s="16"/>
      <c r="B416" s="16"/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</row>
    <row r="417" spans="1:27" x14ac:dyDescent="0.25">
      <c r="A417" s="16"/>
      <c r="B417" s="16"/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  <c r="AA417" s="16"/>
    </row>
    <row r="418" spans="1:27" x14ac:dyDescent="0.25">
      <c r="A418" s="16"/>
      <c r="B418" s="16"/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  <c r="AA418" s="16"/>
    </row>
    <row r="419" spans="1:27" x14ac:dyDescent="0.25">
      <c r="A419" s="16"/>
      <c r="B419" s="16"/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  <c r="AA419" s="16"/>
    </row>
    <row r="420" spans="1:27" x14ac:dyDescent="0.25">
      <c r="A420" s="16"/>
      <c r="B420" s="16"/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</row>
    <row r="421" spans="1:27" x14ac:dyDescent="0.25">
      <c r="A421" s="16"/>
      <c r="B421" s="16"/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  <c r="AA421" s="16"/>
    </row>
    <row r="422" spans="1:27" x14ac:dyDescent="0.25">
      <c r="A422" s="16"/>
      <c r="B422" s="16"/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</row>
    <row r="423" spans="1:27" x14ac:dyDescent="0.25">
      <c r="A423" s="16"/>
      <c r="B423" s="16"/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  <c r="AA423" s="16"/>
    </row>
    <row r="424" spans="1:27" x14ac:dyDescent="0.25">
      <c r="A424" s="16"/>
      <c r="B424" s="16"/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  <c r="AA424" s="16"/>
    </row>
    <row r="425" spans="1:27" x14ac:dyDescent="0.25">
      <c r="A425" s="16"/>
      <c r="B425" s="16"/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  <c r="AA425" s="16"/>
    </row>
    <row r="426" spans="1:27" x14ac:dyDescent="0.25">
      <c r="A426" s="16"/>
      <c r="B426" s="16"/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</row>
    <row r="427" spans="1:27" x14ac:dyDescent="0.25">
      <c r="A427" s="16"/>
      <c r="B427" s="16"/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  <c r="AA427" s="16"/>
    </row>
    <row r="428" spans="1:27" x14ac:dyDescent="0.25">
      <c r="A428" s="16"/>
      <c r="B428" s="16"/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  <c r="AA428" s="16"/>
    </row>
    <row r="429" spans="1:27" x14ac:dyDescent="0.25">
      <c r="A429" s="16"/>
      <c r="B429" s="16"/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  <c r="AA429" s="16"/>
    </row>
    <row r="430" spans="1:27" x14ac:dyDescent="0.25">
      <c r="A430" s="16"/>
      <c r="B430" s="16"/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</row>
    <row r="431" spans="1:27" x14ac:dyDescent="0.25">
      <c r="A431" s="16"/>
      <c r="B431" s="16"/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  <c r="AA431" s="16"/>
    </row>
    <row r="432" spans="1:27" x14ac:dyDescent="0.25">
      <c r="A432" s="16"/>
      <c r="B432" s="16"/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</row>
    <row r="433" spans="1:27" x14ac:dyDescent="0.25">
      <c r="A433" s="16"/>
      <c r="B433" s="16"/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  <c r="AA433" s="16"/>
    </row>
    <row r="434" spans="1:27" x14ac:dyDescent="0.25">
      <c r="A434" s="16"/>
      <c r="B434" s="16"/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  <c r="AA434" s="16"/>
    </row>
    <row r="435" spans="1:27" x14ac:dyDescent="0.25">
      <c r="A435" s="16"/>
      <c r="B435" s="16"/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  <c r="AA435" s="16"/>
    </row>
    <row r="436" spans="1:27" x14ac:dyDescent="0.25">
      <c r="A436" s="16"/>
      <c r="B436" s="16"/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  <c r="AA436" s="16"/>
    </row>
    <row r="437" spans="1:27" x14ac:dyDescent="0.25">
      <c r="A437" s="16"/>
      <c r="B437" s="16"/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</row>
    <row r="438" spans="1:27" x14ac:dyDescent="0.25">
      <c r="A438" s="16"/>
      <c r="B438" s="16"/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  <c r="AA438" s="16"/>
    </row>
    <row r="439" spans="1:27" x14ac:dyDescent="0.25">
      <c r="A439" s="16"/>
      <c r="B439" s="16"/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  <c r="AA439" s="16"/>
    </row>
    <row r="440" spans="1:27" x14ac:dyDescent="0.25">
      <c r="A440" s="16"/>
      <c r="B440" s="16"/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  <c r="AA440" s="16"/>
    </row>
    <row r="441" spans="1:27" x14ac:dyDescent="0.25">
      <c r="A441" s="16"/>
      <c r="B441" s="16"/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</row>
    <row r="442" spans="1:27" x14ac:dyDescent="0.25">
      <c r="A442" s="16"/>
      <c r="B442" s="16"/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  <c r="AA442" s="16"/>
    </row>
    <row r="443" spans="1:27" x14ac:dyDescent="0.25">
      <c r="A443" s="16"/>
      <c r="B443" s="16"/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  <c r="AA443" s="16"/>
    </row>
    <row r="444" spans="1:27" x14ac:dyDescent="0.25">
      <c r="A444" s="16"/>
      <c r="B444" s="16"/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  <c r="AA444" s="16"/>
    </row>
    <row r="445" spans="1:27" x14ac:dyDescent="0.25">
      <c r="A445" s="16"/>
      <c r="B445" s="16"/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</row>
    <row r="446" spans="1:27" x14ac:dyDescent="0.25">
      <c r="A446" s="16"/>
      <c r="B446" s="16"/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  <c r="AA446" s="16"/>
    </row>
    <row r="447" spans="1:27" x14ac:dyDescent="0.25">
      <c r="A447" s="16"/>
      <c r="B447" s="16"/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  <c r="AA447" s="16"/>
    </row>
    <row r="448" spans="1:27" x14ac:dyDescent="0.25">
      <c r="A448" s="16"/>
      <c r="B448" s="16"/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  <c r="AA448" s="16"/>
    </row>
    <row r="449" spans="1:27" x14ac:dyDescent="0.25">
      <c r="A449" s="16"/>
      <c r="B449" s="16"/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  <c r="AA449" s="16"/>
    </row>
    <row r="450" spans="1:27" x14ac:dyDescent="0.25">
      <c r="A450" s="16"/>
      <c r="B450" s="16"/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  <c r="AA450" s="16"/>
    </row>
    <row r="451" spans="1:27" x14ac:dyDescent="0.25">
      <c r="A451" s="16"/>
      <c r="B451" s="16"/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  <c r="AA451" s="16"/>
    </row>
    <row r="452" spans="1:27" x14ac:dyDescent="0.25">
      <c r="A452" s="16"/>
      <c r="B452" s="16"/>
      <c r="C452" s="16"/>
      <c r="D452" s="16"/>
      <c r="E452" s="16"/>
      <c r="F452" s="16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  <c r="AA452" s="16"/>
    </row>
    <row r="453" spans="1:27" x14ac:dyDescent="0.25">
      <c r="A453" s="16"/>
      <c r="B453" s="16"/>
      <c r="C453" s="16"/>
      <c r="D453" s="16"/>
      <c r="E453" s="16"/>
      <c r="F453" s="16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  <c r="AA453" s="16"/>
    </row>
    <row r="454" spans="1:27" x14ac:dyDescent="0.25">
      <c r="A454" s="16"/>
      <c r="B454" s="16"/>
      <c r="C454" s="16"/>
      <c r="D454" s="16"/>
      <c r="E454" s="16"/>
      <c r="F454" s="16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  <c r="AA454" s="16"/>
    </row>
    <row r="455" spans="1:27" x14ac:dyDescent="0.25">
      <c r="A455" s="16"/>
      <c r="B455" s="16"/>
      <c r="C455" s="16"/>
      <c r="D455" s="16"/>
      <c r="E455" s="16"/>
      <c r="F455" s="16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  <c r="AA455" s="16"/>
    </row>
    <row r="456" spans="1:27" x14ac:dyDescent="0.25">
      <c r="A456" s="16"/>
      <c r="B456" s="16"/>
      <c r="C456" s="16"/>
      <c r="D456" s="16"/>
      <c r="E456" s="16"/>
      <c r="F456" s="16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</row>
    <row r="457" spans="1:27" x14ac:dyDescent="0.25">
      <c r="A457" s="16"/>
      <c r="B457" s="16"/>
      <c r="C457" s="16"/>
      <c r="D457" s="16"/>
      <c r="E457" s="16"/>
      <c r="F457" s="16"/>
      <c r="G457" s="16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  <c r="AA457" s="16"/>
    </row>
    <row r="458" spans="1:27" x14ac:dyDescent="0.25">
      <c r="A458" s="16"/>
      <c r="B458" s="16"/>
      <c r="C458" s="16"/>
      <c r="D458" s="16"/>
      <c r="E458" s="16"/>
      <c r="F458" s="16"/>
      <c r="G458" s="16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  <c r="AA458" s="16"/>
    </row>
    <row r="459" spans="1:27" x14ac:dyDescent="0.25">
      <c r="A459" s="16"/>
      <c r="B459" s="16"/>
      <c r="C459" s="16"/>
      <c r="D459" s="16"/>
      <c r="E459" s="16"/>
      <c r="F459" s="16"/>
      <c r="G459" s="16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  <c r="AA459" s="16"/>
    </row>
    <row r="460" spans="1:27" x14ac:dyDescent="0.25">
      <c r="A460" s="16"/>
      <c r="B460" s="16"/>
      <c r="C460" s="16"/>
      <c r="D460" s="16"/>
      <c r="E460" s="16"/>
      <c r="F460" s="16"/>
      <c r="G460" s="16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  <c r="AA460" s="16"/>
    </row>
    <row r="461" spans="1:27" x14ac:dyDescent="0.25">
      <c r="A461" s="16"/>
      <c r="B461" s="16"/>
      <c r="C461" s="16"/>
      <c r="D461" s="16"/>
      <c r="E461" s="16"/>
      <c r="F461" s="16"/>
      <c r="G461" s="16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  <c r="AA461" s="16"/>
    </row>
    <row r="462" spans="1:27" x14ac:dyDescent="0.25">
      <c r="A462" s="16"/>
      <c r="B462" s="16"/>
      <c r="C462" s="16"/>
      <c r="D462" s="16"/>
      <c r="E462" s="16"/>
      <c r="F462" s="16"/>
      <c r="G462" s="16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  <c r="AA462" s="16"/>
    </row>
    <row r="463" spans="1:27" x14ac:dyDescent="0.25">
      <c r="A463" s="16"/>
      <c r="B463" s="16"/>
      <c r="C463" s="16"/>
      <c r="D463" s="16"/>
      <c r="E463" s="16"/>
      <c r="F463" s="16"/>
      <c r="G463" s="16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  <c r="AA463" s="16"/>
    </row>
    <row r="464" spans="1:27" x14ac:dyDescent="0.25">
      <c r="A464" s="16"/>
      <c r="B464" s="16"/>
      <c r="C464" s="16"/>
      <c r="D464" s="16"/>
      <c r="E464" s="16"/>
      <c r="F464" s="16"/>
      <c r="G464" s="16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  <c r="AA464" s="16"/>
    </row>
    <row r="465" spans="1:27" x14ac:dyDescent="0.25">
      <c r="A465" s="16"/>
      <c r="B465" s="16"/>
      <c r="C465" s="16"/>
      <c r="D465" s="16"/>
      <c r="E465" s="16"/>
      <c r="F465" s="16"/>
      <c r="G465" s="16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  <c r="AA465" s="16"/>
    </row>
    <row r="466" spans="1:27" x14ac:dyDescent="0.25">
      <c r="A466" s="16"/>
      <c r="B466" s="16"/>
      <c r="C466" s="16"/>
      <c r="D466" s="16"/>
      <c r="E466" s="16"/>
      <c r="F466" s="16"/>
      <c r="G466" s="16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  <c r="AA466" s="16"/>
    </row>
    <row r="467" spans="1:27" x14ac:dyDescent="0.25">
      <c r="A467" s="16"/>
      <c r="B467" s="16"/>
      <c r="C467" s="16"/>
      <c r="D467" s="16"/>
      <c r="E467" s="16"/>
      <c r="F467" s="16"/>
      <c r="G467" s="16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  <c r="AA467" s="16"/>
    </row>
    <row r="468" spans="1:27" x14ac:dyDescent="0.25">
      <c r="A468" s="16"/>
      <c r="B468" s="16"/>
      <c r="C468" s="16"/>
      <c r="D468" s="16"/>
      <c r="E468" s="16"/>
      <c r="F468" s="16"/>
      <c r="G468" s="16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</row>
    <row r="469" spans="1:27" x14ac:dyDescent="0.25">
      <c r="A469" s="16"/>
      <c r="B469" s="16"/>
      <c r="C469" s="16"/>
      <c r="D469" s="16"/>
      <c r="E469" s="16"/>
      <c r="F469" s="16"/>
      <c r="G469" s="16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  <c r="AA469" s="16"/>
    </row>
    <row r="470" spans="1:27" x14ac:dyDescent="0.25">
      <c r="A470" s="16"/>
      <c r="B470" s="16"/>
      <c r="C470" s="16"/>
      <c r="D470" s="16"/>
      <c r="E470" s="16"/>
      <c r="F470" s="16"/>
      <c r="G470" s="16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</row>
    <row r="471" spans="1:27" x14ac:dyDescent="0.25">
      <c r="A471" s="16"/>
      <c r="B471" s="16"/>
      <c r="C471" s="16"/>
      <c r="D471" s="16"/>
      <c r="E471" s="16"/>
      <c r="F471" s="16"/>
      <c r="G471" s="16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  <c r="AA471" s="16"/>
    </row>
    <row r="472" spans="1:27" x14ac:dyDescent="0.25">
      <c r="A472" s="16"/>
      <c r="B472" s="16"/>
      <c r="C472" s="16"/>
      <c r="D472" s="16"/>
      <c r="E472" s="16"/>
      <c r="F472" s="16"/>
      <c r="G472" s="16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  <c r="AA472" s="16"/>
    </row>
    <row r="473" spans="1:27" x14ac:dyDescent="0.25">
      <c r="A473" s="16"/>
      <c r="B473" s="16"/>
      <c r="C473" s="16"/>
      <c r="D473" s="16"/>
      <c r="E473" s="16"/>
      <c r="F473" s="16"/>
      <c r="G473" s="16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  <c r="AA473" s="16"/>
    </row>
    <row r="474" spans="1:27" x14ac:dyDescent="0.25">
      <c r="A474" s="16"/>
      <c r="B474" s="16"/>
      <c r="C474" s="16"/>
      <c r="D474" s="16"/>
      <c r="E474" s="16"/>
      <c r="F474" s="16"/>
      <c r="G474" s="16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  <c r="AA474" s="16"/>
    </row>
    <row r="475" spans="1:27" x14ac:dyDescent="0.25">
      <c r="A475" s="16"/>
      <c r="B475" s="16"/>
      <c r="C475" s="16"/>
      <c r="D475" s="16"/>
      <c r="E475" s="16"/>
      <c r="F475" s="16"/>
      <c r="G475" s="16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  <c r="AA475" s="16"/>
    </row>
    <row r="476" spans="1:27" x14ac:dyDescent="0.25">
      <c r="A476" s="16"/>
      <c r="B476" s="16"/>
      <c r="C476" s="16"/>
      <c r="D476" s="16"/>
      <c r="E476" s="16"/>
      <c r="F476" s="16"/>
      <c r="G476" s="16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  <c r="AA476" s="16"/>
    </row>
    <row r="477" spans="1:27" x14ac:dyDescent="0.25">
      <c r="A477" s="16"/>
      <c r="B477" s="16"/>
      <c r="C477" s="16"/>
      <c r="D477" s="16"/>
      <c r="E477" s="16"/>
      <c r="F477" s="16"/>
      <c r="G477" s="16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  <c r="AA477" s="16"/>
    </row>
    <row r="478" spans="1:27" x14ac:dyDescent="0.25">
      <c r="A478" s="16"/>
      <c r="B478" s="16"/>
      <c r="C478" s="16"/>
      <c r="D478" s="16"/>
      <c r="E478" s="16"/>
      <c r="F478" s="16"/>
      <c r="G478" s="16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</row>
    <row r="479" spans="1:27" x14ac:dyDescent="0.25">
      <c r="A479" s="16"/>
      <c r="B479" s="16"/>
      <c r="C479" s="16"/>
      <c r="D479" s="16"/>
      <c r="E479" s="16"/>
      <c r="F479" s="16"/>
      <c r="G479" s="16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  <c r="AA479" s="16"/>
    </row>
    <row r="480" spans="1:27" x14ac:dyDescent="0.25">
      <c r="A480" s="16"/>
      <c r="B480" s="16"/>
      <c r="C480" s="16"/>
      <c r="D480" s="16"/>
      <c r="E480" s="16"/>
      <c r="F480" s="16"/>
      <c r="G480" s="16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  <c r="AA480" s="16"/>
    </row>
    <row r="481" spans="1:27" x14ac:dyDescent="0.25">
      <c r="A481" s="16"/>
      <c r="B481" s="16"/>
      <c r="C481" s="16"/>
      <c r="D481" s="16"/>
      <c r="E481" s="16"/>
      <c r="F481" s="16"/>
      <c r="G481" s="16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</row>
    <row r="482" spans="1:27" x14ac:dyDescent="0.25">
      <c r="A482" s="16"/>
      <c r="B482" s="16"/>
      <c r="C482" s="16"/>
      <c r="D482" s="16"/>
      <c r="E482" s="16"/>
      <c r="F482" s="16"/>
      <c r="G482" s="16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</row>
    <row r="483" spans="1:27" x14ac:dyDescent="0.25">
      <c r="A483" s="16"/>
      <c r="B483" s="16"/>
      <c r="C483" s="16"/>
      <c r="D483" s="16"/>
      <c r="E483" s="16"/>
      <c r="F483" s="16"/>
      <c r="G483" s="16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  <c r="AA483" s="16"/>
    </row>
    <row r="484" spans="1:27" x14ac:dyDescent="0.25">
      <c r="A484" s="16"/>
      <c r="B484" s="16"/>
      <c r="C484" s="16"/>
      <c r="D484" s="16"/>
      <c r="E484" s="16"/>
      <c r="F484" s="16"/>
      <c r="G484" s="16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</row>
    <row r="485" spans="1:27" x14ac:dyDescent="0.25">
      <c r="A485" s="16"/>
      <c r="B485" s="16"/>
      <c r="C485" s="16"/>
      <c r="D485" s="16"/>
      <c r="E485" s="16"/>
      <c r="F485" s="16"/>
      <c r="G485" s="16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  <c r="AA485" s="16"/>
    </row>
    <row r="486" spans="1:27" x14ac:dyDescent="0.25">
      <c r="A486" s="16"/>
      <c r="B486" s="16"/>
      <c r="C486" s="16"/>
      <c r="D486" s="16"/>
      <c r="E486" s="16"/>
      <c r="F486" s="16"/>
      <c r="G486" s="16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</row>
    <row r="487" spans="1:27" x14ac:dyDescent="0.25">
      <c r="A487" s="16"/>
      <c r="B487" s="16"/>
      <c r="C487" s="16"/>
      <c r="D487" s="16"/>
      <c r="E487" s="16"/>
      <c r="F487" s="16"/>
      <c r="G487" s="16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  <c r="AA487" s="16"/>
    </row>
    <row r="488" spans="1:27" x14ac:dyDescent="0.25">
      <c r="A488" s="16"/>
      <c r="B488" s="16"/>
      <c r="C488" s="16"/>
      <c r="D488" s="16"/>
      <c r="E488" s="16"/>
      <c r="F488" s="16"/>
      <c r="G488" s="16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</row>
    <row r="489" spans="1:27" x14ac:dyDescent="0.25">
      <c r="A489" s="16"/>
      <c r="B489" s="16"/>
      <c r="C489" s="16"/>
      <c r="D489" s="16"/>
      <c r="E489" s="16"/>
      <c r="F489" s="16"/>
      <c r="G489" s="16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  <c r="AA489" s="16"/>
    </row>
    <row r="490" spans="1:27" x14ac:dyDescent="0.25">
      <c r="A490" s="16"/>
      <c r="B490" s="16"/>
      <c r="C490" s="16"/>
      <c r="D490" s="16"/>
      <c r="E490" s="16"/>
      <c r="F490" s="16"/>
      <c r="G490" s="16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</row>
    <row r="491" spans="1:27" x14ac:dyDescent="0.25">
      <c r="A491" s="16"/>
      <c r="B491" s="16"/>
      <c r="C491" s="16"/>
      <c r="D491" s="16"/>
      <c r="E491" s="16"/>
      <c r="F491" s="16"/>
      <c r="G491" s="16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  <c r="AA491" s="16"/>
    </row>
    <row r="492" spans="1:27" x14ac:dyDescent="0.25">
      <c r="A492" s="16"/>
      <c r="B492" s="16"/>
      <c r="C492" s="16"/>
      <c r="D492" s="16"/>
      <c r="E492" s="16"/>
      <c r="F492" s="16"/>
      <c r="G492" s="16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</row>
    <row r="493" spans="1:27" x14ac:dyDescent="0.25">
      <c r="A493" s="16"/>
      <c r="B493" s="16"/>
      <c r="C493" s="16"/>
      <c r="D493" s="16"/>
      <c r="E493" s="16"/>
      <c r="F493" s="16"/>
      <c r="G493" s="16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  <c r="AA493" s="16"/>
    </row>
    <row r="494" spans="1:27" x14ac:dyDescent="0.25">
      <c r="A494" s="16"/>
      <c r="B494" s="16"/>
      <c r="C494" s="16"/>
      <c r="D494" s="16"/>
      <c r="E494" s="16"/>
      <c r="F494" s="16"/>
      <c r="G494" s="16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  <c r="AA494" s="16"/>
    </row>
    <row r="495" spans="1:27" x14ac:dyDescent="0.25">
      <c r="A495" s="16"/>
      <c r="B495" s="16"/>
      <c r="C495" s="16"/>
      <c r="D495" s="16"/>
      <c r="E495" s="16"/>
      <c r="F495" s="16"/>
      <c r="G495" s="16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  <c r="AA495" s="16"/>
    </row>
    <row r="496" spans="1:27" x14ac:dyDescent="0.25">
      <c r="A496" s="16"/>
      <c r="B496" s="16"/>
      <c r="C496" s="16"/>
      <c r="D496" s="16"/>
      <c r="E496" s="16"/>
      <c r="F496" s="16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</row>
    <row r="497" spans="1:27" x14ac:dyDescent="0.25">
      <c r="A497" s="16"/>
      <c r="B497" s="16"/>
      <c r="C497" s="16"/>
      <c r="D497" s="16"/>
      <c r="E497" s="16"/>
      <c r="F497" s="16"/>
      <c r="G497" s="16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  <c r="AA497" s="16"/>
    </row>
    <row r="498" spans="1:27" x14ac:dyDescent="0.25">
      <c r="A498" s="16"/>
      <c r="B498" s="16"/>
      <c r="C498" s="16"/>
      <c r="D498" s="16"/>
      <c r="E498" s="16"/>
      <c r="F498" s="16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</row>
    <row r="499" spans="1:27" x14ac:dyDescent="0.25">
      <c r="A499" s="16"/>
      <c r="B499" s="16"/>
      <c r="C499" s="16"/>
      <c r="D499" s="16"/>
      <c r="E499" s="16"/>
      <c r="F499" s="16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</row>
    <row r="500" spans="1:27" x14ac:dyDescent="0.25">
      <c r="A500" s="16"/>
      <c r="B500" s="16"/>
      <c r="C500" s="16"/>
      <c r="D500" s="16"/>
      <c r="E500" s="16"/>
      <c r="F500" s="16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</row>
    <row r="501" spans="1:27" x14ac:dyDescent="0.25">
      <c r="A501" s="16"/>
      <c r="B501" s="16"/>
      <c r="C501" s="16"/>
      <c r="D501" s="16"/>
      <c r="E501" s="16"/>
      <c r="F501" s="16"/>
      <c r="G501" s="16"/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  <c r="AA501" s="16"/>
    </row>
    <row r="502" spans="1:27" x14ac:dyDescent="0.25">
      <c r="A502" s="16"/>
      <c r="B502" s="16"/>
      <c r="C502" s="16"/>
      <c r="D502" s="16"/>
      <c r="E502" s="16"/>
      <c r="F502" s="16"/>
      <c r="G502" s="16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</row>
    <row r="503" spans="1:27" x14ac:dyDescent="0.25">
      <c r="A503" s="16"/>
      <c r="B503" s="16"/>
      <c r="C503" s="16"/>
      <c r="D503" s="16"/>
      <c r="E503" s="16"/>
      <c r="F503" s="16"/>
      <c r="G503" s="16"/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</row>
    <row r="504" spans="1:27" x14ac:dyDescent="0.25">
      <c r="A504" s="16"/>
      <c r="B504" s="16"/>
      <c r="C504" s="16"/>
      <c r="D504" s="16"/>
      <c r="E504" s="16"/>
      <c r="F504" s="16"/>
      <c r="G504" s="16"/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</row>
    <row r="505" spans="1:27" x14ac:dyDescent="0.25">
      <c r="A505" s="16"/>
      <c r="B505" s="16"/>
      <c r="C505" s="16"/>
      <c r="D505" s="16"/>
      <c r="E505" s="16"/>
      <c r="F505" s="16"/>
      <c r="G505" s="16"/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  <c r="AA505" s="16"/>
    </row>
    <row r="506" spans="1:27" x14ac:dyDescent="0.25">
      <c r="A506" s="16"/>
      <c r="B506" s="16"/>
      <c r="C506" s="16"/>
      <c r="D506" s="16"/>
      <c r="E506" s="16"/>
      <c r="F506" s="16"/>
      <c r="G506" s="16"/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</row>
    <row r="507" spans="1:27" x14ac:dyDescent="0.25">
      <c r="A507" s="16"/>
      <c r="B507" s="16"/>
      <c r="C507" s="16"/>
      <c r="D507" s="16"/>
      <c r="E507" s="16"/>
      <c r="F507" s="16"/>
      <c r="G507" s="16"/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  <c r="AA507" s="16"/>
    </row>
    <row r="508" spans="1:27" x14ac:dyDescent="0.25">
      <c r="A508" s="16"/>
      <c r="B508" s="16"/>
      <c r="C508" s="16"/>
      <c r="D508" s="16"/>
      <c r="E508" s="16"/>
      <c r="F508" s="16"/>
      <c r="G508" s="16"/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  <c r="AA508" s="16"/>
    </row>
    <row r="509" spans="1:27" x14ac:dyDescent="0.25">
      <c r="A509" s="16"/>
      <c r="B509" s="16"/>
      <c r="C509" s="16"/>
      <c r="D509" s="16"/>
      <c r="E509" s="16"/>
      <c r="F509" s="16"/>
      <c r="G509" s="16"/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  <c r="AA509" s="16"/>
    </row>
    <row r="510" spans="1:27" x14ac:dyDescent="0.25">
      <c r="A510" s="16"/>
      <c r="B510" s="16"/>
      <c r="C510" s="16"/>
      <c r="D510" s="16"/>
      <c r="E510" s="16"/>
      <c r="F510" s="16"/>
      <c r="G510" s="16"/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</row>
    <row r="511" spans="1:27" x14ac:dyDescent="0.25">
      <c r="A511" s="16"/>
      <c r="B511" s="16"/>
      <c r="C511" s="16"/>
      <c r="D511" s="16"/>
      <c r="E511" s="16"/>
      <c r="F511" s="16"/>
      <c r="G511" s="16"/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  <c r="AA511" s="16"/>
    </row>
    <row r="512" spans="1:27" x14ac:dyDescent="0.25">
      <c r="A512" s="16"/>
      <c r="B512" s="16"/>
      <c r="C512" s="16"/>
      <c r="D512" s="16"/>
      <c r="E512" s="16"/>
      <c r="F512" s="16"/>
      <c r="G512" s="16"/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</row>
    <row r="513" spans="1:27" x14ac:dyDescent="0.25">
      <c r="A513" s="16"/>
      <c r="B513" s="16"/>
      <c r="C513" s="16"/>
      <c r="D513" s="16"/>
      <c r="E513" s="16"/>
      <c r="F513" s="16"/>
      <c r="G513" s="16"/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</row>
    <row r="514" spans="1:27" x14ac:dyDescent="0.25">
      <c r="A514" s="16"/>
      <c r="B514" s="16"/>
      <c r="C514" s="16"/>
      <c r="D514" s="16"/>
      <c r="E514" s="16"/>
      <c r="F514" s="16"/>
      <c r="G514" s="16"/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</row>
    <row r="515" spans="1:27" x14ac:dyDescent="0.25">
      <c r="A515" s="16"/>
      <c r="B515" s="16"/>
      <c r="C515" s="16"/>
      <c r="D515" s="16"/>
      <c r="E515" s="16"/>
      <c r="F515" s="16"/>
      <c r="G515" s="16"/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  <c r="AA515" s="16"/>
    </row>
    <row r="516" spans="1:27" x14ac:dyDescent="0.25">
      <c r="A516" s="16"/>
      <c r="B516" s="16"/>
      <c r="C516" s="16"/>
      <c r="D516" s="16"/>
      <c r="E516" s="16"/>
      <c r="F516" s="16"/>
      <c r="G516" s="16"/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</row>
    <row r="517" spans="1:27" x14ac:dyDescent="0.25">
      <c r="A517" s="16"/>
      <c r="B517" s="16"/>
      <c r="C517" s="16"/>
      <c r="D517" s="16"/>
      <c r="E517" s="16"/>
      <c r="F517" s="16"/>
      <c r="G517" s="16"/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  <c r="AA517" s="16"/>
    </row>
    <row r="518" spans="1:27" x14ac:dyDescent="0.25">
      <c r="A518" s="16"/>
      <c r="B518" s="16"/>
      <c r="C518" s="16"/>
      <c r="D518" s="16"/>
      <c r="E518" s="16"/>
      <c r="F518" s="16"/>
      <c r="G518" s="16"/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</row>
    <row r="519" spans="1:27" x14ac:dyDescent="0.25">
      <c r="A519" s="16"/>
      <c r="B519" s="16"/>
      <c r="C519" s="16"/>
      <c r="D519" s="16"/>
      <c r="E519" s="16"/>
      <c r="F519" s="16"/>
      <c r="G519" s="16"/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  <c r="AA519" s="16"/>
    </row>
    <row r="520" spans="1:27" x14ac:dyDescent="0.25">
      <c r="A520" s="16"/>
      <c r="B520" s="16"/>
      <c r="C520" s="16"/>
      <c r="D520" s="16"/>
      <c r="E520" s="16"/>
      <c r="F520" s="16"/>
      <c r="G520" s="16"/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</row>
    <row r="521" spans="1:27" x14ac:dyDescent="0.25">
      <c r="A521" s="16"/>
      <c r="B521" s="16"/>
      <c r="C521" s="16"/>
      <c r="D521" s="16"/>
      <c r="E521" s="16"/>
      <c r="F521" s="16"/>
      <c r="G521" s="16"/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  <c r="AA521" s="16"/>
    </row>
    <row r="522" spans="1:27" x14ac:dyDescent="0.25">
      <c r="A522" s="16"/>
      <c r="B522" s="16"/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</row>
    <row r="523" spans="1:27" x14ac:dyDescent="0.25">
      <c r="A523" s="16"/>
      <c r="B523" s="16"/>
      <c r="C523" s="16"/>
      <c r="D523" s="16"/>
      <c r="E523" s="16"/>
      <c r="F523" s="16"/>
      <c r="G523" s="16"/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  <c r="AA523" s="16"/>
    </row>
    <row r="524" spans="1:27" x14ac:dyDescent="0.25">
      <c r="A524" s="16"/>
      <c r="B524" s="16"/>
      <c r="C524" s="16"/>
      <c r="D524" s="16"/>
      <c r="E524" s="16"/>
      <c r="F524" s="16"/>
      <c r="G524" s="16"/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</row>
    <row r="525" spans="1:27" x14ac:dyDescent="0.25">
      <c r="A525" s="16"/>
      <c r="B525" s="16"/>
      <c r="C525" s="16"/>
      <c r="D525" s="16"/>
      <c r="E525" s="16"/>
      <c r="F525" s="16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</row>
    <row r="526" spans="1:27" x14ac:dyDescent="0.25">
      <c r="A526" s="16"/>
      <c r="B526" s="16"/>
      <c r="C526" s="16"/>
      <c r="D526" s="16"/>
      <c r="E526" s="16"/>
      <c r="F526" s="16"/>
      <c r="G526" s="16"/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</row>
    <row r="527" spans="1:27" x14ac:dyDescent="0.25">
      <c r="A527" s="16"/>
      <c r="B527" s="16"/>
      <c r="C527" s="16"/>
      <c r="D527" s="16"/>
      <c r="E527" s="16"/>
      <c r="F527" s="16"/>
      <c r="G527" s="16"/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  <c r="AA527" s="16"/>
    </row>
    <row r="528" spans="1:27" x14ac:dyDescent="0.25">
      <c r="A528" s="16"/>
      <c r="B528" s="16"/>
      <c r="C528" s="16"/>
      <c r="D528" s="16"/>
      <c r="E528" s="16"/>
      <c r="F528" s="16"/>
      <c r="G528" s="16"/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</row>
    <row r="529" spans="1:27" x14ac:dyDescent="0.25">
      <c r="A529" s="16"/>
      <c r="B529" s="16"/>
      <c r="C529" s="16"/>
      <c r="D529" s="16"/>
      <c r="E529" s="16"/>
      <c r="F529" s="16"/>
      <c r="G529" s="16"/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  <c r="AA529" s="16"/>
    </row>
    <row r="530" spans="1:27" x14ac:dyDescent="0.25">
      <c r="A530" s="16"/>
      <c r="B530" s="16"/>
      <c r="C530" s="16"/>
      <c r="D530" s="16"/>
      <c r="E530" s="16"/>
      <c r="F530" s="16"/>
      <c r="G530" s="16"/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</row>
    <row r="531" spans="1:27" x14ac:dyDescent="0.25">
      <c r="A531" s="16"/>
      <c r="B531" s="16"/>
      <c r="C531" s="16"/>
      <c r="D531" s="16"/>
      <c r="E531" s="16"/>
      <c r="F531" s="16"/>
      <c r="G531" s="16"/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  <c r="AA531" s="16"/>
    </row>
    <row r="532" spans="1:27" x14ac:dyDescent="0.25">
      <c r="A532" s="16"/>
      <c r="B532" s="16"/>
      <c r="C532" s="16"/>
      <c r="D532" s="16"/>
      <c r="E532" s="16"/>
      <c r="F532" s="16"/>
      <c r="G532" s="16"/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</row>
    <row r="533" spans="1:27" x14ac:dyDescent="0.25">
      <c r="A533" s="16"/>
      <c r="B533" s="16"/>
      <c r="C533" s="16"/>
      <c r="D533" s="16"/>
      <c r="E533" s="16"/>
      <c r="F533" s="16"/>
      <c r="G533" s="16"/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  <c r="AA533" s="16"/>
    </row>
    <row r="534" spans="1:27" x14ac:dyDescent="0.25">
      <c r="A534" s="16"/>
      <c r="B534" s="16"/>
      <c r="C534" s="16"/>
      <c r="D534" s="16"/>
      <c r="E534" s="16"/>
      <c r="F534" s="16"/>
      <c r="G534" s="16"/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</row>
    <row r="535" spans="1:27" x14ac:dyDescent="0.25">
      <c r="A535" s="16"/>
      <c r="B535" s="16"/>
      <c r="C535" s="16"/>
      <c r="D535" s="16"/>
      <c r="E535" s="16"/>
      <c r="F535" s="16"/>
      <c r="G535" s="16"/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  <c r="AA535" s="16"/>
    </row>
    <row r="536" spans="1:27" x14ac:dyDescent="0.25">
      <c r="A536" s="16"/>
      <c r="B536" s="16"/>
      <c r="C536" s="16"/>
      <c r="D536" s="16"/>
      <c r="E536" s="16"/>
      <c r="F536" s="16"/>
      <c r="G536" s="16"/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</row>
    <row r="537" spans="1:27" x14ac:dyDescent="0.25">
      <c r="A537" s="16"/>
      <c r="B537" s="16"/>
      <c r="C537" s="16"/>
      <c r="D537" s="16"/>
      <c r="E537" s="16"/>
      <c r="F537" s="16"/>
      <c r="G537" s="16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  <c r="AA537" s="16"/>
    </row>
    <row r="538" spans="1:27" x14ac:dyDescent="0.25">
      <c r="A538" s="16"/>
      <c r="B538" s="16"/>
      <c r="C538" s="16"/>
      <c r="D538" s="16"/>
      <c r="E538" s="16"/>
      <c r="F538" s="16"/>
      <c r="G538" s="16"/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</row>
    <row r="539" spans="1:27" x14ac:dyDescent="0.25">
      <c r="A539" s="16"/>
      <c r="B539" s="16"/>
      <c r="C539" s="16"/>
      <c r="D539" s="16"/>
      <c r="E539" s="16"/>
      <c r="F539" s="16"/>
      <c r="G539" s="16"/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  <c r="AA539" s="16"/>
    </row>
    <row r="540" spans="1:27" x14ac:dyDescent="0.25">
      <c r="A540" s="16"/>
      <c r="B540" s="16"/>
      <c r="C540" s="16"/>
      <c r="D540" s="16"/>
      <c r="E540" s="16"/>
      <c r="F540" s="16"/>
      <c r="G540" s="16"/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  <c r="AA540" s="16"/>
    </row>
    <row r="541" spans="1:27" x14ac:dyDescent="0.25">
      <c r="A541" s="16"/>
      <c r="B541" s="16"/>
      <c r="C541" s="16"/>
      <c r="D541" s="16"/>
      <c r="E541" s="16"/>
      <c r="F541" s="16"/>
      <c r="G541" s="16"/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  <c r="AA541" s="16"/>
    </row>
    <row r="542" spans="1:27" x14ac:dyDescent="0.25">
      <c r="A542" s="16"/>
      <c r="B542" s="16"/>
      <c r="C542" s="16"/>
      <c r="D542" s="16"/>
      <c r="E542" s="16"/>
      <c r="F542" s="16"/>
      <c r="G542" s="16"/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  <c r="AA542" s="16"/>
    </row>
    <row r="543" spans="1:27" x14ac:dyDescent="0.25">
      <c r="A543" s="16"/>
      <c r="B543" s="16"/>
      <c r="C543" s="16"/>
      <c r="D543" s="16"/>
      <c r="E543" s="16"/>
      <c r="F543" s="16"/>
      <c r="G543" s="16"/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  <c r="AA543" s="16"/>
    </row>
    <row r="544" spans="1:27" x14ac:dyDescent="0.25">
      <c r="A544" s="16"/>
      <c r="B544" s="16"/>
      <c r="C544" s="16"/>
      <c r="D544" s="16"/>
      <c r="E544" s="16"/>
      <c r="F544" s="16"/>
      <c r="G544" s="16"/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</row>
    <row r="545" spans="1:27" x14ac:dyDescent="0.25">
      <c r="A545" s="16"/>
      <c r="B545" s="16"/>
      <c r="C545" s="16"/>
      <c r="D545" s="16"/>
      <c r="E545" s="16"/>
      <c r="F545" s="16"/>
      <c r="G545" s="16"/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  <c r="AA545" s="16"/>
    </row>
    <row r="546" spans="1:27" x14ac:dyDescent="0.25">
      <c r="A546" s="16"/>
      <c r="B546" s="16"/>
      <c r="C546" s="16"/>
      <c r="D546" s="16"/>
      <c r="E546" s="16"/>
      <c r="F546" s="16"/>
      <c r="G546" s="16"/>
      <c r="H546" s="16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  <c r="AA546" s="16"/>
    </row>
    <row r="547" spans="1:27" x14ac:dyDescent="0.25">
      <c r="A547" s="16"/>
      <c r="B547" s="16"/>
      <c r="C547" s="16"/>
      <c r="D547" s="16"/>
      <c r="E547" s="16"/>
      <c r="F547" s="16"/>
      <c r="G547" s="16"/>
      <c r="H547" s="16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</row>
    <row r="548" spans="1:27" x14ac:dyDescent="0.25">
      <c r="A548" s="16"/>
      <c r="B548" s="16"/>
      <c r="C548" s="16"/>
      <c r="D548" s="16"/>
      <c r="E548" s="16"/>
      <c r="F548" s="16"/>
      <c r="G548" s="16"/>
      <c r="H548" s="16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  <c r="AA548" s="16"/>
    </row>
    <row r="549" spans="1:27" x14ac:dyDescent="0.25">
      <c r="A549" s="16"/>
      <c r="B549" s="16"/>
      <c r="C549" s="16"/>
      <c r="D549" s="16"/>
      <c r="E549" s="16"/>
      <c r="F549" s="16"/>
      <c r="G549" s="16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  <c r="AA549" s="16"/>
    </row>
    <row r="550" spans="1:27" x14ac:dyDescent="0.25">
      <c r="A550" s="16"/>
      <c r="B550" s="16"/>
      <c r="C550" s="16"/>
      <c r="D550" s="16"/>
      <c r="E550" s="16"/>
      <c r="F550" s="16"/>
      <c r="G550" s="16"/>
      <c r="H550" s="16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  <c r="AA550" s="16"/>
    </row>
    <row r="551" spans="1:27" x14ac:dyDescent="0.25">
      <c r="A551" s="16"/>
      <c r="B551" s="16"/>
      <c r="C551" s="16"/>
      <c r="D551" s="16"/>
      <c r="E551" s="16"/>
      <c r="F551" s="16"/>
      <c r="G551" s="16"/>
      <c r="H551" s="16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  <c r="AA551" s="16"/>
    </row>
    <row r="552" spans="1:27" x14ac:dyDescent="0.25">
      <c r="A552" s="16"/>
      <c r="B552" s="16"/>
      <c r="C552" s="16"/>
      <c r="D552" s="16"/>
      <c r="E552" s="16"/>
      <c r="F552" s="16"/>
      <c r="G552" s="16"/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</row>
    <row r="553" spans="1:27" x14ac:dyDescent="0.25">
      <c r="A553" s="16"/>
      <c r="B553" s="16"/>
      <c r="C553" s="16"/>
      <c r="D553" s="16"/>
      <c r="E553" s="16"/>
      <c r="F553" s="16"/>
      <c r="G553" s="16"/>
      <c r="H553" s="16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</row>
    <row r="554" spans="1:27" x14ac:dyDescent="0.25">
      <c r="A554" s="16"/>
      <c r="B554" s="16"/>
      <c r="C554" s="16"/>
      <c r="D554" s="16"/>
      <c r="E554" s="16"/>
      <c r="F554" s="16"/>
      <c r="G554" s="16"/>
      <c r="H554" s="16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</row>
    <row r="555" spans="1:27" x14ac:dyDescent="0.25">
      <c r="A555" s="16"/>
      <c r="B555" s="16"/>
      <c r="C555" s="16"/>
      <c r="D555" s="16"/>
      <c r="E555" s="16"/>
      <c r="F555" s="16"/>
      <c r="G555" s="16"/>
      <c r="H555" s="16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</row>
    <row r="556" spans="1:27" x14ac:dyDescent="0.25">
      <c r="A556" s="16"/>
      <c r="B556" s="16"/>
      <c r="C556" s="16"/>
      <c r="D556" s="16"/>
      <c r="E556" s="16"/>
      <c r="F556" s="16"/>
      <c r="G556" s="16"/>
      <c r="H556" s="16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</row>
    <row r="557" spans="1:27" x14ac:dyDescent="0.25">
      <c r="A557" s="16"/>
      <c r="B557" s="16"/>
      <c r="C557" s="16"/>
      <c r="D557" s="16"/>
      <c r="E557" s="16"/>
      <c r="F557" s="16"/>
      <c r="G557" s="16"/>
      <c r="H557" s="16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</row>
    <row r="558" spans="1:27" x14ac:dyDescent="0.25">
      <c r="A558" s="16"/>
      <c r="B558" s="16"/>
      <c r="C558" s="16"/>
      <c r="D558" s="16"/>
      <c r="E558" s="16"/>
      <c r="F558" s="16"/>
      <c r="G558" s="16"/>
      <c r="H558" s="16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</row>
    <row r="559" spans="1:27" x14ac:dyDescent="0.25">
      <c r="A559" s="16"/>
      <c r="B559" s="16"/>
      <c r="C559" s="16"/>
      <c r="D559" s="16"/>
      <c r="E559" s="16"/>
      <c r="F559" s="16"/>
      <c r="G559" s="16"/>
      <c r="H559" s="16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</row>
    <row r="560" spans="1:27" x14ac:dyDescent="0.25">
      <c r="A560" s="16"/>
      <c r="B560" s="16"/>
      <c r="C560" s="16"/>
      <c r="D560" s="16"/>
      <c r="E560" s="16"/>
      <c r="F560" s="16"/>
      <c r="G560" s="16"/>
      <c r="H560" s="16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</row>
    <row r="561" spans="1:27" x14ac:dyDescent="0.25">
      <c r="A561" s="16"/>
      <c r="B561" s="16"/>
      <c r="C561" s="16"/>
      <c r="D561" s="16"/>
      <c r="E561" s="16"/>
      <c r="F561" s="16"/>
      <c r="G561" s="16"/>
      <c r="H561" s="16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</row>
    <row r="562" spans="1:27" x14ac:dyDescent="0.25">
      <c r="A562" s="16"/>
      <c r="B562" s="16"/>
      <c r="C562" s="16"/>
      <c r="D562" s="16"/>
      <c r="E562" s="16"/>
      <c r="F562" s="16"/>
      <c r="G562" s="16"/>
      <c r="H562" s="16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</row>
    <row r="563" spans="1:27" x14ac:dyDescent="0.25">
      <c r="A563" s="16"/>
      <c r="B563" s="16"/>
      <c r="C563" s="16"/>
      <c r="D563" s="16"/>
      <c r="E563" s="16"/>
      <c r="F563" s="16"/>
      <c r="G563" s="16"/>
      <c r="H563" s="16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  <c r="AA563" s="16"/>
    </row>
    <row r="564" spans="1:27" x14ac:dyDescent="0.25">
      <c r="A564" s="16"/>
      <c r="B564" s="16"/>
      <c r="C564" s="16"/>
      <c r="D564" s="16"/>
      <c r="E564" s="16"/>
      <c r="F564" s="16"/>
      <c r="G564" s="16"/>
      <c r="H564" s="16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  <c r="AA564" s="16"/>
    </row>
    <row r="565" spans="1:27" x14ac:dyDescent="0.25">
      <c r="A565" s="16"/>
      <c r="B565" s="16"/>
      <c r="C565" s="16"/>
      <c r="D565" s="16"/>
      <c r="E565" s="16"/>
      <c r="F565" s="16"/>
      <c r="G565" s="16"/>
      <c r="H565" s="16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  <c r="AA565" s="16"/>
    </row>
    <row r="566" spans="1:27" x14ac:dyDescent="0.25">
      <c r="A566" s="16"/>
      <c r="B566" s="16"/>
      <c r="C566" s="16"/>
      <c r="D566" s="16"/>
      <c r="E566" s="16"/>
      <c r="F566" s="16"/>
      <c r="G566" s="16"/>
      <c r="H566" s="16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</row>
    <row r="567" spans="1:27" x14ac:dyDescent="0.25">
      <c r="A567" s="16"/>
      <c r="B567" s="16"/>
      <c r="C567" s="16"/>
      <c r="D567" s="16"/>
      <c r="E567" s="16"/>
      <c r="F567" s="16"/>
      <c r="G567" s="16"/>
      <c r="H567" s="16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  <c r="AA567" s="16"/>
    </row>
    <row r="568" spans="1:27" x14ac:dyDescent="0.25">
      <c r="A568" s="16"/>
      <c r="B568" s="16"/>
      <c r="C568" s="16"/>
      <c r="D568" s="16"/>
      <c r="E568" s="16"/>
      <c r="F568" s="16"/>
      <c r="G568" s="16"/>
      <c r="H568" s="16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  <c r="AA568" s="16"/>
    </row>
    <row r="569" spans="1:27" x14ac:dyDescent="0.25">
      <c r="A569" s="16"/>
      <c r="B569" s="16"/>
      <c r="C569" s="16"/>
      <c r="D569" s="16"/>
      <c r="E569" s="16"/>
      <c r="F569" s="16"/>
      <c r="G569" s="16"/>
      <c r="H569" s="16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  <c r="AA569" s="16"/>
    </row>
    <row r="570" spans="1:27" x14ac:dyDescent="0.25">
      <c r="A570" s="16"/>
      <c r="B570" s="16"/>
      <c r="C570" s="16"/>
      <c r="D570" s="16"/>
      <c r="E570" s="16"/>
      <c r="F570" s="16"/>
      <c r="G570" s="16"/>
      <c r="H570" s="16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  <c r="AA570" s="16"/>
    </row>
    <row r="571" spans="1:27" x14ac:dyDescent="0.25">
      <c r="A571" s="16"/>
      <c r="B571" s="16"/>
      <c r="C571" s="16"/>
      <c r="D571" s="16"/>
      <c r="E571" s="16"/>
      <c r="F571" s="16"/>
      <c r="G571" s="16"/>
      <c r="H571" s="16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  <c r="AA571" s="16"/>
    </row>
    <row r="572" spans="1:27" x14ac:dyDescent="0.25">
      <c r="A572" s="16"/>
      <c r="B572" s="16"/>
      <c r="C572" s="16"/>
      <c r="D572" s="16"/>
      <c r="E572" s="16"/>
      <c r="F572" s="16"/>
      <c r="G572" s="16"/>
      <c r="H572" s="16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</row>
    <row r="573" spans="1:27" x14ac:dyDescent="0.25">
      <c r="A573" s="16"/>
      <c r="B573" s="16"/>
      <c r="C573" s="16"/>
      <c r="D573" s="16"/>
      <c r="E573" s="16"/>
      <c r="F573" s="16"/>
      <c r="G573" s="16"/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  <c r="AA573" s="16"/>
    </row>
    <row r="574" spans="1:27" x14ac:dyDescent="0.25">
      <c r="A574" s="16"/>
      <c r="B574" s="16"/>
      <c r="C574" s="16"/>
      <c r="D574" s="16"/>
      <c r="E574" s="16"/>
      <c r="F574" s="16"/>
      <c r="G574" s="16"/>
      <c r="H574" s="16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  <c r="AA574" s="16"/>
    </row>
    <row r="575" spans="1:27" x14ac:dyDescent="0.25">
      <c r="A575" s="16"/>
      <c r="B575" s="16"/>
      <c r="C575" s="16"/>
      <c r="D575" s="16"/>
      <c r="E575" s="16"/>
      <c r="F575" s="16"/>
      <c r="G575" s="16"/>
      <c r="H575" s="16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  <c r="AA575" s="16"/>
    </row>
    <row r="576" spans="1:27" x14ac:dyDescent="0.25">
      <c r="A576" s="16"/>
      <c r="B576" s="16"/>
      <c r="C576" s="16"/>
      <c r="D576" s="16"/>
      <c r="E576" s="16"/>
      <c r="F576" s="16"/>
      <c r="G576" s="16"/>
      <c r="H576" s="16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</row>
    <row r="577" spans="1:27" x14ac:dyDescent="0.25">
      <c r="A577" s="16"/>
      <c r="B577" s="16"/>
      <c r="C577" s="16"/>
      <c r="D577" s="16"/>
      <c r="E577" s="16"/>
      <c r="F577" s="16"/>
      <c r="G577" s="16"/>
      <c r="H577" s="16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  <c r="AA577" s="16"/>
    </row>
    <row r="578" spans="1:27" x14ac:dyDescent="0.25">
      <c r="A578" s="16"/>
      <c r="B578" s="16"/>
      <c r="C578" s="16"/>
      <c r="D578" s="16"/>
      <c r="E578" s="16"/>
      <c r="F578" s="16"/>
      <c r="G578" s="16"/>
      <c r="H578" s="16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  <c r="AA578" s="16"/>
    </row>
    <row r="579" spans="1:27" x14ac:dyDescent="0.25">
      <c r="A579" s="16"/>
      <c r="B579" s="16"/>
      <c r="C579" s="16"/>
      <c r="D579" s="16"/>
      <c r="E579" s="16"/>
      <c r="F579" s="16"/>
      <c r="G579" s="16"/>
      <c r="H579" s="16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  <c r="AA579" s="16"/>
    </row>
    <row r="580" spans="1:27" x14ac:dyDescent="0.25">
      <c r="A580" s="16"/>
      <c r="B580" s="16"/>
      <c r="C580" s="16"/>
      <c r="D580" s="16"/>
      <c r="E580" s="16"/>
      <c r="F580" s="16"/>
      <c r="G580" s="16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</row>
    <row r="581" spans="1:27" x14ac:dyDescent="0.25">
      <c r="A581" s="16"/>
      <c r="B581" s="16"/>
      <c r="C581" s="16"/>
      <c r="D581" s="16"/>
      <c r="E581" s="16"/>
      <c r="F581" s="16"/>
      <c r="G581" s="16"/>
      <c r="H581" s="16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  <c r="AA581" s="16"/>
    </row>
    <row r="582" spans="1:27" x14ac:dyDescent="0.25">
      <c r="A582" s="16"/>
      <c r="B582" s="16"/>
      <c r="C582" s="16"/>
      <c r="D582" s="16"/>
      <c r="E582" s="16"/>
      <c r="F582" s="16"/>
      <c r="G582" s="16"/>
      <c r="H582" s="16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  <c r="AA582" s="16"/>
    </row>
    <row r="583" spans="1:27" x14ac:dyDescent="0.25">
      <c r="A583" s="16"/>
      <c r="B583" s="16"/>
      <c r="C583" s="16"/>
      <c r="D583" s="16"/>
      <c r="E583" s="16"/>
      <c r="F583" s="16"/>
      <c r="G583" s="16"/>
      <c r="H583" s="16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  <c r="AA583" s="16"/>
    </row>
    <row r="584" spans="1:27" x14ac:dyDescent="0.25">
      <c r="A584" s="16"/>
      <c r="B584" s="16"/>
      <c r="C584" s="16"/>
      <c r="D584" s="16"/>
      <c r="E584" s="16"/>
      <c r="F584" s="16"/>
      <c r="G584" s="16"/>
      <c r="H584" s="16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  <c r="AA584" s="16"/>
    </row>
    <row r="585" spans="1:27" x14ac:dyDescent="0.25">
      <c r="A585" s="16"/>
      <c r="B585" s="16"/>
      <c r="C585" s="16"/>
      <c r="D585" s="16"/>
      <c r="E585" s="16"/>
      <c r="F585" s="16"/>
      <c r="G585" s="16"/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  <c r="AA585" s="16"/>
    </row>
    <row r="586" spans="1:27" x14ac:dyDescent="0.25">
      <c r="A586" s="16"/>
      <c r="B586" s="16"/>
      <c r="C586" s="16"/>
      <c r="D586" s="16"/>
      <c r="E586" s="16"/>
      <c r="F586" s="16"/>
      <c r="G586" s="16"/>
      <c r="H586" s="16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</row>
    <row r="587" spans="1:27" x14ac:dyDescent="0.25">
      <c r="A587" s="16"/>
      <c r="B587" s="16"/>
      <c r="C587" s="16"/>
      <c r="D587" s="16"/>
      <c r="E587" s="16"/>
      <c r="F587" s="16"/>
      <c r="G587" s="16"/>
      <c r="H587" s="16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  <c r="AA587" s="16"/>
    </row>
    <row r="588" spans="1:27" x14ac:dyDescent="0.25">
      <c r="A588" s="16"/>
      <c r="B588" s="16"/>
      <c r="C588" s="16"/>
      <c r="D588" s="16"/>
      <c r="E588" s="16"/>
      <c r="F588" s="16"/>
      <c r="G588" s="16"/>
      <c r="H588" s="16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  <c r="AA588" s="16"/>
    </row>
    <row r="589" spans="1:27" x14ac:dyDescent="0.25">
      <c r="A589" s="16"/>
      <c r="B589" s="16"/>
      <c r="C589" s="16"/>
      <c r="D589" s="16"/>
      <c r="E589" s="16"/>
      <c r="F589" s="16"/>
      <c r="G589" s="16"/>
      <c r="H589" s="16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  <c r="AA589" s="16"/>
    </row>
    <row r="590" spans="1:27" x14ac:dyDescent="0.25">
      <c r="A590" s="16"/>
      <c r="B590" s="16"/>
      <c r="C590" s="16"/>
      <c r="D590" s="16"/>
      <c r="E590" s="16"/>
      <c r="F590" s="16"/>
      <c r="G590" s="16"/>
      <c r="H590" s="16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  <c r="AA590" s="16"/>
    </row>
    <row r="591" spans="1:27" x14ac:dyDescent="0.25">
      <c r="A591" s="16"/>
      <c r="B591" s="16"/>
      <c r="C591" s="16"/>
      <c r="D591" s="16"/>
      <c r="E591" s="16"/>
      <c r="F591" s="16"/>
      <c r="G591" s="16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  <c r="AA591" s="16"/>
    </row>
    <row r="592" spans="1:27" x14ac:dyDescent="0.25">
      <c r="A592" s="16"/>
      <c r="B592" s="16"/>
      <c r="C592" s="16"/>
      <c r="D592" s="16"/>
      <c r="E592" s="16"/>
      <c r="F592" s="16"/>
      <c r="G592" s="16"/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  <c r="AA592" s="16"/>
    </row>
    <row r="593" spans="1:27" x14ac:dyDescent="0.25">
      <c r="A593" s="16"/>
      <c r="B593" s="16"/>
      <c r="C593" s="16"/>
      <c r="D593" s="16"/>
      <c r="E593" s="16"/>
      <c r="F593" s="16"/>
      <c r="G593" s="16"/>
      <c r="H593" s="16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  <c r="AA593" s="16"/>
    </row>
    <row r="594" spans="1:27" x14ac:dyDescent="0.25">
      <c r="A594" s="16"/>
      <c r="B594" s="16"/>
      <c r="C594" s="16"/>
      <c r="D594" s="16"/>
      <c r="E594" s="16"/>
      <c r="F594" s="16"/>
      <c r="G594" s="16"/>
      <c r="H594" s="16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  <c r="AA594" s="16"/>
    </row>
    <row r="595" spans="1:27" x14ac:dyDescent="0.25">
      <c r="A595" s="16"/>
      <c r="B595" s="16"/>
      <c r="C595" s="16"/>
      <c r="D595" s="16"/>
      <c r="E595" s="16"/>
      <c r="F595" s="16"/>
      <c r="G595" s="16"/>
      <c r="H595" s="16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</row>
    <row r="596" spans="1:27" x14ac:dyDescent="0.25">
      <c r="A596" s="16"/>
      <c r="B596" s="16"/>
      <c r="C596" s="16"/>
      <c r="D596" s="16"/>
      <c r="E596" s="16"/>
      <c r="F596" s="16"/>
      <c r="G596" s="16"/>
      <c r="H596" s="16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  <c r="AA596" s="16"/>
    </row>
    <row r="597" spans="1:27" x14ac:dyDescent="0.25">
      <c r="A597" s="16"/>
      <c r="B597" s="16"/>
      <c r="C597" s="16"/>
      <c r="D597" s="16"/>
      <c r="E597" s="16"/>
      <c r="F597" s="16"/>
      <c r="G597" s="16"/>
      <c r="H597" s="16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  <c r="AA597" s="16"/>
    </row>
    <row r="598" spans="1:27" x14ac:dyDescent="0.25">
      <c r="A598" s="16"/>
      <c r="B598" s="16"/>
      <c r="C598" s="16"/>
      <c r="D598" s="16"/>
      <c r="E598" s="16"/>
      <c r="F598" s="16"/>
      <c r="G598" s="16"/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  <c r="AA598" s="16"/>
    </row>
    <row r="599" spans="1:27" x14ac:dyDescent="0.25">
      <c r="A599" s="16"/>
      <c r="B599" s="16"/>
      <c r="C599" s="16"/>
      <c r="D599" s="16"/>
      <c r="E599" s="16"/>
      <c r="F599" s="16"/>
      <c r="G599" s="16"/>
      <c r="H599" s="16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</row>
    <row r="600" spans="1:27" x14ac:dyDescent="0.25">
      <c r="A600" s="16"/>
      <c r="B600" s="16"/>
      <c r="C600" s="16"/>
      <c r="D600" s="16"/>
      <c r="E600" s="16"/>
      <c r="F600" s="16"/>
      <c r="G600" s="16"/>
      <c r="H600" s="16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  <c r="AA600" s="16"/>
    </row>
    <row r="601" spans="1:27" x14ac:dyDescent="0.25">
      <c r="A601" s="16"/>
      <c r="B601" s="16"/>
      <c r="C601" s="16"/>
      <c r="D601" s="16"/>
      <c r="E601" s="16"/>
      <c r="F601" s="16"/>
      <c r="G601" s="16"/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</row>
    <row r="602" spans="1:27" x14ac:dyDescent="0.25">
      <c r="A602" s="16"/>
      <c r="B602" s="16"/>
      <c r="C602" s="16"/>
      <c r="D602" s="16"/>
      <c r="E602" s="16"/>
      <c r="F602" s="16"/>
      <c r="G602" s="16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  <c r="AA602" s="16"/>
    </row>
    <row r="603" spans="1:27" x14ac:dyDescent="0.25">
      <c r="A603" s="16"/>
      <c r="B603" s="16"/>
      <c r="C603" s="16"/>
      <c r="D603" s="16"/>
      <c r="E603" s="16"/>
      <c r="F603" s="16"/>
      <c r="G603" s="16"/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  <c r="AA603" s="16"/>
    </row>
    <row r="604" spans="1:27" x14ac:dyDescent="0.25">
      <c r="A604" s="16"/>
      <c r="B604" s="16"/>
      <c r="C604" s="16"/>
      <c r="D604" s="16"/>
      <c r="E604" s="16"/>
      <c r="F604" s="16"/>
      <c r="G604" s="16"/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  <c r="AA604" s="16"/>
    </row>
    <row r="605" spans="1:27" x14ac:dyDescent="0.25">
      <c r="A605" s="16"/>
      <c r="B605" s="16"/>
      <c r="C605" s="16"/>
      <c r="D605" s="16"/>
      <c r="E605" s="16"/>
      <c r="F605" s="16"/>
      <c r="G605" s="16"/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  <c r="AA605" s="16"/>
    </row>
    <row r="606" spans="1:27" x14ac:dyDescent="0.25">
      <c r="A606" s="16"/>
      <c r="B606" s="16"/>
      <c r="C606" s="16"/>
      <c r="D606" s="16"/>
      <c r="E606" s="16"/>
      <c r="F606" s="16"/>
      <c r="G606" s="16"/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  <c r="AA606" s="16"/>
    </row>
    <row r="607" spans="1:27" x14ac:dyDescent="0.25">
      <c r="A607" s="16"/>
      <c r="B607" s="16"/>
      <c r="C607" s="16"/>
      <c r="D607" s="16"/>
      <c r="E607" s="16"/>
      <c r="F607" s="16"/>
      <c r="G607" s="16"/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  <c r="AA607" s="16"/>
    </row>
    <row r="608" spans="1:27" x14ac:dyDescent="0.25">
      <c r="A608" s="16"/>
      <c r="B608" s="16"/>
      <c r="C608" s="16"/>
      <c r="D608" s="16"/>
      <c r="E608" s="16"/>
      <c r="F608" s="16"/>
      <c r="G608" s="16"/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  <c r="AA608" s="16"/>
    </row>
    <row r="609" spans="1:27" x14ac:dyDescent="0.25">
      <c r="A609" s="16"/>
      <c r="B609" s="16"/>
      <c r="C609" s="16"/>
      <c r="D609" s="16"/>
      <c r="E609" s="16"/>
      <c r="F609" s="16"/>
      <c r="G609" s="16"/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  <c r="AA609" s="16"/>
    </row>
    <row r="610" spans="1:27" x14ac:dyDescent="0.25">
      <c r="A610" s="16"/>
      <c r="B610" s="16"/>
      <c r="C610" s="16"/>
      <c r="D610" s="16"/>
      <c r="E610" s="16"/>
      <c r="F610" s="16"/>
      <c r="G610" s="16"/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  <c r="AA610" s="16"/>
    </row>
    <row r="611" spans="1:27" x14ac:dyDescent="0.25">
      <c r="A611" s="16"/>
      <c r="B611" s="16"/>
      <c r="C611" s="16"/>
      <c r="D611" s="16"/>
      <c r="E611" s="16"/>
      <c r="F611" s="16"/>
      <c r="G611" s="16"/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  <c r="AA611" s="16"/>
    </row>
    <row r="612" spans="1:27" x14ac:dyDescent="0.25">
      <c r="A612" s="16"/>
      <c r="B612" s="16"/>
      <c r="C612" s="16"/>
      <c r="D612" s="16"/>
      <c r="E612" s="16"/>
      <c r="F612" s="16"/>
      <c r="G612" s="16"/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</row>
    <row r="613" spans="1:27" x14ac:dyDescent="0.25">
      <c r="A613" s="16"/>
      <c r="B613" s="16"/>
      <c r="C613" s="16"/>
      <c r="D613" s="16"/>
      <c r="E613" s="16"/>
      <c r="F613" s="16"/>
      <c r="G613" s="16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  <c r="AA613" s="16"/>
    </row>
    <row r="614" spans="1:27" x14ac:dyDescent="0.25">
      <c r="A614" s="16"/>
      <c r="B614" s="16"/>
      <c r="C614" s="16"/>
      <c r="D614" s="16"/>
      <c r="E614" s="16"/>
      <c r="F614" s="16"/>
      <c r="G614" s="16"/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  <c r="AA614" s="16"/>
    </row>
    <row r="615" spans="1:27" x14ac:dyDescent="0.25">
      <c r="A615" s="16"/>
      <c r="B615" s="16"/>
      <c r="C615" s="16"/>
      <c r="D615" s="16"/>
      <c r="E615" s="16"/>
      <c r="F615" s="16"/>
      <c r="G615" s="16"/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  <c r="AA615" s="16"/>
    </row>
    <row r="616" spans="1:27" x14ac:dyDescent="0.25">
      <c r="A616" s="16"/>
      <c r="B616" s="16"/>
      <c r="C616" s="16"/>
      <c r="D616" s="16"/>
      <c r="E616" s="16"/>
      <c r="F616" s="16"/>
      <c r="G616" s="16"/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</row>
    <row r="617" spans="1:27" x14ac:dyDescent="0.25">
      <c r="A617" s="16"/>
      <c r="B617" s="16"/>
      <c r="C617" s="16"/>
      <c r="D617" s="16"/>
      <c r="E617" s="16"/>
      <c r="F617" s="16"/>
      <c r="G617" s="16"/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  <c r="AA617" s="16"/>
    </row>
    <row r="618" spans="1:27" x14ac:dyDescent="0.25">
      <c r="A618" s="16"/>
      <c r="B618" s="16"/>
      <c r="C618" s="16"/>
      <c r="D618" s="16"/>
      <c r="E618" s="16"/>
      <c r="F618" s="16"/>
      <c r="G618" s="16"/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  <c r="AA618" s="16"/>
    </row>
    <row r="619" spans="1:27" x14ac:dyDescent="0.25">
      <c r="A619" s="16"/>
      <c r="B619" s="16"/>
      <c r="C619" s="16"/>
      <c r="D619" s="16"/>
      <c r="E619" s="16"/>
      <c r="F619" s="16"/>
      <c r="G619" s="16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  <c r="AA619" s="16"/>
    </row>
    <row r="620" spans="1:27" x14ac:dyDescent="0.25">
      <c r="A620" s="16"/>
      <c r="B620" s="16"/>
      <c r="C620" s="16"/>
      <c r="D620" s="16"/>
      <c r="E620" s="16"/>
      <c r="F620" s="16"/>
      <c r="G620" s="16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  <c r="AA620" s="16"/>
    </row>
    <row r="621" spans="1:27" x14ac:dyDescent="0.25">
      <c r="A621" s="16"/>
      <c r="B621" s="16"/>
      <c r="C621" s="16"/>
      <c r="D621" s="16"/>
      <c r="E621" s="16"/>
      <c r="F621" s="16"/>
      <c r="G621" s="16"/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</row>
    <row r="622" spans="1:27" x14ac:dyDescent="0.25">
      <c r="A622" s="16"/>
      <c r="B622" s="16"/>
      <c r="C622" s="16"/>
      <c r="D622" s="16"/>
      <c r="E622" s="16"/>
      <c r="F622" s="16"/>
      <c r="G622" s="16"/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  <c r="AA622" s="16"/>
    </row>
    <row r="623" spans="1:27" x14ac:dyDescent="0.25">
      <c r="A623" s="16"/>
      <c r="B623" s="16"/>
      <c r="C623" s="16"/>
      <c r="D623" s="16"/>
      <c r="E623" s="16"/>
      <c r="F623" s="16"/>
      <c r="G623" s="16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</row>
    <row r="624" spans="1:27" x14ac:dyDescent="0.25">
      <c r="A624" s="16"/>
      <c r="B624" s="16"/>
      <c r="C624" s="16"/>
      <c r="D624" s="16"/>
      <c r="E624" s="16"/>
      <c r="F624" s="16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</row>
    <row r="625" spans="1:27" x14ac:dyDescent="0.25">
      <c r="A625" s="16"/>
      <c r="B625" s="16"/>
      <c r="C625" s="16"/>
      <c r="D625" s="16"/>
      <c r="E625" s="16"/>
      <c r="F625" s="16"/>
      <c r="G625" s="16"/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  <c r="AA625" s="16"/>
    </row>
    <row r="626" spans="1:27" x14ac:dyDescent="0.25">
      <c r="A626" s="16"/>
      <c r="B626" s="16"/>
      <c r="C626" s="16"/>
      <c r="D626" s="16"/>
      <c r="E626" s="16"/>
      <c r="F626" s="16"/>
      <c r="G626" s="16"/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</row>
    <row r="627" spans="1:27" x14ac:dyDescent="0.25">
      <c r="A627" s="16"/>
      <c r="B627" s="16"/>
      <c r="C627" s="16"/>
      <c r="D627" s="16"/>
      <c r="E627" s="16"/>
      <c r="F627" s="16"/>
      <c r="G627" s="16"/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  <c r="AA627" s="16"/>
    </row>
    <row r="628" spans="1:27" x14ac:dyDescent="0.25">
      <c r="A628" s="16"/>
      <c r="B628" s="16"/>
      <c r="C628" s="16"/>
      <c r="D628" s="16"/>
      <c r="E628" s="16"/>
      <c r="F628" s="16"/>
      <c r="G628" s="16"/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</row>
    <row r="629" spans="1:27" x14ac:dyDescent="0.25">
      <c r="A629" s="16"/>
      <c r="B629" s="16"/>
      <c r="C629" s="16"/>
      <c r="D629" s="16"/>
      <c r="E629" s="16"/>
      <c r="F629" s="16"/>
      <c r="G629" s="16"/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  <c r="AA629" s="16"/>
    </row>
    <row r="630" spans="1:27" x14ac:dyDescent="0.25">
      <c r="A630" s="16"/>
      <c r="B630" s="16"/>
      <c r="C630" s="16"/>
      <c r="D630" s="16"/>
      <c r="E630" s="16"/>
      <c r="F630" s="16"/>
      <c r="G630" s="16"/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</row>
    <row r="631" spans="1:27" x14ac:dyDescent="0.25">
      <c r="A631" s="16"/>
      <c r="B631" s="16"/>
      <c r="C631" s="16"/>
      <c r="D631" s="16"/>
      <c r="E631" s="16"/>
      <c r="F631" s="16"/>
      <c r="G631" s="16"/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  <c r="AA631" s="16"/>
    </row>
    <row r="632" spans="1:27" x14ac:dyDescent="0.25">
      <c r="A632" s="16"/>
      <c r="B632" s="16"/>
      <c r="C632" s="16"/>
      <c r="D632" s="16"/>
      <c r="E632" s="16"/>
      <c r="F632" s="16"/>
      <c r="G632" s="16"/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</row>
    <row r="633" spans="1:27" x14ac:dyDescent="0.25">
      <c r="A633" s="16"/>
      <c r="B633" s="16"/>
      <c r="C633" s="16"/>
      <c r="D633" s="16"/>
      <c r="E633" s="16"/>
      <c r="F633" s="16"/>
      <c r="G633" s="16"/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  <c r="AA633" s="16"/>
    </row>
    <row r="634" spans="1:27" x14ac:dyDescent="0.25">
      <c r="A634" s="16"/>
      <c r="B634" s="16"/>
      <c r="C634" s="16"/>
      <c r="D634" s="16"/>
      <c r="E634" s="16"/>
      <c r="F634" s="16"/>
      <c r="G634" s="16"/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</row>
    <row r="635" spans="1:27" x14ac:dyDescent="0.25">
      <c r="A635" s="16"/>
      <c r="B635" s="16"/>
      <c r="C635" s="16"/>
      <c r="D635" s="16"/>
      <c r="E635" s="16"/>
      <c r="F635" s="16"/>
      <c r="G635" s="16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</row>
    <row r="636" spans="1:27" x14ac:dyDescent="0.25">
      <c r="D636" s="16"/>
      <c r="E636" s="16"/>
      <c r="F636" s="16"/>
      <c r="G636" s="16"/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60" r:id="rId3" name="TextBox1">
          <controlPr defaultSize="0" autoLine="0" r:id="rId4">
            <anchor moveWithCells="1">
              <from>
                <xdr:col>0</xdr:col>
                <xdr:colOff>28575</xdr:colOff>
                <xdr:row>4</xdr:row>
                <xdr:rowOff>19050</xdr:rowOff>
              </from>
              <to>
                <xdr:col>2</xdr:col>
                <xdr:colOff>895350</xdr:colOff>
                <xdr:row>5</xdr:row>
                <xdr:rowOff>190500</xdr:rowOff>
              </to>
            </anchor>
          </controlPr>
        </control>
      </mc:Choice>
      <mc:Fallback>
        <control shapeId="19460" r:id="rId3" name="TextBox1"/>
      </mc:Fallback>
    </mc:AlternateContent>
    <mc:AlternateContent xmlns:mc="http://schemas.openxmlformats.org/markup-compatibility/2006">
      <mc:Choice Requires="x14">
        <control shapeId="19457" r:id="rId5" name="Button 1">
          <controlPr defaultSize="0" print="0" autoFill="0" autoPict="0" macro="[0]!AÑO2023GUARDAR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4</xdr:col>
                <xdr:colOff>2428875</xdr:colOff>
                <xdr:row>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6" name="Button 2">
          <controlPr defaultSize="0" print="0" autoFill="0" autoPict="0" macro="[0]!_xlnm.Database">
            <anchor moveWithCells="1" sizeWithCells="1">
              <from>
                <xdr:col>4</xdr:col>
                <xdr:colOff>2419350</xdr:colOff>
                <xdr:row>7</xdr:row>
                <xdr:rowOff>19050</xdr:rowOff>
              </from>
              <to>
                <xdr:col>6</xdr:col>
                <xdr:colOff>19050</xdr:colOff>
                <xdr:row>9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9" r:id="rId7" name="Button 3">
          <controlPr defaultSize="0" print="0" autoFill="0" autoPict="0" macro="[0]!MENU">
            <anchor moveWithCells="1" sizeWithCells="1">
              <from>
                <xdr:col>6</xdr:col>
                <xdr:colOff>19050</xdr:colOff>
                <xdr:row>7</xdr:row>
                <xdr:rowOff>28575</xdr:rowOff>
              </from>
              <to>
                <xdr:col>7</xdr:col>
                <xdr:colOff>19050</xdr:colOff>
                <xdr:row>9</xdr:row>
                <xdr:rowOff>38100</xdr:rowOff>
              </to>
            </anchor>
          </controlPr>
        </control>
      </mc:Choice>
    </mc:AlternateContent>
  </controls>
  <tableParts count="1">
    <tablePart r:id="rId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48985-0C9B-47B6-9EE9-0B713C523FE9}">
  <sheetPr codeName="Hoja13">
    <tabColor rgb="FFFF9933"/>
  </sheetPr>
  <dimension ref="A5:G119"/>
  <sheetViews>
    <sheetView workbookViewId="0">
      <selection activeCell="E7" sqref="E7"/>
    </sheetView>
  </sheetViews>
  <sheetFormatPr baseColWidth="10" defaultRowHeight="15" x14ac:dyDescent="0.25"/>
  <cols>
    <col min="1" max="1" width="51.85546875" style="42" customWidth="1"/>
    <col min="2" max="2" width="19.5703125" style="42" customWidth="1"/>
    <col min="3" max="3" width="14.7109375" style="42" customWidth="1"/>
    <col min="4" max="4" width="6.7109375" style="42" customWidth="1"/>
    <col min="5" max="5" width="34.42578125" style="42" customWidth="1"/>
    <col min="6" max="6" width="24.7109375" style="42" customWidth="1"/>
    <col min="7" max="16384" width="11.42578125" style="42"/>
  </cols>
  <sheetData>
    <row r="5" spans="1:7" ht="15.75" thickBot="1" x14ac:dyDescent="0.3"/>
    <row r="6" spans="1:7" ht="27" thickBot="1" x14ac:dyDescent="0.45">
      <c r="E6" s="3" t="s">
        <v>3</v>
      </c>
      <c r="F6" s="4" t="s">
        <v>1</v>
      </c>
      <c r="G6" s="41" t="s">
        <v>2</v>
      </c>
    </row>
    <row r="7" spans="1:7" ht="19.5" thickBot="1" x14ac:dyDescent="0.35">
      <c r="E7" s="19"/>
      <c r="F7" s="33" t="s">
        <v>335</v>
      </c>
      <c r="G7" s="26" t="s">
        <v>570</v>
      </c>
    </row>
    <row r="10" spans="1:7" ht="15.75" thickBot="1" x14ac:dyDescent="0.3"/>
    <row r="11" spans="1:7" ht="19.5" thickBot="1" x14ac:dyDescent="0.35">
      <c r="A11" s="36" t="s">
        <v>4</v>
      </c>
      <c r="B11" s="36" t="s">
        <v>1</v>
      </c>
      <c r="C11" s="36" t="s">
        <v>2</v>
      </c>
    </row>
    <row r="12" spans="1:7" ht="19.5" thickBot="1" x14ac:dyDescent="0.35">
      <c r="A12" s="19" t="s">
        <v>1463</v>
      </c>
      <c r="B12" s="33" t="s">
        <v>335</v>
      </c>
      <c r="C12" s="26" t="s">
        <v>568</v>
      </c>
    </row>
    <row r="13" spans="1:7" ht="19.5" thickBot="1" x14ac:dyDescent="0.35">
      <c r="A13" s="19" t="s">
        <v>1462</v>
      </c>
      <c r="B13" s="33" t="s">
        <v>335</v>
      </c>
      <c r="C13" s="26" t="s">
        <v>450</v>
      </c>
    </row>
    <row r="14" spans="1:7" ht="19.5" thickBot="1" x14ac:dyDescent="0.35">
      <c r="A14" s="40" t="s">
        <v>341</v>
      </c>
      <c r="B14" s="58" t="s">
        <v>335</v>
      </c>
      <c r="C14" s="38" t="s">
        <v>118</v>
      </c>
    </row>
    <row r="15" spans="1:7" ht="19.5" thickBot="1" x14ac:dyDescent="0.35">
      <c r="A15" s="40" t="s">
        <v>345</v>
      </c>
      <c r="B15" s="58" t="s">
        <v>335</v>
      </c>
      <c r="C15" s="38" t="s">
        <v>119</v>
      </c>
    </row>
    <row r="16" spans="1:7" ht="19.5" thickBot="1" x14ac:dyDescent="0.35">
      <c r="A16" s="40" t="s">
        <v>342</v>
      </c>
      <c r="B16" s="58" t="s">
        <v>335</v>
      </c>
      <c r="C16" s="38" t="s">
        <v>120</v>
      </c>
    </row>
    <row r="17" spans="1:3" ht="19.5" thickBot="1" x14ac:dyDescent="0.35">
      <c r="A17" s="40" t="s">
        <v>337</v>
      </c>
      <c r="B17" s="40" t="s">
        <v>335</v>
      </c>
      <c r="C17" s="38" t="s">
        <v>121</v>
      </c>
    </row>
    <row r="18" spans="1:3" ht="19.5" thickBot="1" x14ac:dyDescent="0.35">
      <c r="A18" s="40" t="s">
        <v>336</v>
      </c>
      <c r="B18" s="40" t="s">
        <v>335</v>
      </c>
      <c r="C18" s="38" t="s">
        <v>122</v>
      </c>
    </row>
    <row r="19" spans="1:3" ht="19.5" thickBot="1" x14ac:dyDescent="0.35">
      <c r="A19" s="40" t="s">
        <v>346</v>
      </c>
      <c r="B19" s="40" t="s">
        <v>335</v>
      </c>
      <c r="C19" s="38" t="s">
        <v>123</v>
      </c>
    </row>
    <row r="20" spans="1:3" ht="19.5" thickBot="1" x14ac:dyDescent="0.35">
      <c r="A20" s="40" t="s">
        <v>348</v>
      </c>
      <c r="B20" s="40" t="s">
        <v>335</v>
      </c>
      <c r="C20" s="38" t="s">
        <v>124</v>
      </c>
    </row>
    <row r="21" spans="1:3" ht="19.5" thickBot="1" x14ac:dyDescent="0.35">
      <c r="A21" s="40" t="s">
        <v>351</v>
      </c>
      <c r="B21" s="40" t="s">
        <v>335</v>
      </c>
      <c r="C21" s="38" t="s">
        <v>125</v>
      </c>
    </row>
    <row r="22" spans="1:3" ht="19.5" thickBot="1" x14ac:dyDescent="0.35">
      <c r="A22" s="40" t="s">
        <v>338</v>
      </c>
      <c r="B22" s="40" t="s">
        <v>335</v>
      </c>
      <c r="C22" s="38" t="s">
        <v>126</v>
      </c>
    </row>
    <row r="23" spans="1:3" ht="19.5" thickBot="1" x14ac:dyDescent="0.35">
      <c r="A23" s="40" t="s">
        <v>344</v>
      </c>
      <c r="B23" s="40" t="s">
        <v>335</v>
      </c>
      <c r="C23" s="38" t="s">
        <v>127</v>
      </c>
    </row>
    <row r="24" spans="1:3" ht="19.5" thickBot="1" x14ac:dyDescent="0.35">
      <c r="A24" s="40" t="s">
        <v>352</v>
      </c>
      <c r="B24" s="40" t="s">
        <v>335</v>
      </c>
      <c r="C24" s="38" t="s">
        <v>128</v>
      </c>
    </row>
    <row r="25" spans="1:3" ht="19.5" thickBot="1" x14ac:dyDescent="0.35">
      <c r="A25" s="40" t="s">
        <v>347</v>
      </c>
      <c r="B25" s="40" t="s">
        <v>335</v>
      </c>
      <c r="C25" s="38" t="s">
        <v>129</v>
      </c>
    </row>
    <row r="26" spans="1:3" ht="19.5" thickBot="1" x14ac:dyDescent="0.35">
      <c r="A26" s="40" t="s">
        <v>349</v>
      </c>
      <c r="B26" s="40" t="s">
        <v>335</v>
      </c>
      <c r="C26" s="38" t="s">
        <v>130</v>
      </c>
    </row>
    <row r="27" spans="1:3" ht="19.5" thickBot="1" x14ac:dyDescent="0.35">
      <c r="A27" s="40" t="s">
        <v>343</v>
      </c>
      <c r="B27" s="40" t="s">
        <v>335</v>
      </c>
      <c r="C27" s="38" t="s">
        <v>131</v>
      </c>
    </row>
    <row r="28" spans="1:3" ht="19.5" thickBot="1" x14ac:dyDescent="0.35">
      <c r="A28" s="40" t="s">
        <v>340</v>
      </c>
      <c r="B28" s="40" t="s">
        <v>335</v>
      </c>
      <c r="C28" s="38" t="s">
        <v>132</v>
      </c>
    </row>
    <row r="29" spans="1:3" ht="19.5" thickBot="1" x14ac:dyDescent="0.35">
      <c r="A29" s="40" t="s">
        <v>339</v>
      </c>
      <c r="B29" s="40" t="s">
        <v>335</v>
      </c>
      <c r="C29" s="38" t="s">
        <v>133</v>
      </c>
    </row>
    <row r="30" spans="1:3" ht="19.5" thickBot="1" x14ac:dyDescent="0.35">
      <c r="A30" s="40" t="s">
        <v>350</v>
      </c>
      <c r="B30" s="40" t="s">
        <v>335</v>
      </c>
      <c r="C30" s="38" t="s">
        <v>134</v>
      </c>
    </row>
    <row r="31" spans="1:3" ht="19.5" thickBot="1" x14ac:dyDescent="0.35">
      <c r="A31" s="40" t="s">
        <v>353</v>
      </c>
      <c r="B31" s="40" t="s">
        <v>335</v>
      </c>
      <c r="C31" s="38" t="s">
        <v>135</v>
      </c>
    </row>
    <row r="32" spans="1:3" ht="19.5" thickBot="1" x14ac:dyDescent="0.35">
      <c r="A32" s="25" t="s">
        <v>359</v>
      </c>
      <c r="B32" s="25" t="s">
        <v>335</v>
      </c>
      <c r="C32" s="38" t="s">
        <v>136</v>
      </c>
    </row>
    <row r="33" spans="1:3" ht="19.5" thickBot="1" x14ac:dyDescent="0.35">
      <c r="A33" s="25" t="s">
        <v>360</v>
      </c>
      <c r="B33" s="25" t="s">
        <v>335</v>
      </c>
      <c r="C33" s="38" t="s">
        <v>137</v>
      </c>
    </row>
    <row r="34" spans="1:3" ht="19.5" thickBot="1" x14ac:dyDescent="0.35">
      <c r="A34" s="25" t="s">
        <v>361</v>
      </c>
      <c r="B34" s="25" t="s">
        <v>335</v>
      </c>
      <c r="C34" s="38" t="s">
        <v>138</v>
      </c>
    </row>
    <row r="35" spans="1:3" ht="19.5" thickBot="1" x14ac:dyDescent="0.35">
      <c r="A35" s="25" t="s">
        <v>362</v>
      </c>
      <c r="B35" s="25" t="s">
        <v>335</v>
      </c>
      <c r="C35" s="38" t="s">
        <v>139</v>
      </c>
    </row>
    <row r="36" spans="1:3" ht="19.5" thickBot="1" x14ac:dyDescent="0.35">
      <c r="A36" s="25" t="s">
        <v>363</v>
      </c>
      <c r="B36" s="25" t="s">
        <v>335</v>
      </c>
      <c r="C36" s="38" t="s">
        <v>140</v>
      </c>
    </row>
    <row r="37" spans="1:3" ht="19.5" thickBot="1" x14ac:dyDescent="0.35">
      <c r="A37" s="25" t="s">
        <v>364</v>
      </c>
      <c r="B37" s="25" t="s">
        <v>335</v>
      </c>
      <c r="C37" s="38" t="s">
        <v>141</v>
      </c>
    </row>
    <row r="38" spans="1:3" ht="19.5" thickBot="1" x14ac:dyDescent="0.35">
      <c r="A38" s="25" t="s">
        <v>365</v>
      </c>
      <c r="B38" s="25" t="s">
        <v>335</v>
      </c>
      <c r="C38" s="38" t="s">
        <v>142</v>
      </c>
    </row>
    <row r="39" spans="1:3" ht="19.5" thickBot="1" x14ac:dyDescent="0.35">
      <c r="A39" s="25" t="s">
        <v>366</v>
      </c>
      <c r="B39" s="25" t="s">
        <v>335</v>
      </c>
      <c r="C39" s="38" t="s">
        <v>143</v>
      </c>
    </row>
    <row r="40" spans="1:3" ht="19.5" thickBot="1" x14ac:dyDescent="0.35">
      <c r="A40" s="25" t="s">
        <v>367</v>
      </c>
      <c r="B40" s="25" t="s">
        <v>335</v>
      </c>
      <c r="C40" s="38" t="s">
        <v>144</v>
      </c>
    </row>
    <row r="41" spans="1:3" ht="19.5" thickBot="1" x14ac:dyDescent="0.35">
      <c r="A41" s="25" t="s">
        <v>368</v>
      </c>
      <c r="B41" s="25" t="s">
        <v>335</v>
      </c>
      <c r="C41" s="38" t="s">
        <v>145</v>
      </c>
    </row>
    <row r="42" spans="1:3" ht="19.5" thickBot="1" x14ac:dyDescent="0.35">
      <c r="A42" s="19" t="s">
        <v>369</v>
      </c>
      <c r="B42" s="25" t="s">
        <v>335</v>
      </c>
      <c r="C42" s="38" t="s">
        <v>146</v>
      </c>
    </row>
    <row r="43" spans="1:3" ht="19.5" thickBot="1" x14ac:dyDescent="0.35">
      <c r="A43" s="19" t="s">
        <v>370</v>
      </c>
      <c r="B43" s="25" t="s">
        <v>335</v>
      </c>
      <c r="C43" s="38" t="s">
        <v>147</v>
      </c>
    </row>
    <row r="44" spans="1:3" ht="19.5" thickBot="1" x14ac:dyDescent="0.35">
      <c r="A44" s="19" t="s">
        <v>371</v>
      </c>
      <c r="B44" s="25" t="s">
        <v>335</v>
      </c>
      <c r="C44" s="38" t="s">
        <v>148</v>
      </c>
    </row>
    <row r="45" spans="1:3" ht="19.5" thickBot="1" x14ac:dyDescent="0.35">
      <c r="A45" s="19" t="s">
        <v>372</v>
      </c>
      <c r="B45" s="25" t="s">
        <v>335</v>
      </c>
      <c r="C45" s="38" t="s">
        <v>149</v>
      </c>
    </row>
    <row r="46" spans="1:3" ht="19.5" thickBot="1" x14ac:dyDescent="0.35">
      <c r="A46" s="19" t="s">
        <v>373</v>
      </c>
      <c r="B46" s="25" t="s">
        <v>335</v>
      </c>
      <c r="C46" s="38" t="s">
        <v>150</v>
      </c>
    </row>
    <row r="47" spans="1:3" ht="19.5" thickBot="1" x14ac:dyDescent="0.35">
      <c r="A47" s="19" t="s">
        <v>374</v>
      </c>
      <c r="B47" s="25" t="s">
        <v>335</v>
      </c>
      <c r="C47" s="38" t="s">
        <v>151</v>
      </c>
    </row>
    <row r="48" spans="1:3" ht="19.5" thickBot="1" x14ac:dyDescent="0.35">
      <c r="A48" s="19" t="s">
        <v>375</v>
      </c>
      <c r="B48" s="25" t="s">
        <v>335</v>
      </c>
      <c r="C48" s="38" t="s">
        <v>152</v>
      </c>
    </row>
    <row r="49" spans="1:3" ht="19.5" thickBot="1" x14ac:dyDescent="0.35">
      <c r="A49" s="19" t="s">
        <v>376</v>
      </c>
      <c r="B49" s="25" t="s">
        <v>335</v>
      </c>
      <c r="C49" s="38" t="s">
        <v>153</v>
      </c>
    </row>
    <row r="50" spans="1:3" ht="19.5" thickBot="1" x14ac:dyDescent="0.35">
      <c r="A50" s="19" t="s">
        <v>377</v>
      </c>
      <c r="B50" s="25" t="s">
        <v>335</v>
      </c>
      <c r="C50" s="38" t="s">
        <v>154</v>
      </c>
    </row>
    <row r="51" spans="1:3" ht="19.5" thickBot="1" x14ac:dyDescent="0.35">
      <c r="A51" s="19" t="s">
        <v>378</v>
      </c>
      <c r="B51" s="25" t="s">
        <v>335</v>
      </c>
      <c r="C51" s="38" t="s">
        <v>155</v>
      </c>
    </row>
    <row r="52" spans="1:3" ht="19.5" thickBot="1" x14ac:dyDescent="0.35">
      <c r="A52" s="19" t="s">
        <v>379</v>
      </c>
      <c r="B52" s="25" t="s">
        <v>335</v>
      </c>
      <c r="C52" s="38" t="s">
        <v>156</v>
      </c>
    </row>
    <row r="53" spans="1:3" ht="19.5" thickBot="1" x14ac:dyDescent="0.35">
      <c r="A53" s="19" t="s">
        <v>380</v>
      </c>
      <c r="B53" s="25" t="s">
        <v>335</v>
      </c>
      <c r="C53" s="38" t="s">
        <v>157</v>
      </c>
    </row>
    <row r="54" spans="1:3" ht="19.5" thickBot="1" x14ac:dyDescent="0.35">
      <c r="A54" s="19" t="s">
        <v>381</v>
      </c>
      <c r="B54" s="25" t="s">
        <v>335</v>
      </c>
      <c r="C54" s="38" t="s">
        <v>158</v>
      </c>
    </row>
    <row r="55" spans="1:3" ht="19.5" thickBot="1" x14ac:dyDescent="0.35">
      <c r="A55" s="19" t="s">
        <v>382</v>
      </c>
      <c r="B55" s="25" t="s">
        <v>335</v>
      </c>
      <c r="C55" s="38" t="s">
        <v>159</v>
      </c>
    </row>
    <row r="56" spans="1:3" ht="19.5" thickBot="1" x14ac:dyDescent="0.35">
      <c r="A56" s="19" t="s">
        <v>383</v>
      </c>
      <c r="B56" s="25" t="s">
        <v>335</v>
      </c>
      <c r="C56" s="38" t="s">
        <v>160</v>
      </c>
    </row>
    <row r="57" spans="1:3" ht="19.5" thickBot="1" x14ac:dyDescent="0.35">
      <c r="A57" s="19" t="s">
        <v>384</v>
      </c>
      <c r="B57" s="25" t="s">
        <v>335</v>
      </c>
      <c r="C57" s="38" t="s">
        <v>161</v>
      </c>
    </row>
    <row r="58" spans="1:3" ht="19.5" thickBot="1" x14ac:dyDescent="0.35">
      <c r="A58" s="19" t="s">
        <v>385</v>
      </c>
      <c r="B58" s="25" t="s">
        <v>335</v>
      </c>
      <c r="C58" s="38" t="s">
        <v>162</v>
      </c>
    </row>
    <row r="59" spans="1:3" ht="19.5" thickBot="1" x14ac:dyDescent="0.35">
      <c r="A59" s="19" t="s">
        <v>386</v>
      </c>
      <c r="B59" s="25" t="s">
        <v>335</v>
      </c>
      <c r="C59" s="38" t="s">
        <v>163</v>
      </c>
    </row>
    <row r="60" spans="1:3" ht="19.5" thickBot="1" x14ac:dyDescent="0.35">
      <c r="A60" s="19" t="s">
        <v>387</v>
      </c>
      <c r="B60" s="25" t="s">
        <v>335</v>
      </c>
      <c r="C60" s="38" t="s">
        <v>164</v>
      </c>
    </row>
    <row r="61" spans="1:3" ht="19.5" thickBot="1" x14ac:dyDescent="0.35">
      <c r="A61" s="19" t="s">
        <v>388</v>
      </c>
      <c r="B61" s="25" t="s">
        <v>335</v>
      </c>
      <c r="C61" s="38" t="s">
        <v>165</v>
      </c>
    </row>
    <row r="62" spans="1:3" ht="19.5" thickBot="1" x14ac:dyDescent="0.35">
      <c r="A62" s="19" t="s">
        <v>389</v>
      </c>
      <c r="B62" s="25" t="s">
        <v>335</v>
      </c>
      <c r="C62" s="38" t="s">
        <v>166</v>
      </c>
    </row>
    <row r="63" spans="1:3" ht="19.5" thickBot="1" x14ac:dyDescent="0.35">
      <c r="A63" s="19" t="s">
        <v>390</v>
      </c>
      <c r="B63" s="25" t="s">
        <v>335</v>
      </c>
      <c r="C63" s="38" t="s">
        <v>167</v>
      </c>
    </row>
    <row r="64" spans="1:3" ht="19.5" thickBot="1" x14ac:dyDescent="0.35">
      <c r="A64" s="19" t="s">
        <v>391</v>
      </c>
      <c r="B64" s="25" t="s">
        <v>335</v>
      </c>
      <c r="C64" s="38" t="s">
        <v>168</v>
      </c>
    </row>
    <row r="65" spans="1:3" ht="19.5" thickBot="1" x14ac:dyDescent="0.35">
      <c r="A65" s="19" t="s">
        <v>392</v>
      </c>
      <c r="B65" s="25" t="s">
        <v>335</v>
      </c>
      <c r="C65" s="38" t="s">
        <v>169</v>
      </c>
    </row>
    <row r="66" spans="1:3" ht="19.5" thickBot="1" x14ac:dyDescent="0.35">
      <c r="A66" s="19" t="s">
        <v>393</v>
      </c>
      <c r="B66" s="25" t="s">
        <v>335</v>
      </c>
      <c r="C66" s="38" t="s">
        <v>170</v>
      </c>
    </row>
    <row r="67" spans="1:3" ht="19.5" thickBot="1" x14ac:dyDescent="0.35">
      <c r="A67" s="19" t="s">
        <v>394</v>
      </c>
      <c r="B67" s="25" t="s">
        <v>335</v>
      </c>
      <c r="C67" s="38" t="s">
        <v>171</v>
      </c>
    </row>
    <row r="68" spans="1:3" ht="19.5" thickBot="1" x14ac:dyDescent="0.35">
      <c r="A68" s="19" t="s">
        <v>395</v>
      </c>
      <c r="B68" s="25" t="s">
        <v>335</v>
      </c>
      <c r="C68" s="38" t="s">
        <v>172</v>
      </c>
    </row>
    <row r="69" spans="1:3" ht="19.5" thickBot="1" x14ac:dyDescent="0.35">
      <c r="A69" s="19" t="s">
        <v>396</v>
      </c>
      <c r="B69" s="25" t="s">
        <v>335</v>
      </c>
      <c r="C69" s="38" t="s">
        <v>173</v>
      </c>
    </row>
    <row r="70" spans="1:3" ht="19.5" thickBot="1" x14ac:dyDescent="0.35">
      <c r="A70" s="19" t="s">
        <v>397</v>
      </c>
      <c r="B70" s="25" t="s">
        <v>335</v>
      </c>
      <c r="C70" s="38" t="s">
        <v>174</v>
      </c>
    </row>
    <row r="71" spans="1:3" ht="19.5" thickBot="1" x14ac:dyDescent="0.35">
      <c r="A71" s="19" t="s">
        <v>398</v>
      </c>
      <c r="B71" s="25" t="s">
        <v>335</v>
      </c>
      <c r="C71" s="38" t="s">
        <v>175</v>
      </c>
    </row>
    <row r="72" spans="1:3" ht="19.5" thickBot="1" x14ac:dyDescent="0.35">
      <c r="A72" s="19" t="s">
        <v>399</v>
      </c>
      <c r="B72" s="25" t="s">
        <v>335</v>
      </c>
      <c r="C72" s="38" t="s">
        <v>176</v>
      </c>
    </row>
    <row r="73" spans="1:3" ht="19.5" thickBot="1" x14ac:dyDescent="0.35">
      <c r="A73" s="19" t="s">
        <v>400</v>
      </c>
      <c r="B73" s="25" t="s">
        <v>335</v>
      </c>
      <c r="C73" s="38" t="s">
        <v>278</v>
      </c>
    </row>
    <row r="74" spans="1:3" ht="19.5" thickBot="1" x14ac:dyDescent="0.35">
      <c r="A74" s="19" t="s">
        <v>401</v>
      </c>
      <c r="B74" s="25" t="s">
        <v>335</v>
      </c>
      <c r="C74" s="38" t="s">
        <v>279</v>
      </c>
    </row>
    <row r="75" spans="1:3" ht="19.5" thickBot="1" x14ac:dyDescent="0.35">
      <c r="A75" s="19" t="s">
        <v>402</v>
      </c>
      <c r="B75" s="25" t="s">
        <v>335</v>
      </c>
      <c r="C75" s="38" t="s">
        <v>280</v>
      </c>
    </row>
    <row r="76" spans="1:3" ht="19.5" thickBot="1" x14ac:dyDescent="0.35">
      <c r="A76" s="19" t="s">
        <v>403</v>
      </c>
      <c r="B76" s="25" t="s">
        <v>335</v>
      </c>
      <c r="C76" s="38" t="s">
        <v>281</v>
      </c>
    </row>
    <row r="77" spans="1:3" ht="19.5" thickBot="1" x14ac:dyDescent="0.35">
      <c r="A77" s="19" t="s">
        <v>404</v>
      </c>
      <c r="B77" s="25" t="s">
        <v>335</v>
      </c>
      <c r="C77" s="38" t="s">
        <v>282</v>
      </c>
    </row>
    <row r="78" spans="1:3" ht="19.5" thickBot="1" x14ac:dyDescent="0.35">
      <c r="A78" s="19" t="s">
        <v>405</v>
      </c>
      <c r="B78" s="25" t="s">
        <v>335</v>
      </c>
      <c r="C78" s="38" t="s">
        <v>283</v>
      </c>
    </row>
    <row r="79" spans="1:3" ht="19.5" thickBot="1" x14ac:dyDescent="0.35">
      <c r="A79" s="19" t="s">
        <v>406</v>
      </c>
      <c r="B79" s="25" t="s">
        <v>335</v>
      </c>
      <c r="C79" s="38" t="s">
        <v>284</v>
      </c>
    </row>
    <row r="80" spans="1:3" ht="19.5" thickBot="1" x14ac:dyDescent="0.35">
      <c r="A80" s="19" t="s">
        <v>407</v>
      </c>
      <c r="B80" s="25" t="s">
        <v>335</v>
      </c>
      <c r="C80" s="38" t="s">
        <v>285</v>
      </c>
    </row>
    <row r="81" spans="1:3" ht="19.5" thickBot="1" x14ac:dyDescent="0.35">
      <c r="A81" s="19" t="s">
        <v>408</v>
      </c>
      <c r="B81" s="25" t="s">
        <v>335</v>
      </c>
      <c r="C81" s="38" t="s">
        <v>286</v>
      </c>
    </row>
    <row r="82" spans="1:3" ht="19.5" thickBot="1" x14ac:dyDescent="0.35">
      <c r="A82" s="19" t="s">
        <v>409</v>
      </c>
      <c r="B82" s="25" t="s">
        <v>335</v>
      </c>
      <c r="C82" s="38" t="s">
        <v>287</v>
      </c>
    </row>
    <row r="83" spans="1:3" ht="19.5" thickBot="1" x14ac:dyDescent="0.35">
      <c r="A83" s="19" t="s">
        <v>410</v>
      </c>
      <c r="B83" s="25" t="s">
        <v>335</v>
      </c>
      <c r="C83" s="38" t="s">
        <v>288</v>
      </c>
    </row>
    <row r="84" spans="1:3" ht="19.5" thickBot="1" x14ac:dyDescent="0.35">
      <c r="A84" s="19" t="s">
        <v>411</v>
      </c>
      <c r="B84" s="25" t="s">
        <v>335</v>
      </c>
      <c r="C84" s="38" t="s">
        <v>289</v>
      </c>
    </row>
    <row r="85" spans="1:3" ht="19.5" thickBot="1" x14ac:dyDescent="0.35">
      <c r="A85" s="19" t="s">
        <v>412</v>
      </c>
      <c r="B85" s="25" t="s">
        <v>335</v>
      </c>
      <c r="C85" s="38" t="s">
        <v>290</v>
      </c>
    </row>
    <row r="86" spans="1:3" ht="19.5" thickBot="1" x14ac:dyDescent="0.35">
      <c r="A86" s="19" t="s">
        <v>413</v>
      </c>
      <c r="B86" s="25" t="s">
        <v>335</v>
      </c>
      <c r="C86" s="38" t="s">
        <v>291</v>
      </c>
    </row>
    <row r="87" spans="1:3" ht="19.5" thickBot="1" x14ac:dyDescent="0.35">
      <c r="A87" s="19" t="s">
        <v>414</v>
      </c>
      <c r="B87" s="25" t="s">
        <v>335</v>
      </c>
      <c r="C87" s="38" t="s">
        <v>292</v>
      </c>
    </row>
    <row r="88" spans="1:3" ht="19.5" thickBot="1" x14ac:dyDescent="0.35">
      <c r="A88" s="19" t="s">
        <v>415</v>
      </c>
      <c r="B88" s="25" t="s">
        <v>335</v>
      </c>
      <c r="C88" s="38" t="s">
        <v>293</v>
      </c>
    </row>
    <row r="89" spans="1:3" ht="19.5" thickBot="1" x14ac:dyDescent="0.35">
      <c r="A89" s="19" t="s">
        <v>416</v>
      </c>
      <c r="B89" s="25" t="s">
        <v>335</v>
      </c>
      <c r="C89" s="38" t="s">
        <v>294</v>
      </c>
    </row>
    <row r="90" spans="1:3" ht="19.5" thickBot="1" x14ac:dyDescent="0.35">
      <c r="A90" s="19" t="s">
        <v>417</v>
      </c>
      <c r="B90" s="25" t="s">
        <v>335</v>
      </c>
      <c r="C90" s="38" t="s">
        <v>295</v>
      </c>
    </row>
    <row r="91" spans="1:3" ht="19.5" thickBot="1" x14ac:dyDescent="0.35">
      <c r="A91" s="19" t="s">
        <v>418</v>
      </c>
      <c r="B91" s="25" t="s">
        <v>335</v>
      </c>
      <c r="C91" s="38" t="s">
        <v>296</v>
      </c>
    </row>
    <row r="92" spans="1:3" ht="19.5" thickBot="1" x14ac:dyDescent="0.35">
      <c r="A92" s="19" t="s">
        <v>419</v>
      </c>
      <c r="B92" s="25" t="s">
        <v>335</v>
      </c>
      <c r="C92" s="38" t="s">
        <v>297</v>
      </c>
    </row>
    <row r="93" spans="1:3" ht="19.5" thickBot="1" x14ac:dyDescent="0.35">
      <c r="A93" s="19" t="s">
        <v>420</v>
      </c>
      <c r="B93" s="25" t="s">
        <v>335</v>
      </c>
      <c r="C93" s="38" t="s">
        <v>298</v>
      </c>
    </row>
    <row r="94" spans="1:3" ht="19.5" thickBot="1" x14ac:dyDescent="0.35">
      <c r="A94" s="19" t="s">
        <v>421</v>
      </c>
      <c r="B94" s="25" t="s">
        <v>335</v>
      </c>
      <c r="C94" s="38" t="s">
        <v>299</v>
      </c>
    </row>
    <row r="95" spans="1:3" ht="19.5" thickBot="1" x14ac:dyDescent="0.35">
      <c r="A95" s="19" t="s">
        <v>422</v>
      </c>
      <c r="B95" s="25" t="s">
        <v>335</v>
      </c>
      <c r="C95" s="38" t="s">
        <v>300</v>
      </c>
    </row>
    <row r="96" spans="1:3" ht="19.5" thickBot="1" x14ac:dyDescent="0.35">
      <c r="A96" s="19" t="s">
        <v>423</v>
      </c>
      <c r="B96" s="25" t="s">
        <v>335</v>
      </c>
      <c r="C96" s="38" t="s">
        <v>301</v>
      </c>
    </row>
    <row r="97" spans="1:3" ht="19.5" thickBot="1" x14ac:dyDescent="0.35">
      <c r="A97" s="19" t="s">
        <v>424</v>
      </c>
      <c r="B97" s="25" t="s">
        <v>335</v>
      </c>
      <c r="C97" s="38" t="s">
        <v>302</v>
      </c>
    </row>
    <row r="98" spans="1:3" ht="19.5" thickBot="1" x14ac:dyDescent="0.35">
      <c r="A98" s="19" t="s">
        <v>425</v>
      </c>
      <c r="B98" s="25" t="s">
        <v>335</v>
      </c>
      <c r="C98" s="38" t="s">
        <v>303</v>
      </c>
    </row>
    <row r="99" spans="1:3" ht="19.5" thickBot="1" x14ac:dyDescent="0.35">
      <c r="A99" s="19" t="s">
        <v>426</v>
      </c>
      <c r="B99" s="25" t="s">
        <v>335</v>
      </c>
      <c r="C99" s="38" t="s">
        <v>304</v>
      </c>
    </row>
    <row r="100" spans="1:3" ht="19.5" thickBot="1" x14ac:dyDescent="0.35">
      <c r="A100" s="19" t="s">
        <v>427</v>
      </c>
      <c r="B100" s="25" t="s">
        <v>335</v>
      </c>
      <c r="C100" s="38" t="s">
        <v>305</v>
      </c>
    </row>
    <row r="101" spans="1:3" ht="19.5" thickBot="1" x14ac:dyDescent="0.35">
      <c r="A101" s="19" t="s">
        <v>428</v>
      </c>
      <c r="B101" s="25" t="s">
        <v>335</v>
      </c>
      <c r="C101" s="38" t="s">
        <v>306</v>
      </c>
    </row>
    <row r="102" spans="1:3" ht="19.5" thickBot="1" x14ac:dyDescent="0.35">
      <c r="A102" s="19" t="s">
        <v>429</v>
      </c>
      <c r="B102" s="25" t="s">
        <v>335</v>
      </c>
      <c r="C102" s="38" t="s">
        <v>307</v>
      </c>
    </row>
    <row r="103" spans="1:3" ht="19.5" thickBot="1" x14ac:dyDescent="0.35">
      <c r="A103" s="19" t="s">
        <v>430</v>
      </c>
      <c r="B103" s="25" t="s">
        <v>335</v>
      </c>
      <c r="C103" s="38" t="s">
        <v>308</v>
      </c>
    </row>
    <row r="104" spans="1:3" ht="19.5" thickBot="1" x14ac:dyDescent="0.35">
      <c r="A104" s="19" t="s">
        <v>431</v>
      </c>
      <c r="B104" s="25" t="s">
        <v>335</v>
      </c>
      <c r="C104" s="38" t="s">
        <v>309</v>
      </c>
    </row>
    <row r="105" spans="1:3" ht="19.5" thickBot="1" x14ac:dyDescent="0.35">
      <c r="A105" s="19" t="s">
        <v>432</v>
      </c>
      <c r="B105" s="25" t="s">
        <v>335</v>
      </c>
      <c r="C105" s="38" t="s">
        <v>310</v>
      </c>
    </row>
    <row r="106" spans="1:3" ht="19.5" thickBot="1" x14ac:dyDescent="0.35">
      <c r="A106" s="19" t="s">
        <v>433</v>
      </c>
      <c r="B106" s="25" t="s">
        <v>335</v>
      </c>
      <c r="C106" s="38" t="s">
        <v>311</v>
      </c>
    </row>
    <row r="107" spans="1:3" ht="19.5" thickBot="1" x14ac:dyDescent="0.35">
      <c r="A107" s="19" t="s">
        <v>434</v>
      </c>
      <c r="B107" s="25" t="s">
        <v>335</v>
      </c>
      <c r="C107" s="38" t="s">
        <v>312</v>
      </c>
    </row>
    <row r="108" spans="1:3" ht="19.5" thickBot="1" x14ac:dyDescent="0.35">
      <c r="A108" s="19" t="s">
        <v>435</v>
      </c>
      <c r="B108" s="25" t="s">
        <v>335</v>
      </c>
      <c r="C108" s="38" t="s">
        <v>313</v>
      </c>
    </row>
    <row r="109" spans="1:3" ht="19.5" thickBot="1" x14ac:dyDescent="0.35">
      <c r="A109" s="19" t="s">
        <v>436</v>
      </c>
      <c r="B109" s="25" t="s">
        <v>335</v>
      </c>
      <c r="C109" s="38" t="s">
        <v>314</v>
      </c>
    </row>
    <row r="110" spans="1:3" ht="19.5" thickBot="1" x14ac:dyDescent="0.35">
      <c r="A110" s="19" t="s">
        <v>437</v>
      </c>
      <c r="B110" s="25" t="s">
        <v>335</v>
      </c>
      <c r="C110" s="38" t="s">
        <v>315</v>
      </c>
    </row>
    <row r="111" spans="1:3" ht="19.5" thickBot="1" x14ac:dyDescent="0.35">
      <c r="A111" s="19" t="s">
        <v>438</v>
      </c>
      <c r="B111" s="25" t="s">
        <v>335</v>
      </c>
      <c r="C111" s="38" t="s">
        <v>316</v>
      </c>
    </row>
    <row r="112" spans="1:3" ht="19.5" thickBot="1" x14ac:dyDescent="0.35">
      <c r="A112" s="19" t="s">
        <v>439</v>
      </c>
      <c r="B112" s="25" t="s">
        <v>335</v>
      </c>
      <c r="C112" s="38" t="s">
        <v>317</v>
      </c>
    </row>
    <row r="113" spans="1:3" ht="19.5" thickBot="1" x14ac:dyDescent="0.35">
      <c r="A113" s="19" t="s">
        <v>440</v>
      </c>
      <c r="B113" s="25" t="s">
        <v>335</v>
      </c>
      <c r="C113" s="38" t="s">
        <v>318</v>
      </c>
    </row>
    <row r="114" spans="1:3" ht="19.5" thickBot="1" x14ac:dyDescent="0.35">
      <c r="A114" s="19" t="s">
        <v>441</v>
      </c>
      <c r="B114" s="25" t="s">
        <v>335</v>
      </c>
      <c r="C114" s="38" t="s">
        <v>319</v>
      </c>
    </row>
    <row r="115" spans="1:3" ht="19.5" thickBot="1" x14ac:dyDescent="0.35">
      <c r="A115" s="19" t="s">
        <v>442</v>
      </c>
      <c r="B115" s="25" t="s">
        <v>335</v>
      </c>
      <c r="C115" s="38" t="s">
        <v>443</v>
      </c>
    </row>
    <row r="116" spans="1:3" ht="19.5" thickBot="1" x14ac:dyDescent="0.35">
      <c r="A116" s="19" t="s">
        <v>445</v>
      </c>
      <c r="B116" s="25" t="s">
        <v>335</v>
      </c>
      <c r="C116" s="26" t="s">
        <v>444</v>
      </c>
    </row>
    <row r="117" spans="1:3" ht="19.5" thickBot="1" x14ac:dyDescent="0.35">
      <c r="A117" s="19" t="s">
        <v>447</v>
      </c>
      <c r="B117" s="25" t="s">
        <v>335</v>
      </c>
      <c r="C117" s="26" t="s">
        <v>446</v>
      </c>
    </row>
    <row r="118" spans="1:3" ht="19.5" thickBot="1" x14ac:dyDescent="0.35">
      <c r="A118" s="19" t="s">
        <v>449</v>
      </c>
      <c r="B118" s="25" t="s">
        <v>335</v>
      </c>
      <c r="C118" s="26" t="s">
        <v>448</v>
      </c>
    </row>
    <row r="119" spans="1:3" ht="18.75" x14ac:dyDescent="0.3">
      <c r="A119" s="34" t="s">
        <v>9</v>
      </c>
      <c r="B119" s="34"/>
      <c r="C119" s="29">
        <f>SUBTOTAL(103,TABLAAÑO2024[FICHA])</f>
        <v>107</v>
      </c>
    </row>
  </sheetData>
  <autoFilter ref="E6:G7" xr:uid="{9A748985-0C9B-47B6-9EE9-0B713C523FE9}">
    <sortState xmlns:xlrd2="http://schemas.microsoft.com/office/spreadsheetml/2017/richdata2" ref="E7:G7">
      <sortCondition ref="G7"/>
    </sortState>
  </autoFilter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84" r:id="rId3" name="TextBox1">
          <controlPr defaultSize="0" autoLine="0" r:id="rId4">
            <anchor moveWithCells="1">
              <from>
                <xdr:col>0</xdr:col>
                <xdr:colOff>0</xdr:colOff>
                <xdr:row>3</xdr:row>
                <xdr:rowOff>180975</xdr:rowOff>
              </from>
              <to>
                <xdr:col>2</xdr:col>
                <xdr:colOff>923925</xdr:colOff>
                <xdr:row>5</xdr:row>
                <xdr:rowOff>161925</xdr:rowOff>
              </to>
            </anchor>
          </controlPr>
        </control>
      </mc:Choice>
      <mc:Fallback>
        <control shapeId="20484" r:id="rId3" name="TextBox1"/>
      </mc:Fallback>
    </mc:AlternateContent>
    <mc:AlternateContent xmlns:mc="http://schemas.openxmlformats.org/markup-compatibility/2006">
      <mc:Choice Requires="x14">
        <control shapeId="20481" r:id="rId5" name="Button 1">
          <controlPr defaultSize="0" print="0" autoFill="0" autoPict="0" macro="[0]!AÑO2024">
            <anchor moveWithCells="1" sizeWithCells="1">
              <from>
                <xdr:col>3</xdr:col>
                <xdr:colOff>438150</xdr:colOff>
                <xdr:row>7</xdr:row>
                <xdr:rowOff>9525</xdr:rowOff>
              </from>
              <to>
                <xdr:col>5</xdr:col>
                <xdr:colOff>9525</xdr:colOff>
                <xdr:row>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482" r:id="rId6" name="Button 2">
          <controlPr defaultSize="0" print="0" autoFill="0" autoPict="0" macro="[0]!_xlnm.Database">
            <anchor moveWithCells="1" sizeWithCells="1">
              <from>
                <xdr:col>5</xdr:col>
                <xdr:colOff>9525</xdr:colOff>
                <xdr:row>7</xdr:row>
                <xdr:rowOff>9525</xdr:rowOff>
              </from>
              <to>
                <xdr:col>6</xdr:col>
                <xdr:colOff>0</xdr:colOff>
                <xdr:row>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483" r:id="rId7" name="Button 3">
          <controlPr defaultSize="0" print="0" autoFill="0" autoPict="0" macro="[0]!MENU">
            <anchor moveWithCells="1" sizeWithCells="1">
              <from>
                <xdr:col>6</xdr:col>
                <xdr:colOff>9525</xdr:colOff>
                <xdr:row>7</xdr:row>
                <xdr:rowOff>9525</xdr:rowOff>
              </from>
              <to>
                <xdr:col>6</xdr:col>
                <xdr:colOff>752475</xdr:colOff>
                <xdr:row>9</xdr:row>
                <xdr:rowOff>9525</xdr:rowOff>
              </to>
            </anchor>
          </controlPr>
        </control>
      </mc:Choice>
    </mc:AlternateContent>
  </controls>
  <tableParts count="1"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7F0C2-FA67-436F-9867-F430486059E5}">
  <sheetPr codeName="Hoja3">
    <tabColor theme="7"/>
  </sheetPr>
  <dimension ref="A1:P1614"/>
  <sheetViews>
    <sheetView showGridLines="0" tabSelected="1" workbookViewId="0">
      <selection activeCell="F7" sqref="F7"/>
    </sheetView>
  </sheetViews>
  <sheetFormatPr baseColWidth="10" defaultRowHeight="15" x14ac:dyDescent="0.25"/>
  <cols>
    <col min="1" max="3" width="11.42578125" style="1"/>
    <col min="4" max="4" width="52.7109375" customWidth="1"/>
    <col min="5" max="5" width="17" customWidth="1"/>
    <col min="6" max="6" width="10.42578125" customWidth="1"/>
  </cols>
  <sheetData>
    <row r="1" spans="4:16" x14ac:dyDescent="0.25"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4:16" x14ac:dyDescent="0.25"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4:16" x14ac:dyDescent="0.25"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4:16" x14ac:dyDescent="0.25"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4:16" x14ac:dyDescent="0.25"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4:16" ht="19.5" thickBot="1" x14ac:dyDescent="0.35">
      <c r="D6" s="37" t="s">
        <v>0</v>
      </c>
      <c r="E6" s="37" t="s">
        <v>1</v>
      </c>
      <c r="F6" s="37" t="s">
        <v>2</v>
      </c>
      <c r="G6" s="1"/>
      <c r="H6" s="1"/>
      <c r="I6" s="1"/>
      <c r="J6" s="1"/>
      <c r="K6" s="1"/>
      <c r="L6" s="1"/>
      <c r="M6" s="1"/>
      <c r="N6" s="1"/>
      <c r="O6" s="1"/>
      <c r="P6" s="1"/>
    </row>
    <row r="7" spans="4:16" ht="19.5" thickBot="1" x14ac:dyDescent="0.35">
      <c r="D7" s="19" t="s">
        <v>1463</v>
      </c>
      <c r="E7" s="33" t="s">
        <v>335</v>
      </c>
      <c r="F7" s="26" t="s">
        <v>568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4:16" ht="19.5" thickBot="1" x14ac:dyDescent="0.35">
      <c r="D8" s="19" t="s">
        <v>1462</v>
      </c>
      <c r="E8" s="33" t="s">
        <v>335</v>
      </c>
      <c r="F8" s="26" t="s">
        <v>450</v>
      </c>
      <c r="G8" s="1"/>
      <c r="H8" s="1"/>
      <c r="I8" s="1"/>
      <c r="J8" s="1"/>
      <c r="K8" s="1"/>
      <c r="L8" s="1"/>
      <c r="M8" s="1"/>
      <c r="N8" s="1"/>
      <c r="O8" s="1"/>
      <c r="P8" s="1"/>
    </row>
    <row r="9" spans="4:16" ht="19.5" hidden="1" thickBot="1" x14ac:dyDescent="0.35">
      <c r="D9" s="25"/>
      <c r="E9" s="24" t="s">
        <v>26</v>
      </c>
      <c r="F9" s="60" t="s">
        <v>122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4:16" ht="19.5" thickBot="1" x14ac:dyDescent="0.35">
      <c r="D10" s="25" t="s">
        <v>1458</v>
      </c>
      <c r="E10" s="24" t="s">
        <v>16</v>
      </c>
      <c r="F10" s="57" t="s">
        <v>119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4:16" ht="19.5" thickBot="1" x14ac:dyDescent="0.35">
      <c r="D11" s="25" t="s">
        <v>1457</v>
      </c>
      <c r="E11" s="33" t="s">
        <v>320</v>
      </c>
      <c r="F11" s="26" t="s">
        <v>451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4:16" ht="19.5" hidden="1" thickBot="1" x14ac:dyDescent="0.35">
      <c r="D12" s="25"/>
      <c r="E12" s="24" t="s">
        <v>26</v>
      </c>
      <c r="F12" s="60" t="s">
        <v>121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4:16" ht="19.5" hidden="1" thickBot="1" x14ac:dyDescent="0.35">
      <c r="D13" s="25"/>
      <c r="E13" s="24" t="s">
        <v>26</v>
      </c>
      <c r="F13" s="57" t="s">
        <v>121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4:16" ht="19.5" thickBot="1" x14ac:dyDescent="0.35">
      <c r="D14" s="19" t="s">
        <v>449</v>
      </c>
      <c r="E14" s="33" t="s">
        <v>335</v>
      </c>
      <c r="F14" s="26" t="s">
        <v>448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4:16" ht="19.5" thickBot="1" x14ac:dyDescent="0.35">
      <c r="D15" s="19" t="s">
        <v>447</v>
      </c>
      <c r="E15" s="33" t="s">
        <v>335</v>
      </c>
      <c r="F15" s="26" t="s">
        <v>446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4:16" ht="19.5" thickBot="1" x14ac:dyDescent="0.35">
      <c r="D16" s="19" t="s">
        <v>445</v>
      </c>
      <c r="E16" s="33" t="s">
        <v>335</v>
      </c>
      <c r="F16" s="26" t="s">
        <v>444</v>
      </c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4:16" ht="19.5" thickBot="1" x14ac:dyDescent="0.35">
      <c r="D17" s="40" t="s">
        <v>345</v>
      </c>
      <c r="E17" s="40" t="s">
        <v>335</v>
      </c>
      <c r="F17" s="38" t="s">
        <v>119</v>
      </c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4:16" ht="19.5" thickBot="1" x14ac:dyDescent="0.35">
      <c r="D18" s="40" t="s">
        <v>342</v>
      </c>
      <c r="E18" s="40" t="s">
        <v>335</v>
      </c>
      <c r="F18" s="38" t="s">
        <v>120</v>
      </c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4:16" ht="19.5" thickBot="1" x14ac:dyDescent="0.35">
      <c r="D19" s="40" t="s">
        <v>337</v>
      </c>
      <c r="E19" s="40" t="s">
        <v>335</v>
      </c>
      <c r="F19" s="38" t="s">
        <v>121</v>
      </c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4:16" ht="19.5" thickBot="1" x14ac:dyDescent="0.35">
      <c r="D20" s="40" t="s">
        <v>336</v>
      </c>
      <c r="E20" s="40" t="s">
        <v>335</v>
      </c>
      <c r="F20" s="38" t="s">
        <v>122</v>
      </c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4:16" ht="19.5" thickBot="1" x14ac:dyDescent="0.35">
      <c r="D21" s="40" t="s">
        <v>346</v>
      </c>
      <c r="E21" s="40" t="s">
        <v>335</v>
      </c>
      <c r="F21" s="38" t="s">
        <v>123</v>
      </c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4:16" ht="19.5" thickBot="1" x14ac:dyDescent="0.35">
      <c r="D22" s="40" t="s">
        <v>348</v>
      </c>
      <c r="E22" s="40" t="s">
        <v>335</v>
      </c>
      <c r="F22" s="38" t="s">
        <v>124</v>
      </c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4:16" ht="19.5" thickBot="1" x14ac:dyDescent="0.35">
      <c r="D23" s="40" t="s">
        <v>351</v>
      </c>
      <c r="E23" s="40" t="s">
        <v>335</v>
      </c>
      <c r="F23" s="38" t="s">
        <v>125</v>
      </c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4:16" ht="19.5" thickBot="1" x14ac:dyDescent="0.35">
      <c r="D24" s="40" t="s">
        <v>338</v>
      </c>
      <c r="E24" s="40" t="s">
        <v>335</v>
      </c>
      <c r="F24" s="38" t="s">
        <v>126</v>
      </c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4:16" ht="19.5" thickBot="1" x14ac:dyDescent="0.35">
      <c r="D25" s="40" t="s">
        <v>344</v>
      </c>
      <c r="E25" s="40" t="s">
        <v>335</v>
      </c>
      <c r="F25" s="38" t="s">
        <v>127</v>
      </c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4:16" ht="19.5" thickBot="1" x14ac:dyDescent="0.35">
      <c r="D26" s="40" t="s">
        <v>352</v>
      </c>
      <c r="E26" s="40" t="s">
        <v>335</v>
      </c>
      <c r="F26" s="38" t="s">
        <v>128</v>
      </c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4:16" ht="19.5" thickBot="1" x14ac:dyDescent="0.35">
      <c r="D27" s="40" t="s">
        <v>347</v>
      </c>
      <c r="E27" s="40" t="s">
        <v>335</v>
      </c>
      <c r="F27" s="38" t="s">
        <v>129</v>
      </c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4:16" ht="19.5" thickBot="1" x14ac:dyDescent="0.35">
      <c r="D28" s="40" t="s">
        <v>349</v>
      </c>
      <c r="E28" s="40" t="s">
        <v>335</v>
      </c>
      <c r="F28" s="38" t="s">
        <v>130</v>
      </c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4:16" ht="19.5" thickBot="1" x14ac:dyDescent="0.35">
      <c r="D29" s="40" t="s">
        <v>343</v>
      </c>
      <c r="E29" s="40" t="s">
        <v>335</v>
      </c>
      <c r="F29" s="38" t="s">
        <v>131</v>
      </c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4:16" ht="19.5" thickBot="1" x14ac:dyDescent="0.35">
      <c r="D30" s="40" t="s">
        <v>340</v>
      </c>
      <c r="E30" s="40" t="s">
        <v>335</v>
      </c>
      <c r="F30" s="38" t="s">
        <v>132</v>
      </c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4:16" ht="19.5" thickBot="1" x14ac:dyDescent="0.35">
      <c r="D31" s="40" t="s">
        <v>339</v>
      </c>
      <c r="E31" s="40" t="s">
        <v>335</v>
      </c>
      <c r="F31" s="38" t="s">
        <v>133</v>
      </c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4:16" ht="19.5" thickBot="1" x14ac:dyDescent="0.35">
      <c r="D32" s="40" t="s">
        <v>350</v>
      </c>
      <c r="E32" s="40" t="s">
        <v>335</v>
      </c>
      <c r="F32" s="38" t="s">
        <v>134</v>
      </c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4:16" ht="19.5" thickBot="1" x14ac:dyDescent="0.35">
      <c r="D33" s="40" t="s">
        <v>353</v>
      </c>
      <c r="E33" s="40" t="s">
        <v>335</v>
      </c>
      <c r="F33" s="38" t="s">
        <v>135</v>
      </c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4:16" ht="19.5" thickBot="1" x14ac:dyDescent="0.35">
      <c r="D34" s="25" t="s">
        <v>359</v>
      </c>
      <c r="E34" s="25" t="s">
        <v>335</v>
      </c>
      <c r="F34" s="38" t="s">
        <v>136</v>
      </c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4:16" ht="19.5" thickBot="1" x14ac:dyDescent="0.35">
      <c r="D35" s="25" t="s">
        <v>360</v>
      </c>
      <c r="E35" s="25" t="s">
        <v>335</v>
      </c>
      <c r="F35" s="38" t="s">
        <v>137</v>
      </c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4:16" ht="19.5" thickBot="1" x14ac:dyDescent="0.35">
      <c r="D36" s="25" t="s">
        <v>361</v>
      </c>
      <c r="E36" s="25" t="s">
        <v>335</v>
      </c>
      <c r="F36" s="38" t="s">
        <v>138</v>
      </c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4:16" ht="19.5" thickBot="1" x14ac:dyDescent="0.35">
      <c r="D37" s="25" t="s">
        <v>362</v>
      </c>
      <c r="E37" s="25" t="s">
        <v>335</v>
      </c>
      <c r="F37" s="38" t="s">
        <v>139</v>
      </c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4:16" ht="19.5" thickBot="1" x14ac:dyDescent="0.35">
      <c r="D38" s="25" t="s">
        <v>363</v>
      </c>
      <c r="E38" s="25" t="s">
        <v>335</v>
      </c>
      <c r="F38" s="38" t="s">
        <v>140</v>
      </c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4:16" ht="19.5" thickBot="1" x14ac:dyDescent="0.35">
      <c r="D39" s="25" t="s">
        <v>364</v>
      </c>
      <c r="E39" s="25" t="s">
        <v>335</v>
      </c>
      <c r="F39" s="38" t="s">
        <v>141</v>
      </c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4:16" ht="19.5" thickBot="1" x14ac:dyDescent="0.35">
      <c r="D40" s="25" t="s">
        <v>365</v>
      </c>
      <c r="E40" s="25" t="s">
        <v>335</v>
      </c>
      <c r="F40" s="38" t="s">
        <v>142</v>
      </c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4:16" ht="19.5" thickBot="1" x14ac:dyDescent="0.35">
      <c r="D41" s="25" t="s">
        <v>366</v>
      </c>
      <c r="E41" s="25" t="s">
        <v>335</v>
      </c>
      <c r="F41" s="38" t="s">
        <v>143</v>
      </c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4:16" ht="19.5" thickBot="1" x14ac:dyDescent="0.35">
      <c r="D42" s="25" t="s">
        <v>367</v>
      </c>
      <c r="E42" s="25" t="s">
        <v>335</v>
      </c>
      <c r="F42" s="38" t="s">
        <v>144</v>
      </c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4:16" ht="19.5" thickBot="1" x14ac:dyDescent="0.35">
      <c r="D43" s="25" t="s">
        <v>368</v>
      </c>
      <c r="E43" s="25" t="s">
        <v>335</v>
      </c>
      <c r="F43" s="38" t="s">
        <v>145</v>
      </c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4:16" ht="19.5" thickBot="1" x14ac:dyDescent="0.35">
      <c r="D44" s="19" t="s">
        <v>369</v>
      </c>
      <c r="E44" s="25" t="s">
        <v>335</v>
      </c>
      <c r="F44" s="38" t="s">
        <v>146</v>
      </c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4:16" ht="19.5" thickBot="1" x14ac:dyDescent="0.35">
      <c r="D45" s="19" t="s">
        <v>370</v>
      </c>
      <c r="E45" s="25" t="s">
        <v>335</v>
      </c>
      <c r="F45" s="38" t="s">
        <v>147</v>
      </c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4:16" ht="19.5" thickBot="1" x14ac:dyDescent="0.35">
      <c r="D46" s="19" t="s">
        <v>371</v>
      </c>
      <c r="E46" s="25" t="s">
        <v>335</v>
      </c>
      <c r="F46" s="38" t="s">
        <v>148</v>
      </c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4:16" ht="19.5" thickBot="1" x14ac:dyDescent="0.35">
      <c r="D47" s="19" t="s">
        <v>372</v>
      </c>
      <c r="E47" s="25" t="s">
        <v>335</v>
      </c>
      <c r="F47" s="38" t="s">
        <v>149</v>
      </c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4:16" ht="19.5" thickBot="1" x14ac:dyDescent="0.35">
      <c r="D48" s="19" t="s">
        <v>373</v>
      </c>
      <c r="E48" s="25" t="s">
        <v>335</v>
      </c>
      <c r="F48" s="38" t="s">
        <v>150</v>
      </c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4:16" ht="19.5" thickBot="1" x14ac:dyDescent="0.35">
      <c r="D49" s="19" t="s">
        <v>374</v>
      </c>
      <c r="E49" s="25" t="s">
        <v>335</v>
      </c>
      <c r="F49" s="38" t="s">
        <v>151</v>
      </c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4:16" ht="19.5" thickBot="1" x14ac:dyDescent="0.35">
      <c r="D50" s="19" t="s">
        <v>375</v>
      </c>
      <c r="E50" s="25" t="s">
        <v>335</v>
      </c>
      <c r="F50" s="38" t="s">
        <v>152</v>
      </c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4:16" ht="19.5" thickBot="1" x14ac:dyDescent="0.35">
      <c r="D51" s="19" t="s">
        <v>376</v>
      </c>
      <c r="E51" s="25" t="s">
        <v>335</v>
      </c>
      <c r="F51" s="38" t="s">
        <v>153</v>
      </c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4:16" ht="19.5" thickBot="1" x14ac:dyDescent="0.35">
      <c r="D52" s="19" t="s">
        <v>377</v>
      </c>
      <c r="E52" s="25" t="s">
        <v>335</v>
      </c>
      <c r="F52" s="38" t="s">
        <v>154</v>
      </c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4:16" ht="19.5" thickBot="1" x14ac:dyDescent="0.35">
      <c r="D53" s="19" t="s">
        <v>378</v>
      </c>
      <c r="E53" s="25" t="s">
        <v>335</v>
      </c>
      <c r="F53" s="38" t="s">
        <v>155</v>
      </c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4:16" ht="19.5" thickBot="1" x14ac:dyDescent="0.35">
      <c r="D54" s="19" t="s">
        <v>379</v>
      </c>
      <c r="E54" s="25" t="s">
        <v>335</v>
      </c>
      <c r="F54" s="38" t="s">
        <v>156</v>
      </c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4:16" ht="19.5" thickBot="1" x14ac:dyDescent="0.35">
      <c r="D55" s="19" t="s">
        <v>380</v>
      </c>
      <c r="E55" s="25" t="s">
        <v>335</v>
      </c>
      <c r="F55" s="38" t="s">
        <v>157</v>
      </c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4:16" ht="19.5" thickBot="1" x14ac:dyDescent="0.35">
      <c r="D56" s="19" t="s">
        <v>381</v>
      </c>
      <c r="E56" s="25" t="s">
        <v>335</v>
      </c>
      <c r="F56" s="38" t="s">
        <v>158</v>
      </c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4:16" ht="19.5" thickBot="1" x14ac:dyDescent="0.35">
      <c r="D57" s="19" t="s">
        <v>382</v>
      </c>
      <c r="E57" s="25" t="s">
        <v>335</v>
      </c>
      <c r="F57" s="38" t="s">
        <v>159</v>
      </c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4:16" ht="19.5" thickBot="1" x14ac:dyDescent="0.35">
      <c r="D58" s="19" t="s">
        <v>383</v>
      </c>
      <c r="E58" s="25" t="s">
        <v>335</v>
      </c>
      <c r="F58" s="38" t="s">
        <v>160</v>
      </c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4:16" ht="19.5" thickBot="1" x14ac:dyDescent="0.35">
      <c r="D59" s="19" t="s">
        <v>384</v>
      </c>
      <c r="E59" s="25" t="s">
        <v>335</v>
      </c>
      <c r="F59" s="38" t="s">
        <v>161</v>
      </c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4:16" ht="19.5" thickBot="1" x14ac:dyDescent="0.35">
      <c r="D60" s="19" t="s">
        <v>385</v>
      </c>
      <c r="E60" s="25" t="s">
        <v>335</v>
      </c>
      <c r="F60" s="38" t="s">
        <v>162</v>
      </c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4:16" ht="19.5" thickBot="1" x14ac:dyDescent="0.35">
      <c r="D61" s="19" t="s">
        <v>386</v>
      </c>
      <c r="E61" s="25" t="s">
        <v>335</v>
      </c>
      <c r="F61" s="38" t="s">
        <v>163</v>
      </c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4:16" ht="19.5" thickBot="1" x14ac:dyDescent="0.35">
      <c r="D62" s="19" t="s">
        <v>387</v>
      </c>
      <c r="E62" s="25" t="s">
        <v>335</v>
      </c>
      <c r="F62" s="38" t="s">
        <v>164</v>
      </c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4:16" ht="19.5" thickBot="1" x14ac:dyDescent="0.35">
      <c r="D63" s="19" t="s">
        <v>388</v>
      </c>
      <c r="E63" s="25" t="s">
        <v>335</v>
      </c>
      <c r="F63" s="38" t="s">
        <v>165</v>
      </c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4:16" ht="19.5" thickBot="1" x14ac:dyDescent="0.35">
      <c r="D64" s="19" t="s">
        <v>389</v>
      </c>
      <c r="E64" s="25" t="s">
        <v>335</v>
      </c>
      <c r="F64" s="38" t="s">
        <v>166</v>
      </c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4:16" ht="19.5" thickBot="1" x14ac:dyDescent="0.35">
      <c r="D65" s="19" t="s">
        <v>390</v>
      </c>
      <c r="E65" s="25" t="s">
        <v>335</v>
      </c>
      <c r="F65" s="38" t="s">
        <v>167</v>
      </c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4:16" ht="19.5" thickBot="1" x14ac:dyDescent="0.35">
      <c r="D66" s="19" t="s">
        <v>391</v>
      </c>
      <c r="E66" s="25" t="s">
        <v>335</v>
      </c>
      <c r="F66" s="38" t="s">
        <v>168</v>
      </c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4:16" ht="19.5" thickBot="1" x14ac:dyDescent="0.35">
      <c r="D67" s="19" t="s">
        <v>392</v>
      </c>
      <c r="E67" s="25" t="s">
        <v>335</v>
      </c>
      <c r="F67" s="38" t="s">
        <v>169</v>
      </c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4:16" ht="19.5" thickBot="1" x14ac:dyDescent="0.35">
      <c r="D68" s="19" t="s">
        <v>393</v>
      </c>
      <c r="E68" s="25" t="s">
        <v>335</v>
      </c>
      <c r="F68" s="38" t="s">
        <v>170</v>
      </c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4:16" ht="19.5" thickBot="1" x14ac:dyDescent="0.35">
      <c r="D69" s="19" t="s">
        <v>394</v>
      </c>
      <c r="E69" s="25" t="s">
        <v>335</v>
      </c>
      <c r="F69" s="38" t="s">
        <v>171</v>
      </c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4:16" ht="19.5" thickBot="1" x14ac:dyDescent="0.35">
      <c r="D70" s="19" t="s">
        <v>395</v>
      </c>
      <c r="E70" s="25" t="s">
        <v>335</v>
      </c>
      <c r="F70" s="38" t="s">
        <v>172</v>
      </c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4:16" ht="19.5" thickBot="1" x14ac:dyDescent="0.35">
      <c r="D71" s="19" t="s">
        <v>396</v>
      </c>
      <c r="E71" s="25" t="s">
        <v>335</v>
      </c>
      <c r="F71" s="38" t="s">
        <v>173</v>
      </c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4:16" ht="19.5" thickBot="1" x14ac:dyDescent="0.35">
      <c r="D72" s="19" t="s">
        <v>397</v>
      </c>
      <c r="E72" s="25" t="s">
        <v>335</v>
      </c>
      <c r="F72" s="38" t="s">
        <v>174</v>
      </c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4:16" ht="19.5" thickBot="1" x14ac:dyDescent="0.35">
      <c r="D73" s="19" t="s">
        <v>398</v>
      </c>
      <c r="E73" s="25" t="s">
        <v>335</v>
      </c>
      <c r="F73" s="38" t="s">
        <v>175</v>
      </c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4:16" ht="19.5" thickBot="1" x14ac:dyDescent="0.35">
      <c r="D74" s="19" t="s">
        <v>399</v>
      </c>
      <c r="E74" s="25" t="s">
        <v>335</v>
      </c>
      <c r="F74" s="38" t="s">
        <v>176</v>
      </c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4:16" ht="19.5" thickBot="1" x14ac:dyDescent="0.35">
      <c r="D75" s="19" t="s">
        <v>400</v>
      </c>
      <c r="E75" s="25" t="s">
        <v>335</v>
      </c>
      <c r="F75" s="38" t="s">
        <v>278</v>
      </c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4:16" ht="19.5" thickBot="1" x14ac:dyDescent="0.35">
      <c r="D76" s="19" t="s">
        <v>401</v>
      </c>
      <c r="E76" s="25" t="s">
        <v>335</v>
      </c>
      <c r="F76" s="38" t="s">
        <v>279</v>
      </c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4:16" ht="19.5" thickBot="1" x14ac:dyDescent="0.35">
      <c r="D77" s="19" t="s">
        <v>402</v>
      </c>
      <c r="E77" s="25" t="s">
        <v>335</v>
      </c>
      <c r="F77" s="38" t="s">
        <v>280</v>
      </c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4:16" ht="19.5" thickBot="1" x14ac:dyDescent="0.35">
      <c r="D78" s="19" t="s">
        <v>403</v>
      </c>
      <c r="E78" s="25" t="s">
        <v>335</v>
      </c>
      <c r="F78" s="38" t="s">
        <v>281</v>
      </c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4:16" ht="19.5" thickBot="1" x14ac:dyDescent="0.35">
      <c r="D79" s="19" t="s">
        <v>404</v>
      </c>
      <c r="E79" s="25" t="s">
        <v>335</v>
      </c>
      <c r="F79" s="38" t="s">
        <v>282</v>
      </c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4:16" ht="19.5" thickBot="1" x14ac:dyDescent="0.35">
      <c r="D80" s="19" t="s">
        <v>405</v>
      </c>
      <c r="E80" s="25" t="s">
        <v>335</v>
      </c>
      <c r="F80" s="38" t="s">
        <v>283</v>
      </c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4:16" ht="19.5" thickBot="1" x14ac:dyDescent="0.35">
      <c r="D81" s="19" t="s">
        <v>406</v>
      </c>
      <c r="E81" s="25" t="s">
        <v>335</v>
      </c>
      <c r="F81" s="38" t="s">
        <v>284</v>
      </c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4:16" ht="19.5" thickBot="1" x14ac:dyDescent="0.35">
      <c r="D82" s="19" t="s">
        <v>407</v>
      </c>
      <c r="E82" s="25" t="s">
        <v>335</v>
      </c>
      <c r="F82" s="38" t="s">
        <v>285</v>
      </c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4:16" ht="19.5" thickBot="1" x14ac:dyDescent="0.35">
      <c r="D83" s="19" t="s">
        <v>408</v>
      </c>
      <c r="E83" s="25" t="s">
        <v>335</v>
      </c>
      <c r="F83" s="38" t="s">
        <v>286</v>
      </c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4:16" ht="19.5" thickBot="1" x14ac:dyDescent="0.35">
      <c r="D84" s="19" t="s">
        <v>409</v>
      </c>
      <c r="E84" s="25" t="s">
        <v>335</v>
      </c>
      <c r="F84" s="38" t="s">
        <v>287</v>
      </c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4:16" ht="19.5" thickBot="1" x14ac:dyDescent="0.35">
      <c r="D85" s="19" t="s">
        <v>410</v>
      </c>
      <c r="E85" s="25" t="s">
        <v>335</v>
      </c>
      <c r="F85" s="38" t="s">
        <v>288</v>
      </c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4:16" ht="19.5" thickBot="1" x14ac:dyDescent="0.35">
      <c r="D86" s="19" t="s">
        <v>411</v>
      </c>
      <c r="E86" s="25" t="s">
        <v>335</v>
      </c>
      <c r="F86" s="38" t="s">
        <v>289</v>
      </c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4:16" ht="19.5" thickBot="1" x14ac:dyDescent="0.35">
      <c r="D87" s="19" t="s">
        <v>412</v>
      </c>
      <c r="E87" s="25" t="s">
        <v>335</v>
      </c>
      <c r="F87" s="38" t="s">
        <v>290</v>
      </c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4:16" ht="19.5" thickBot="1" x14ac:dyDescent="0.35">
      <c r="D88" s="19" t="s">
        <v>413</v>
      </c>
      <c r="E88" s="25" t="s">
        <v>335</v>
      </c>
      <c r="F88" s="38" t="s">
        <v>291</v>
      </c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4:16" ht="19.5" thickBot="1" x14ac:dyDescent="0.35">
      <c r="D89" s="19" t="s">
        <v>414</v>
      </c>
      <c r="E89" s="25" t="s">
        <v>335</v>
      </c>
      <c r="F89" s="38" t="s">
        <v>292</v>
      </c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4:16" ht="19.5" thickBot="1" x14ac:dyDescent="0.35">
      <c r="D90" s="19" t="s">
        <v>415</v>
      </c>
      <c r="E90" s="25" t="s">
        <v>335</v>
      </c>
      <c r="F90" s="38" t="s">
        <v>293</v>
      </c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4:16" ht="19.5" thickBot="1" x14ac:dyDescent="0.35">
      <c r="D91" s="19" t="s">
        <v>416</v>
      </c>
      <c r="E91" s="25" t="s">
        <v>335</v>
      </c>
      <c r="F91" s="38" t="s">
        <v>294</v>
      </c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4:16" ht="19.5" thickBot="1" x14ac:dyDescent="0.35">
      <c r="D92" s="19" t="s">
        <v>417</v>
      </c>
      <c r="E92" s="25" t="s">
        <v>335</v>
      </c>
      <c r="F92" s="38" t="s">
        <v>295</v>
      </c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4:16" ht="19.5" thickBot="1" x14ac:dyDescent="0.35">
      <c r="D93" s="19" t="s">
        <v>418</v>
      </c>
      <c r="E93" s="25" t="s">
        <v>335</v>
      </c>
      <c r="F93" s="38" t="s">
        <v>296</v>
      </c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4:16" ht="19.5" thickBot="1" x14ac:dyDescent="0.35">
      <c r="D94" s="19" t="s">
        <v>419</v>
      </c>
      <c r="E94" s="25" t="s">
        <v>335</v>
      </c>
      <c r="F94" s="38" t="s">
        <v>297</v>
      </c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4:16" ht="19.5" thickBot="1" x14ac:dyDescent="0.35">
      <c r="D95" s="19" t="s">
        <v>420</v>
      </c>
      <c r="E95" s="25" t="s">
        <v>335</v>
      </c>
      <c r="F95" s="38" t="s">
        <v>298</v>
      </c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4:16" ht="19.5" thickBot="1" x14ac:dyDescent="0.35">
      <c r="D96" s="19" t="s">
        <v>421</v>
      </c>
      <c r="E96" s="25" t="s">
        <v>335</v>
      </c>
      <c r="F96" s="38" t="s">
        <v>299</v>
      </c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4:16" ht="19.5" thickBot="1" x14ac:dyDescent="0.35">
      <c r="D97" s="19" t="s">
        <v>422</v>
      </c>
      <c r="E97" s="25" t="s">
        <v>335</v>
      </c>
      <c r="F97" s="38" t="s">
        <v>300</v>
      </c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4:16" ht="19.5" thickBot="1" x14ac:dyDescent="0.35">
      <c r="D98" s="19" t="s">
        <v>423</v>
      </c>
      <c r="E98" s="25" t="s">
        <v>335</v>
      </c>
      <c r="F98" s="38" t="s">
        <v>301</v>
      </c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4:16" ht="19.5" thickBot="1" x14ac:dyDescent="0.35">
      <c r="D99" s="19" t="s">
        <v>424</v>
      </c>
      <c r="E99" s="25" t="s">
        <v>335</v>
      </c>
      <c r="F99" s="38" t="s">
        <v>302</v>
      </c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4:16" ht="19.5" thickBot="1" x14ac:dyDescent="0.35">
      <c r="D100" s="19" t="s">
        <v>425</v>
      </c>
      <c r="E100" s="25" t="s">
        <v>335</v>
      </c>
      <c r="F100" s="38" t="s">
        <v>303</v>
      </c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4:16" ht="19.5" thickBot="1" x14ac:dyDescent="0.35">
      <c r="D101" s="19" t="s">
        <v>426</v>
      </c>
      <c r="E101" s="25" t="s">
        <v>335</v>
      </c>
      <c r="F101" s="38" t="s">
        <v>304</v>
      </c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4:16" ht="19.5" thickBot="1" x14ac:dyDescent="0.35">
      <c r="D102" s="19" t="s">
        <v>427</v>
      </c>
      <c r="E102" s="25" t="s">
        <v>335</v>
      </c>
      <c r="F102" s="38" t="s">
        <v>305</v>
      </c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4:16" ht="19.5" thickBot="1" x14ac:dyDescent="0.35">
      <c r="D103" s="19" t="s">
        <v>428</v>
      </c>
      <c r="E103" s="25" t="s">
        <v>335</v>
      </c>
      <c r="F103" s="38" t="s">
        <v>306</v>
      </c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4:16" ht="19.5" thickBot="1" x14ac:dyDescent="0.35">
      <c r="D104" s="19" t="s">
        <v>429</v>
      </c>
      <c r="E104" s="25" t="s">
        <v>335</v>
      </c>
      <c r="F104" s="38" t="s">
        <v>307</v>
      </c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4:16" ht="19.5" thickBot="1" x14ac:dyDescent="0.35">
      <c r="D105" s="19" t="s">
        <v>430</v>
      </c>
      <c r="E105" s="25" t="s">
        <v>335</v>
      </c>
      <c r="F105" s="38" t="s">
        <v>308</v>
      </c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4:16" ht="19.5" thickBot="1" x14ac:dyDescent="0.35">
      <c r="D106" s="19" t="s">
        <v>431</v>
      </c>
      <c r="E106" s="25" t="s">
        <v>335</v>
      </c>
      <c r="F106" s="38" t="s">
        <v>309</v>
      </c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4:16" ht="19.5" thickBot="1" x14ac:dyDescent="0.35">
      <c r="D107" s="19" t="s">
        <v>432</v>
      </c>
      <c r="E107" s="25" t="s">
        <v>335</v>
      </c>
      <c r="F107" s="38" t="s">
        <v>310</v>
      </c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4:16" ht="19.5" thickBot="1" x14ac:dyDescent="0.35">
      <c r="D108" s="19" t="s">
        <v>433</v>
      </c>
      <c r="E108" s="25" t="s">
        <v>335</v>
      </c>
      <c r="F108" s="38" t="s">
        <v>311</v>
      </c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4:16" ht="19.5" thickBot="1" x14ac:dyDescent="0.35">
      <c r="D109" s="19" t="s">
        <v>434</v>
      </c>
      <c r="E109" s="25" t="s">
        <v>335</v>
      </c>
      <c r="F109" s="38" t="s">
        <v>312</v>
      </c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4:16" ht="19.5" thickBot="1" x14ac:dyDescent="0.35">
      <c r="D110" s="19" t="s">
        <v>435</v>
      </c>
      <c r="E110" s="25" t="s">
        <v>335</v>
      </c>
      <c r="F110" s="38" t="s">
        <v>313</v>
      </c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4:16" ht="19.5" thickBot="1" x14ac:dyDescent="0.35">
      <c r="D111" s="19" t="s">
        <v>436</v>
      </c>
      <c r="E111" s="25" t="s">
        <v>335</v>
      </c>
      <c r="F111" s="38" t="s">
        <v>314</v>
      </c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4:16" ht="19.5" thickBot="1" x14ac:dyDescent="0.35">
      <c r="D112" s="19" t="s">
        <v>437</v>
      </c>
      <c r="E112" s="25" t="s">
        <v>335</v>
      </c>
      <c r="F112" s="38" t="s">
        <v>315</v>
      </c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4:16" ht="19.5" thickBot="1" x14ac:dyDescent="0.35">
      <c r="D113" s="19" t="s">
        <v>438</v>
      </c>
      <c r="E113" s="25" t="s">
        <v>335</v>
      </c>
      <c r="F113" s="38" t="s">
        <v>316</v>
      </c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4:16" ht="19.5" thickBot="1" x14ac:dyDescent="0.35">
      <c r="D114" s="19" t="s">
        <v>439</v>
      </c>
      <c r="E114" s="25" t="s">
        <v>335</v>
      </c>
      <c r="F114" s="38" t="s">
        <v>317</v>
      </c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4:16" ht="19.5" thickBot="1" x14ac:dyDescent="0.35">
      <c r="D115" s="19" t="s">
        <v>440</v>
      </c>
      <c r="E115" s="25" t="s">
        <v>335</v>
      </c>
      <c r="F115" s="38" t="s">
        <v>318</v>
      </c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4:16" ht="19.5" thickBot="1" x14ac:dyDescent="0.35">
      <c r="D116" s="19" t="s">
        <v>441</v>
      </c>
      <c r="E116" s="25" t="s">
        <v>335</v>
      </c>
      <c r="F116" s="38" t="s">
        <v>319</v>
      </c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4:16" ht="19.5" thickBot="1" x14ac:dyDescent="0.35">
      <c r="D117" s="19" t="s">
        <v>442</v>
      </c>
      <c r="E117" s="25" t="s">
        <v>335</v>
      </c>
      <c r="F117" s="38" t="s">
        <v>443</v>
      </c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4:16" ht="19.5" thickBot="1" x14ac:dyDescent="0.35">
      <c r="D118" s="25" t="s">
        <v>332</v>
      </c>
      <c r="E118" s="25" t="s">
        <v>320</v>
      </c>
      <c r="F118" s="24" t="s">
        <v>118</v>
      </c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4:16" ht="19.5" thickBot="1" x14ac:dyDescent="0.35">
      <c r="D119" s="25" t="s">
        <v>329</v>
      </c>
      <c r="E119" s="25" t="s">
        <v>320</v>
      </c>
      <c r="F119" s="24" t="s">
        <v>119</v>
      </c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4:16" ht="19.5" thickBot="1" x14ac:dyDescent="0.35">
      <c r="D120" s="25" t="s">
        <v>321</v>
      </c>
      <c r="E120" s="25" t="s">
        <v>320</v>
      </c>
      <c r="F120" s="24" t="s">
        <v>120</v>
      </c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4:16" ht="19.5" thickBot="1" x14ac:dyDescent="0.35">
      <c r="D121" s="25" t="s">
        <v>330</v>
      </c>
      <c r="E121" s="25" t="s">
        <v>320</v>
      </c>
      <c r="F121" s="24" t="s">
        <v>121</v>
      </c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4:16" ht="19.5" thickBot="1" x14ac:dyDescent="0.35">
      <c r="D122" s="25" t="s">
        <v>325</v>
      </c>
      <c r="E122" s="25" t="s">
        <v>320</v>
      </c>
      <c r="F122" s="24" t="s">
        <v>122</v>
      </c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4:16" ht="19.5" thickBot="1" x14ac:dyDescent="0.35">
      <c r="D123" s="25" t="s">
        <v>328</v>
      </c>
      <c r="E123" s="25" t="s">
        <v>320</v>
      </c>
      <c r="F123" s="24" t="s">
        <v>123</v>
      </c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4:16" ht="19.5" thickBot="1" x14ac:dyDescent="0.35">
      <c r="D124" s="25" t="s">
        <v>326</v>
      </c>
      <c r="E124" s="25" t="s">
        <v>320</v>
      </c>
      <c r="F124" s="24" t="s">
        <v>124</v>
      </c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4:16" ht="19.5" thickBot="1" x14ac:dyDescent="0.35">
      <c r="D125" s="25" t="s">
        <v>327</v>
      </c>
      <c r="E125" s="25" t="s">
        <v>320</v>
      </c>
      <c r="F125" s="24" t="s">
        <v>125</v>
      </c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4:16" ht="19.5" thickBot="1" x14ac:dyDescent="0.35">
      <c r="D126" s="25" t="s">
        <v>334</v>
      </c>
      <c r="E126" s="25" t="s">
        <v>320</v>
      </c>
      <c r="F126" s="24" t="s">
        <v>126</v>
      </c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4:16" ht="19.5" thickBot="1" x14ac:dyDescent="0.35">
      <c r="D127" s="25" t="s">
        <v>322</v>
      </c>
      <c r="E127" s="25" t="s">
        <v>320</v>
      </c>
      <c r="F127" s="24" t="s">
        <v>127</v>
      </c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4:16" ht="19.5" thickBot="1" x14ac:dyDescent="0.35">
      <c r="D128" s="25" t="s">
        <v>323</v>
      </c>
      <c r="E128" s="25" t="s">
        <v>320</v>
      </c>
      <c r="F128" s="24" t="s">
        <v>128</v>
      </c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4:16" ht="19.5" thickBot="1" x14ac:dyDescent="0.35">
      <c r="D129" s="25" t="s">
        <v>333</v>
      </c>
      <c r="E129" s="25" t="s">
        <v>320</v>
      </c>
      <c r="F129" s="24" t="s">
        <v>129</v>
      </c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4:16" ht="19.5" thickBot="1" x14ac:dyDescent="0.35">
      <c r="D130" s="25" t="s">
        <v>324</v>
      </c>
      <c r="E130" s="25" t="s">
        <v>320</v>
      </c>
      <c r="F130" s="24" t="s">
        <v>130</v>
      </c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4:16" ht="19.5" thickBot="1" x14ac:dyDescent="0.35">
      <c r="D131" s="25" t="s">
        <v>331</v>
      </c>
      <c r="E131" s="25" t="s">
        <v>320</v>
      </c>
      <c r="F131" s="24" t="s">
        <v>131</v>
      </c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4:16" ht="19.5" thickBot="1" x14ac:dyDescent="0.35">
      <c r="D132" s="25" t="s">
        <v>257</v>
      </c>
      <c r="E132" s="33" t="s">
        <v>117</v>
      </c>
      <c r="F132" s="26" t="s">
        <v>118</v>
      </c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4:16" ht="19.5" thickBot="1" x14ac:dyDescent="0.35">
      <c r="D133" s="25" t="s">
        <v>190</v>
      </c>
      <c r="E133" s="33" t="s">
        <v>117</v>
      </c>
      <c r="F133" s="26" t="s">
        <v>119</v>
      </c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4:16" ht="19.5" thickBot="1" x14ac:dyDescent="0.35">
      <c r="D134" s="25" t="s">
        <v>258</v>
      </c>
      <c r="E134" s="33" t="s">
        <v>117</v>
      </c>
      <c r="F134" s="26" t="s">
        <v>120</v>
      </c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4:16" ht="19.5" thickBot="1" x14ac:dyDescent="0.35">
      <c r="D135" s="25" t="s">
        <v>201</v>
      </c>
      <c r="E135" s="33" t="s">
        <v>117</v>
      </c>
      <c r="F135" s="26" t="s">
        <v>121</v>
      </c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4:16" ht="19.5" thickBot="1" x14ac:dyDescent="0.35">
      <c r="D136" s="25" t="s">
        <v>203</v>
      </c>
      <c r="E136" s="33" t="s">
        <v>117</v>
      </c>
      <c r="F136" s="26" t="s">
        <v>122</v>
      </c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4:16" ht="19.5" thickBot="1" x14ac:dyDescent="0.35">
      <c r="D137" s="25" t="s">
        <v>189</v>
      </c>
      <c r="E137" s="33" t="s">
        <v>117</v>
      </c>
      <c r="F137" s="26" t="s">
        <v>123</v>
      </c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4:16" ht="19.5" thickBot="1" x14ac:dyDescent="0.35">
      <c r="D138" s="25" t="s">
        <v>275</v>
      </c>
      <c r="E138" s="33" t="s">
        <v>117</v>
      </c>
      <c r="F138" s="26" t="s">
        <v>124</v>
      </c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4:16" ht="19.5" thickBot="1" x14ac:dyDescent="0.35">
      <c r="D139" s="25" t="s">
        <v>210</v>
      </c>
      <c r="E139" s="33" t="s">
        <v>117</v>
      </c>
      <c r="F139" s="26" t="s">
        <v>125</v>
      </c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4:16" ht="19.5" thickBot="1" x14ac:dyDescent="0.35">
      <c r="D140" s="25" t="s">
        <v>246</v>
      </c>
      <c r="E140" s="33" t="s">
        <v>117</v>
      </c>
      <c r="F140" s="26" t="s">
        <v>126</v>
      </c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4:16" ht="19.5" thickBot="1" x14ac:dyDescent="0.35">
      <c r="D141" s="25" t="s">
        <v>253</v>
      </c>
      <c r="E141" s="33" t="s">
        <v>117</v>
      </c>
      <c r="F141" s="26" t="s">
        <v>127</v>
      </c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4:16" ht="19.5" thickBot="1" x14ac:dyDescent="0.35">
      <c r="D142" s="25" t="s">
        <v>195</v>
      </c>
      <c r="E142" s="33" t="s">
        <v>117</v>
      </c>
      <c r="F142" s="26" t="s">
        <v>128</v>
      </c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4:16" ht="19.5" thickBot="1" x14ac:dyDescent="0.35">
      <c r="D143" s="25" t="s">
        <v>226</v>
      </c>
      <c r="E143" s="33" t="s">
        <v>117</v>
      </c>
      <c r="F143" s="26" t="s">
        <v>129</v>
      </c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4:16" ht="19.5" thickBot="1" x14ac:dyDescent="0.35">
      <c r="D144" s="25" t="s">
        <v>211</v>
      </c>
      <c r="E144" s="33" t="s">
        <v>117</v>
      </c>
      <c r="F144" s="26" t="s">
        <v>130</v>
      </c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4:16" ht="19.5" thickBot="1" x14ac:dyDescent="0.35">
      <c r="D145" s="25" t="s">
        <v>250</v>
      </c>
      <c r="E145" s="33" t="s">
        <v>117</v>
      </c>
      <c r="F145" s="26" t="s">
        <v>131</v>
      </c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4:16" ht="19.5" thickBot="1" x14ac:dyDescent="0.35">
      <c r="D146" s="25" t="s">
        <v>213</v>
      </c>
      <c r="E146" s="33" t="s">
        <v>117</v>
      </c>
      <c r="F146" s="26" t="s">
        <v>132</v>
      </c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4:16" ht="19.5" thickBot="1" x14ac:dyDescent="0.35">
      <c r="D147" s="25" t="s">
        <v>245</v>
      </c>
      <c r="E147" s="33" t="s">
        <v>117</v>
      </c>
      <c r="F147" s="26" t="s">
        <v>133</v>
      </c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4:16" ht="19.5" thickBot="1" x14ac:dyDescent="0.35">
      <c r="D148" s="25" t="s">
        <v>212</v>
      </c>
      <c r="E148" s="33" t="s">
        <v>117</v>
      </c>
      <c r="F148" s="26" t="s">
        <v>134</v>
      </c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4:16" ht="19.5" thickBot="1" x14ac:dyDescent="0.35">
      <c r="D149" s="25" t="s">
        <v>200</v>
      </c>
      <c r="E149" s="33" t="s">
        <v>117</v>
      </c>
      <c r="F149" s="26" t="s">
        <v>135</v>
      </c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4:16" ht="19.5" thickBot="1" x14ac:dyDescent="0.35">
      <c r="D150" s="25" t="s">
        <v>188</v>
      </c>
      <c r="E150" s="33" t="s">
        <v>117</v>
      </c>
      <c r="F150" s="26" t="s">
        <v>136</v>
      </c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4:16" ht="19.5" thickBot="1" x14ac:dyDescent="0.35">
      <c r="D151" s="25" t="s">
        <v>265</v>
      </c>
      <c r="E151" s="33" t="s">
        <v>117</v>
      </c>
      <c r="F151" s="26" t="s">
        <v>137</v>
      </c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4:16" ht="19.5" thickBot="1" x14ac:dyDescent="0.35">
      <c r="D152" s="25" t="s">
        <v>227</v>
      </c>
      <c r="E152" s="33" t="s">
        <v>117</v>
      </c>
      <c r="F152" s="26" t="s">
        <v>138</v>
      </c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4:16" ht="19.5" thickBot="1" x14ac:dyDescent="0.35">
      <c r="D153" s="25" t="s">
        <v>264</v>
      </c>
      <c r="E153" s="33" t="s">
        <v>117</v>
      </c>
      <c r="F153" s="26" t="s">
        <v>139</v>
      </c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4:16" ht="19.5" thickBot="1" x14ac:dyDescent="0.35">
      <c r="D154" s="25" t="s">
        <v>202</v>
      </c>
      <c r="E154" s="33" t="s">
        <v>117</v>
      </c>
      <c r="F154" s="26" t="s">
        <v>140</v>
      </c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4:16" ht="19.5" thickBot="1" x14ac:dyDescent="0.35">
      <c r="D155" s="25" t="s">
        <v>181</v>
      </c>
      <c r="E155" s="33" t="s">
        <v>117</v>
      </c>
      <c r="F155" s="26" t="s">
        <v>141</v>
      </c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4:16" ht="19.5" thickBot="1" x14ac:dyDescent="0.35">
      <c r="D156" s="25" t="s">
        <v>179</v>
      </c>
      <c r="E156" s="33" t="s">
        <v>117</v>
      </c>
      <c r="F156" s="26" t="s">
        <v>142</v>
      </c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4:16" ht="19.5" thickBot="1" x14ac:dyDescent="0.35">
      <c r="D157" s="25" t="s">
        <v>223</v>
      </c>
      <c r="E157" s="33" t="s">
        <v>117</v>
      </c>
      <c r="F157" s="26" t="s">
        <v>143</v>
      </c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4:16" ht="19.5" thickBot="1" x14ac:dyDescent="0.35">
      <c r="D158" s="25" t="s">
        <v>229</v>
      </c>
      <c r="E158" s="33" t="s">
        <v>117</v>
      </c>
      <c r="F158" s="26" t="s">
        <v>144</v>
      </c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4:16" ht="19.5" thickBot="1" x14ac:dyDescent="0.35">
      <c r="D159" s="25" t="s">
        <v>225</v>
      </c>
      <c r="E159" s="33" t="s">
        <v>117</v>
      </c>
      <c r="F159" s="26" t="s">
        <v>145</v>
      </c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4:16" ht="19.5" thickBot="1" x14ac:dyDescent="0.35">
      <c r="D160" s="25" t="s">
        <v>240</v>
      </c>
      <c r="E160" s="33" t="s">
        <v>117</v>
      </c>
      <c r="F160" s="26" t="s">
        <v>146</v>
      </c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4:16" ht="19.5" thickBot="1" x14ac:dyDescent="0.35">
      <c r="D161" s="25" t="s">
        <v>187</v>
      </c>
      <c r="E161" s="33" t="s">
        <v>117</v>
      </c>
      <c r="F161" s="26" t="s">
        <v>147</v>
      </c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4:16" ht="19.5" thickBot="1" x14ac:dyDescent="0.35">
      <c r="D162" s="25" t="s">
        <v>241</v>
      </c>
      <c r="E162" s="33" t="s">
        <v>117</v>
      </c>
      <c r="F162" s="26" t="s">
        <v>148</v>
      </c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4:16" ht="19.5" thickBot="1" x14ac:dyDescent="0.35">
      <c r="D163" s="25" t="s">
        <v>263</v>
      </c>
      <c r="E163" s="33" t="s">
        <v>117</v>
      </c>
      <c r="F163" s="26" t="s">
        <v>149</v>
      </c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4:16" ht="19.5" thickBot="1" x14ac:dyDescent="0.35">
      <c r="D164" s="25" t="s">
        <v>268</v>
      </c>
      <c r="E164" s="33" t="s">
        <v>117</v>
      </c>
      <c r="F164" s="26" t="s">
        <v>150</v>
      </c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4:16" ht="19.5" thickBot="1" x14ac:dyDescent="0.35">
      <c r="D165" s="25" t="s">
        <v>260</v>
      </c>
      <c r="E165" s="33" t="s">
        <v>117</v>
      </c>
      <c r="F165" s="26" t="s">
        <v>151</v>
      </c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4:16" ht="19.5" thickBot="1" x14ac:dyDescent="0.35">
      <c r="D166" s="25" t="s">
        <v>180</v>
      </c>
      <c r="E166" s="33" t="s">
        <v>117</v>
      </c>
      <c r="F166" s="26" t="s">
        <v>152</v>
      </c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4:16" ht="19.5" thickBot="1" x14ac:dyDescent="0.35">
      <c r="D167" s="25" t="s">
        <v>198</v>
      </c>
      <c r="E167" s="33" t="s">
        <v>117</v>
      </c>
      <c r="F167" s="26" t="s">
        <v>153</v>
      </c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4:16" ht="19.5" thickBot="1" x14ac:dyDescent="0.35">
      <c r="D168" s="25" t="s">
        <v>186</v>
      </c>
      <c r="E168" s="33" t="s">
        <v>117</v>
      </c>
      <c r="F168" s="26" t="s">
        <v>154</v>
      </c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4:16" ht="19.5" thickBot="1" x14ac:dyDescent="0.35">
      <c r="D169" s="25" t="s">
        <v>214</v>
      </c>
      <c r="E169" s="33" t="s">
        <v>117</v>
      </c>
      <c r="F169" s="26" t="s">
        <v>155</v>
      </c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4:16" ht="19.5" thickBot="1" x14ac:dyDescent="0.35">
      <c r="D170" s="25" t="s">
        <v>267</v>
      </c>
      <c r="E170" s="33" t="s">
        <v>117</v>
      </c>
      <c r="F170" s="26" t="s">
        <v>156</v>
      </c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4:16" ht="19.5" thickBot="1" x14ac:dyDescent="0.35">
      <c r="D171" s="25" t="s">
        <v>184</v>
      </c>
      <c r="E171" s="33" t="s">
        <v>117</v>
      </c>
      <c r="F171" s="26" t="s">
        <v>157</v>
      </c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4:16" ht="19.5" thickBot="1" x14ac:dyDescent="0.35">
      <c r="D172" s="25" t="s">
        <v>178</v>
      </c>
      <c r="E172" s="33" t="s">
        <v>117</v>
      </c>
      <c r="F172" s="26" t="s">
        <v>158</v>
      </c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4:16" ht="19.5" thickBot="1" x14ac:dyDescent="0.35">
      <c r="D173" s="25" t="s">
        <v>266</v>
      </c>
      <c r="E173" s="33" t="s">
        <v>117</v>
      </c>
      <c r="F173" s="26" t="s">
        <v>159</v>
      </c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4:16" ht="19.5" thickBot="1" x14ac:dyDescent="0.35">
      <c r="D174" s="25" t="s">
        <v>215</v>
      </c>
      <c r="E174" s="33" t="s">
        <v>117</v>
      </c>
      <c r="F174" s="26" t="s">
        <v>160</v>
      </c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4:16" ht="19.5" thickBot="1" x14ac:dyDescent="0.35">
      <c r="D175" s="25" t="s">
        <v>199</v>
      </c>
      <c r="E175" s="33" t="s">
        <v>117</v>
      </c>
      <c r="F175" s="26" t="s">
        <v>161</v>
      </c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4:16" ht="19.5" thickBot="1" x14ac:dyDescent="0.35">
      <c r="D176" s="25" t="s">
        <v>197</v>
      </c>
      <c r="E176" s="33" t="s">
        <v>117</v>
      </c>
      <c r="F176" s="26" t="s">
        <v>162</v>
      </c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4:16" ht="19.5" thickBot="1" x14ac:dyDescent="0.35">
      <c r="D177" s="25" t="s">
        <v>249</v>
      </c>
      <c r="E177" s="33" t="s">
        <v>117</v>
      </c>
      <c r="F177" s="26" t="s">
        <v>163</v>
      </c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4:16" ht="19.5" thickBot="1" x14ac:dyDescent="0.35">
      <c r="D178" s="25" t="s">
        <v>236</v>
      </c>
      <c r="E178" s="33" t="s">
        <v>117</v>
      </c>
      <c r="F178" s="26" t="s">
        <v>164</v>
      </c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4:16" ht="19.5" thickBot="1" x14ac:dyDescent="0.35">
      <c r="D179" s="25" t="s">
        <v>228</v>
      </c>
      <c r="E179" s="33" t="s">
        <v>117</v>
      </c>
      <c r="F179" s="26" t="s">
        <v>165</v>
      </c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4:16" ht="19.5" thickBot="1" x14ac:dyDescent="0.35">
      <c r="D180" s="25" t="s">
        <v>206</v>
      </c>
      <c r="E180" s="33" t="s">
        <v>117</v>
      </c>
      <c r="F180" s="26" t="s">
        <v>166</v>
      </c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4:16" ht="19.5" thickBot="1" x14ac:dyDescent="0.35">
      <c r="D181" s="25" t="s">
        <v>217</v>
      </c>
      <c r="E181" s="33" t="s">
        <v>117</v>
      </c>
      <c r="F181" s="26" t="s">
        <v>167</v>
      </c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4:16" ht="19.5" thickBot="1" x14ac:dyDescent="0.35">
      <c r="D182" s="25" t="s">
        <v>207</v>
      </c>
      <c r="E182" s="33" t="s">
        <v>117</v>
      </c>
      <c r="F182" s="26" t="s">
        <v>168</v>
      </c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4:16" ht="19.5" thickBot="1" x14ac:dyDescent="0.35">
      <c r="D183" s="25" t="s">
        <v>262</v>
      </c>
      <c r="E183" s="33" t="s">
        <v>117</v>
      </c>
      <c r="F183" s="26" t="s">
        <v>169</v>
      </c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4:16" ht="19.5" thickBot="1" x14ac:dyDescent="0.35">
      <c r="D184" s="25" t="s">
        <v>209</v>
      </c>
      <c r="E184" s="33" t="s">
        <v>117</v>
      </c>
      <c r="F184" s="26" t="s">
        <v>170</v>
      </c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4:16" ht="19.5" thickBot="1" x14ac:dyDescent="0.35">
      <c r="D185" s="25" t="s">
        <v>193</v>
      </c>
      <c r="E185" s="33" t="s">
        <v>117</v>
      </c>
      <c r="F185" s="26" t="s">
        <v>171</v>
      </c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4:16" ht="19.5" thickBot="1" x14ac:dyDescent="0.35">
      <c r="D186" s="25" t="s">
        <v>254</v>
      </c>
      <c r="E186" s="33" t="s">
        <v>117</v>
      </c>
      <c r="F186" s="26" t="s">
        <v>172</v>
      </c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4:16" ht="19.5" thickBot="1" x14ac:dyDescent="0.35">
      <c r="D187" s="25" t="s">
        <v>219</v>
      </c>
      <c r="E187" s="33" t="s">
        <v>117</v>
      </c>
      <c r="F187" s="26" t="s">
        <v>173</v>
      </c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4:16" ht="19.5" thickBot="1" x14ac:dyDescent="0.35">
      <c r="D188" s="25" t="s">
        <v>234</v>
      </c>
      <c r="E188" s="33" t="s">
        <v>117</v>
      </c>
      <c r="F188" s="26" t="s">
        <v>174</v>
      </c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4:16" ht="19.5" thickBot="1" x14ac:dyDescent="0.35">
      <c r="D189" s="25" t="s">
        <v>196</v>
      </c>
      <c r="E189" s="33" t="s">
        <v>117</v>
      </c>
      <c r="F189" s="26" t="s">
        <v>175</v>
      </c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4:16" ht="19.5" thickBot="1" x14ac:dyDescent="0.35">
      <c r="D190" s="25" t="s">
        <v>182</v>
      </c>
      <c r="E190" s="33" t="s">
        <v>117</v>
      </c>
      <c r="F190" s="26" t="s">
        <v>176</v>
      </c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4:16" ht="19.5" thickBot="1" x14ac:dyDescent="0.35">
      <c r="D191" s="25" t="s">
        <v>192</v>
      </c>
      <c r="E191" s="33" t="s">
        <v>117</v>
      </c>
      <c r="F191" s="26" t="s">
        <v>278</v>
      </c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4:16" ht="19.5" thickBot="1" x14ac:dyDescent="0.35">
      <c r="D192" s="25" t="s">
        <v>183</v>
      </c>
      <c r="E192" s="33" t="s">
        <v>117</v>
      </c>
      <c r="F192" s="26" t="s">
        <v>279</v>
      </c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4:16" ht="19.5" thickBot="1" x14ac:dyDescent="0.35">
      <c r="D193" s="25" t="s">
        <v>204</v>
      </c>
      <c r="E193" s="33" t="s">
        <v>117</v>
      </c>
      <c r="F193" s="26" t="s">
        <v>280</v>
      </c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4:16" ht="19.5" thickBot="1" x14ac:dyDescent="0.35">
      <c r="D194" s="25" t="s">
        <v>247</v>
      </c>
      <c r="E194" s="33" t="s">
        <v>117</v>
      </c>
      <c r="F194" s="26" t="s">
        <v>281</v>
      </c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4:16" ht="19.5" thickBot="1" x14ac:dyDescent="0.35">
      <c r="D195" s="25" t="s">
        <v>230</v>
      </c>
      <c r="E195" s="33" t="s">
        <v>117</v>
      </c>
      <c r="F195" s="26" t="s">
        <v>282</v>
      </c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4:16" ht="19.5" thickBot="1" x14ac:dyDescent="0.35">
      <c r="D196" s="25" t="s">
        <v>222</v>
      </c>
      <c r="E196" s="33" t="s">
        <v>117</v>
      </c>
      <c r="F196" s="26" t="s">
        <v>283</v>
      </c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4:16" ht="19.5" thickBot="1" x14ac:dyDescent="0.35">
      <c r="D197" s="25" t="s">
        <v>216</v>
      </c>
      <c r="E197" s="33" t="s">
        <v>117</v>
      </c>
      <c r="F197" s="26" t="s">
        <v>284</v>
      </c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4:16" ht="19.5" thickBot="1" x14ac:dyDescent="0.35">
      <c r="D198" s="25" t="s">
        <v>191</v>
      </c>
      <c r="E198" s="33" t="s">
        <v>117</v>
      </c>
      <c r="F198" s="26" t="s">
        <v>285</v>
      </c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4:16" ht="19.5" thickBot="1" x14ac:dyDescent="0.35">
      <c r="D199" s="25" t="s">
        <v>231</v>
      </c>
      <c r="E199" s="33" t="s">
        <v>117</v>
      </c>
      <c r="F199" s="26" t="s">
        <v>286</v>
      </c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4:16" ht="19.5" thickBot="1" x14ac:dyDescent="0.35">
      <c r="D200" s="25" t="s">
        <v>220</v>
      </c>
      <c r="E200" s="33" t="s">
        <v>117</v>
      </c>
      <c r="F200" s="26" t="s">
        <v>287</v>
      </c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4:16" ht="19.5" thickBot="1" x14ac:dyDescent="0.35">
      <c r="D201" s="25" t="s">
        <v>205</v>
      </c>
      <c r="E201" s="33" t="s">
        <v>117</v>
      </c>
      <c r="F201" s="26" t="s">
        <v>288</v>
      </c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4:16" ht="19.5" thickBot="1" x14ac:dyDescent="0.35">
      <c r="D202" s="25" t="s">
        <v>244</v>
      </c>
      <c r="E202" s="33" t="s">
        <v>117</v>
      </c>
      <c r="F202" s="26" t="s">
        <v>289</v>
      </c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4:16" ht="19.5" thickBot="1" x14ac:dyDescent="0.35">
      <c r="D203" s="25" t="s">
        <v>208</v>
      </c>
      <c r="E203" s="33" t="s">
        <v>117</v>
      </c>
      <c r="F203" s="26" t="s">
        <v>290</v>
      </c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4:16" ht="19.5" thickBot="1" x14ac:dyDescent="0.35">
      <c r="D204" s="25" t="s">
        <v>274</v>
      </c>
      <c r="E204" s="33" t="s">
        <v>117</v>
      </c>
      <c r="F204" s="26" t="s">
        <v>291</v>
      </c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4:16" ht="19.5" thickBot="1" x14ac:dyDescent="0.35">
      <c r="D205" s="25" t="s">
        <v>237</v>
      </c>
      <c r="E205" s="33" t="s">
        <v>117</v>
      </c>
      <c r="F205" s="26" t="s">
        <v>292</v>
      </c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4:16" ht="19.5" thickBot="1" x14ac:dyDescent="0.35">
      <c r="D206" s="25" t="s">
        <v>224</v>
      </c>
      <c r="E206" s="33" t="s">
        <v>117</v>
      </c>
      <c r="F206" s="26" t="s">
        <v>293</v>
      </c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4:16" ht="19.5" thickBot="1" x14ac:dyDescent="0.35">
      <c r="D207" s="25" t="s">
        <v>277</v>
      </c>
      <c r="E207" s="33" t="s">
        <v>117</v>
      </c>
      <c r="F207" s="26" t="s">
        <v>294</v>
      </c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4:16" ht="19.5" thickBot="1" x14ac:dyDescent="0.35">
      <c r="D208" s="25" t="s">
        <v>248</v>
      </c>
      <c r="E208" s="33" t="s">
        <v>117</v>
      </c>
      <c r="F208" s="26" t="s">
        <v>295</v>
      </c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4:16" ht="19.5" thickBot="1" x14ac:dyDescent="0.35">
      <c r="D209" s="25" t="s">
        <v>185</v>
      </c>
      <c r="E209" s="33" t="s">
        <v>117</v>
      </c>
      <c r="F209" s="26" t="s">
        <v>296</v>
      </c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4:16" ht="19.5" thickBot="1" x14ac:dyDescent="0.35">
      <c r="D210" s="25" t="s">
        <v>251</v>
      </c>
      <c r="E210" s="33" t="s">
        <v>117</v>
      </c>
      <c r="F210" s="26" t="s">
        <v>297</v>
      </c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4:16" ht="19.5" thickBot="1" x14ac:dyDescent="0.35">
      <c r="D211" s="25" t="s">
        <v>270</v>
      </c>
      <c r="E211" s="33" t="s">
        <v>117</v>
      </c>
      <c r="F211" s="26" t="s">
        <v>298</v>
      </c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4:16" ht="19.5" thickBot="1" x14ac:dyDescent="0.35">
      <c r="D212" s="25" t="s">
        <v>233</v>
      </c>
      <c r="E212" s="33" t="s">
        <v>117</v>
      </c>
      <c r="F212" s="26" t="s">
        <v>299</v>
      </c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4:16" ht="19.5" thickBot="1" x14ac:dyDescent="0.35">
      <c r="D213" s="25" t="s">
        <v>239</v>
      </c>
      <c r="E213" s="33" t="s">
        <v>117</v>
      </c>
      <c r="F213" s="26" t="s">
        <v>300</v>
      </c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4:16" ht="19.5" thickBot="1" x14ac:dyDescent="0.35">
      <c r="D214" s="25" t="s">
        <v>221</v>
      </c>
      <c r="E214" s="33" t="s">
        <v>117</v>
      </c>
      <c r="F214" s="26" t="s">
        <v>301</v>
      </c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4:16" ht="19.5" thickBot="1" x14ac:dyDescent="0.35">
      <c r="D215" s="25" t="s">
        <v>276</v>
      </c>
      <c r="E215" s="33" t="s">
        <v>117</v>
      </c>
      <c r="F215" s="26" t="s">
        <v>302</v>
      </c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4:16" ht="19.5" thickBot="1" x14ac:dyDescent="0.35">
      <c r="D216" s="25" t="s">
        <v>261</v>
      </c>
      <c r="E216" s="33" t="s">
        <v>117</v>
      </c>
      <c r="F216" s="26" t="s">
        <v>303</v>
      </c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4:16" ht="19.5" thickBot="1" x14ac:dyDescent="0.35">
      <c r="D217" s="25" t="s">
        <v>271</v>
      </c>
      <c r="E217" s="33" t="s">
        <v>117</v>
      </c>
      <c r="F217" s="26" t="s">
        <v>304</v>
      </c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4:16" ht="19.5" thickBot="1" x14ac:dyDescent="0.35">
      <c r="D218" s="25" t="s">
        <v>238</v>
      </c>
      <c r="E218" s="33" t="s">
        <v>117</v>
      </c>
      <c r="F218" s="26" t="s">
        <v>305</v>
      </c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4:16" ht="19.5" thickBot="1" x14ac:dyDescent="0.35">
      <c r="D219" s="25" t="s">
        <v>255</v>
      </c>
      <c r="E219" s="33" t="s">
        <v>117</v>
      </c>
      <c r="F219" s="26" t="s">
        <v>306</v>
      </c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4:16" ht="19.5" thickBot="1" x14ac:dyDescent="0.35">
      <c r="D220" s="25" t="s">
        <v>242</v>
      </c>
      <c r="E220" s="33" t="s">
        <v>117</v>
      </c>
      <c r="F220" s="26" t="s">
        <v>307</v>
      </c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4:16" ht="19.5" thickBot="1" x14ac:dyDescent="0.35">
      <c r="D221" s="25" t="s">
        <v>272</v>
      </c>
      <c r="E221" s="33" t="s">
        <v>117</v>
      </c>
      <c r="F221" s="26" t="s">
        <v>308</v>
      </c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4:16" ht="19.5" thickBot="1" x14ac:dyDescent="0.35">
      <c r="D222" s="25" t="s">
        <v>269</v>
      </c>
      <c r="E222" s="33" t="s">
        <v>117</v>
      </c>
      <c r="F222" s="26" t="s">
        <v>309</v>
      </c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4:16" ht="19.5" thickBot="1" x14ac:dyDescent="0.35">
      <c r="D223" s="25" t="s">
        <v>252</v>
      </c>
      <c r="E223" s="33" t="s">
        <v>117</v>
      </c>
      <c r="F223" s="26" t="s">
        <v>310</v>
      </c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4:16" ht="19.5" thickBot="1" x14ac:dyDescent="0.35">
      <c r="D224" s="25" t="s">
        <v>273</v>
      </c>
      <c r="E224" s="33" t="s">
        <v>117</v>
      </c>
      <c r="F224" s="26" t="s">
        <v>311</v>
      </c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4:16" ht="19.5" thickBot="1" x14ac:dyDescent="0.35">
      <c r="D225" s="25" t="s">
        <v>177</v>
      </c>
      <c r="E225" s="33" t="s">
        <v>117</v>
      </c>
      <c r="F225" s="26" t="s">
        <v>312</v>
      </c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4:16" ht="19.5" thickBot="1" x14ac:dyDescent="0.35">
      <c r="D226" s="25" t="s">
        <v>218</v>
      </c>
      <c r="E226" s="33" t="s">
        <v>117</v>
      </c>
      <c r="F226" s="26" t="s">
        <v>313</v>
      </c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4:16" ht="19.5" thickBot="1" x14ac:dyDescent="0.35">
      <c r="D227" s="25" t="s">
        <v>259</v>
      </c>
      <c r="E227" s="33" t="s">
        <v>117</v>
      </c>
      <c r="F227" s="26" t="s">
        <v>314</v>
      </c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4:16" ht="19.5" thickBot="1" x14ac:dyDescent="0.35">
      <c r="D228" s="25" t="s">
        <v>243</v>
      </c>
      <c r="E228" s="33" t="s">
        <v>117</v>
      </c>
      <c r="F228" s="26" t="s">
        <v>315</v>
      </c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4:16" ht="19.5" thickBot="1" x14ac:dyDescent="0.35">
      <c r="D229" s="25" t="s">
        <v>194</v>
      </c>
      <c r="E229" s="33" t="s">
        <v>117</v>
      </c>
      <c r="F229" s="26" t="s">
        <v>316</v>
      </c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4:16" ht="19.5" thickBot="1" x14ac:dyDescent="0.35">
      <c r="D230" s="25" t="s">
        <v>232</v>
      </c>
      <c r="E230" s="33" t="s">
        <v>117</v>
      </c>
      <c r="F230" s="26" t="s">
        <v>317</v>
      </c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4:16" ht="19.5" thickBot="1" x14ac:dyDescent="0.35">
      <c r="D231" s="25" t="s">
        <v>235</v>
      </c>
      <c r="E231" s="33" t="s">
        <v>117</v>
      </c>
      <c r="F231" s="26" t="s">
        <v>318</v>
      </c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4:16" ht="19.5" thickBot="1" x14ac:dyDescent="0.35">
      <c r="D232" s="25" t="s">
        <v>256</v>
      </c>
      <c r="E232" s="33" t="s">
        <v>117</v>
      </c>
      <c r="F232" s="26" t="s">
        <v>319</v>
      </c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4:16" ht="19.5" thickBot="1" x14ac:dyDescent="0.35">
      <c r="D233" s="23" t="s">
        <v>115</v>
      </c>
      <c r="E233" s="33" t="s">
        <v>58</v>
      </c>
      <c r="F233" s="24" t="s">
        <v>118</v>
      </c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4:16" ht="19.5" thickBot="1" x14ac:dyDescent="0.35">
      <c r="D234" s="23" t="s">
        <v>104</v>
      </c>
      <c r="E234" s="33" t="s">
        <v>58</v>
      </c>
      <c r="F234" s="24" t="s">
        <v>119</v>
      </c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4:16" ht="19.5" thickBot="1" x14ac:dyDescent="0.35">
      <c r="D235" s="23" t="s">
        <v>71</v>
      </c>
      <c r="E235" s="33" t="s">
        <v>58</v>
      </c>
      <c r="F235" s="24" t="s">
        <v>120</v>
      </c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4:16" ht="19.5" thickBot="1" x14ac:dyDescent="0.35">
      <c r="D236" s="23" t="s">
        <v>70</v>
      </c>
      <c r="E236" s="33" t="s">
        <v>58</v>
      </c>
      <c r="F236" s="24" t="s">
        <v>121</v>
      </c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4:16" ht="19.5" thickBot="1" x14ac:dyDescent="0.35">
      <c r="D237" s="23" t="s">
        <v>62</v>
      </c>
      <c r="E237" s="33" t="s">
        <v>58</v>
      </c>
      <c r="F237" s="24" t="s">
        <v>122</v>
      </c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4:16" ht="19.5" thickBot="1" x14ac:dyDescent="0.35">
      <c r="D238" s="23" t="s">
        <v>102</v>
      </c>
      <c r="E238" s="33" t="s">
        <v>58</v>
      </c>
      <c r="F238" s="24" t="s">
        <v>123</v>
      </c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4:16" ht="19.5" thickBot="1" x14ac:dyDescent="0.35">
      <c r="D239" s="23" t="s">
        <v>67</v>
      </c>
      <c r="E239" s="33" t="s">
        <v>58</v>
      </c>
      <c r="F239" s="24" t="s">
        <v>124</v>
      </c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4:16" ht="19.5" thickBot="1" x14ac:dyDescent="0.35">
      <c r="D240" s="23" t="s">
        <v>61</v>
      </c>
      <c r="E240" s="33" t="s">
        <v>58</v>
      </c>
      <c r="F240" s="24" t="s">
        <v>125</v>
      </c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4:16" ht="19.5" thickBot="1" x14ac:dyDescent="0.35">
      <c r="D241" s="23" t="s">
        <v>57</v>
      </c>
      <c r="E241" s="33" t="s">
        <v>58</v>
      </c>
      <c r="F241" s="24" t="s">
        <v>126</v>
      </c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4:16" ht="19.5" thickBot="1" x14ac:dyDescent="0.35">
      <c r="D242" s="23" t="s">
        <v>76</v>
      </c>
      <c r="E242" s="33" t="s">
        <v>58</v>
      </c>
      <c r="F242" s="24" t="s">
        <v>127</v>
      </c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4:16" ht="19.5" thickBot="1" x14ac:dyDescent="0.35">
      <c r="D243" s="23" t="s">
        <v>60</v>
      </c>
      <c r="E243" s="33" t="s">
        <v>58</v>
      </c>
      <c r="F243" s="24" t="s">
        <v>128</v>
      </c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4:16" ht="19.5" thickBot="1" x14ac:dyDescent="0.35">
      <c r="D244" s="23" t="s">
        <v>112</v>
      </c>
      <c r="E244" s="33" t="s">
        <v>58</v>
      </c>
      <c r="F244" s="24" t="s">
        <v>129</v>
      </c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4:16" ht="19.5" thickBot="1" x14ac:dyDescent="0.35">
      <c r="D245" s="23" t="s">
        <v>81</v>
      </c>
      <c r="E245" s="33" t="s">
        <v>58</v>
      </c>
      <c r="F245" s="24" t="s">
        <v>130</v>
      </c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4:16" ht="19.5" thickBot="1" x14ac:dyDescent="0.35">
      <c r="D246" s="23" t="s">
        <v>111</v>
      </c>
      <c r="E246" s="33" t="s">
        <v>58</v>
      </c>
      <c r="F246" s="24" t="s">
        <v>131</v>
      </c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4:16" ht="19.5" thickBot="1" x14ac:dyDescent="0.35">
      <c r="D247" s="23" t="s">
        <v>69</v>
      </c>
      <c r="E247" s="33" t="s">
        <v>58</v>
      </c>
      <c r="F247" s="24" t="s">
        <v>132</v>
      </c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4:16" ht="19.5" thickBot="1" x14ac:dyDescent="0.35">
      <c r="D248" s="23" t="s">
        <v>94</v>
      </c>
      <c r="E248" s="33" t="s">
        <v>58</v>
      </c>
      <c r="F248" s="24" t="s">
        <v>133</v>
      </c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4:16" ht="19.5" thickBot="1" x14ac:dyDescent="0.35">
      <c r="D249" s="23" t="s">
        <v>75</v>
      </c>
      <c r="E249" s="33" t="s">
        <v>58</v>
      </c>
      <c r="F249" s="24" t="s">
        <v>134</v>
      </c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4:16" ht="19.5" thickBot="1" x14ac:dyDescent="0.35">
      <c r="D250" s="23" t="s">
        <v>91</v>
      </c>
      <c r="E250" s="33" t="s">
        <v>58</v>
      </c>
      <c r="F250" s="24" t="s">
        <v>135</v>
      </c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4:16" ht="19.5" thickBot="1" x14ac:dyDescent="0.35">
      <c r="D251" s="23" t="s">
        <v>66</v>
      </c>
      <c r="E251" s="33" t="s">
        <v>58</v>
      </c>
      <c r="F251" s="24" t="s">
        <v>136</v>
      </c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4:16" ht="19.5" thickBot="1" x14ac:dyDescent="0.35">
      <c r="D252" s="23" t="s">
        <v>101</v>
      </c>
      <c r="E252" s="33" t="s">
        <v>58</v>
      </c>
      <c r="F252" s="24" t="s">
        <v>137</v>
      </c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4:16" ht="19.5" thickBot="1" x14ac:dyDescent="0.35">
      <c r="D253" s="23" t="s">
        <v>100</v>
      </c>
      <c r="E253" s="33" t="s">
        <v>58</v>
      </c>
      <c r="F253" s="24" t="s">
        <v>138</v>
      </c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4:16" ht="19.5" thickBot="1" x14ac:dyDescent="0.35">
      <c r="D254" s="23" t="s">
        <v>107</v>
      </c>
      <c r="E254" s="33" t="s">
        <v>58</v>
      </c>
      <c r="F254" s="24" t="s">
        <v>139</v>
      </c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4:16" ht="19.5" thickBot="1" x14ac:dyDescent="0.35">
      <c r="D255" s="23" t="s">
        <v>59</v>
      </c>
      <c r="E255" s="33" t="s">
        <v>58</v>
      </c>
      <c r="F255" s="24" t="s">
        <v>140</v>
      </c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4:16" ht="19.5" thickBot="1" x14ac:dyDescent="0.35">
      <c r="D256" s="23" t="s">
        <v>84</v>
      </c>
      <c r="E256" s="33" t="s">
        <v>58</v>
      </c>
      <c r="F256" s="24" t="s">
        <v>141</v>
      </c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4:16" ht="19.5" thickBot="1" x14ac:dyDescent="0.35">
      <c r="D257" s="23" t="s">
        <v>74</v>
      </c>
      <c r="E257" s="33" t="s">
        <v>58</v>
      </c>
      <c r="F257" s="24" t="s">
        <v>142</v>
      </c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4:16" ht="19.5" thickBot="1" x14ac:dyDescent="0.35">
      <c r="D258" s="23" t="s">
        <v>113</v>
      </c>
      <c r="E258" s="33" t="s">
        <v>58</v>
      </c>
      <c r="F258" s="24" t="s">
        <v>143</v>
      </c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4:16" ht="19.5" thickBot="1" x14ac:dyDescent="0.35">
      <c r="D259" s="23" t="s">
        <v>110</v>
      </c>
      <c r="E259" s="33" t="s">
        <v>58</v>
      </c>
      <c r="F259" s="24" t="s">
        <v>144</v>
      </c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4:16" ht="19.5" thickBot="1" x14ac:dyDescent="0.35">
      <c r="D260" s="23" t="s">
        <v>68</v>
      </c>
      <c r="E260" s="33" t="s">
        <v>58</v>
      </c>
      <c r="F260" s="24" t="s">
        <v>145</v>
      </c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4:16" ht="19.5" thickBot="1" x14ac:dyDescent="0.35">
      <c r="D261" s="23" t="s">
        <v>116</v>
      </c>
      <c r="E261" s="33" t="s">
        <v>58</v>
      </c>
      <c r="F261" s="24" t="s">
        <v>146</v>
      </c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4:16" ht="19.5" thickBot="1" x14ac:dyDescent="0.35">
      <c r="D262" s="23" t="s">
        <v>82</v>
      </c>
      <c r="E262" s="33" t="s">
        <v>58</v>
      </c>
      <c r="F262" s="24" t="s">
        <v>147</v>
      </c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4:16" ht="19.5" thickBot="1" x14ac:dyDescent="0.35">
      <c r="D263" s="23" t="s">
        <v>73</v>
      </c>
      <c r="E263" s="33" t="s">
        <v>58</v>
      </c>
      <c r="F263" s="24" t="s">
        <v>148</v>
      </c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4:16" ht="19.5" thickBot="1" x14ac:dyDescent="0.35">
      <c r="D264" s="23" t="s">
        <v>106</v>
      </c>
      <c r="E264" s="33" t="s">
        <v>58</v>
      </c>
      <c r="F264" s="24" t="s">
        <v>149</v>
      </c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4:16" ht="19.5" thickBot="1" x14ac:dyDescent="0.35">
      <c r="D265" s="23" t="s">
        <v>98</v>
      </c>
      <c r="E265" s="33" t="s">
        <v>58</v>
      </c>
      <c r="F265" s="24" t="s">
        <v>150</v>
      </c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4:16" ht="19.5" thickBot="1" x14ac:dyDescent="0.35">
      <c r="D266" s="23" t="s">
        <v>87</v>
      </c>
      <c r="E266" s="33" t="s">
        <v>58</v>
      </c>
      <c r="F266" s="24" t="s">
        <v>151</v>
      </c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4:16" ht="19.5" thickBot="1" x14ac:dyDescent="0.35">
      <c r="D267" s="23" t="s">
        <v>72</v>
      </c>
      <c r="E267" s="33" t="s">
        <v>58</v>
      </c>
      <c r="F267" s="24" t="s">
        <v>152</v>
      </c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4:16" ht="19.5" thickBot="1" x14ac:dyDescent="0.35">
      <c r="D268" s="23" t="s">
        <v>92</v>
      </c>
      <c r="E268" s="33" t="s">
        <v>58</v>
      </c>
      <c r="F268" s="24" t="s">
        <v>153</v>
      </c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4:16" ht="19.5" thickBot="1" x14ac:dyDescent="0.35">
      <c r="D269" s="23" t="s">
        <v>105</v>
      </c>
      <c r="E269" s="33" t="s">
        <v>58</v>
      </c>
      <c r="F269" s="24" t="s">
        <v>154</v>
      </c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4:16" ht="19.5" thickBot="1" x14ac:dyDescent="0.35">
      <c r="D270" s="23" t="s">
        <v>114</v>
      </c>
      <c r="E270" s="33" t="s">
        <v>58</v>
      </c>
      <c r="F270" s="24" t="s">
        <v>155</v>
      </c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4:16" ht="19.5" thickBot="1" x14ac:dyDescent="0.35">
      <c r="D271" s="23" t="s">
        <v>86</v>
      </c>
      <c r="E271" s="33" t="s">
        <v>58</v>
      </c>
      <c r="F271" s="24" t="s">
        <v>156</v>
      </c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4:16" ht="19.5" thickBot="1" x14ac:dyDescent="0.35">
      <c r="D272" s="23" t="s">
        <v>65</v>
      </c>
      <c r="E272" s="33" t="s">
        <v>58</v>
      </c>
      <c r="F272" s="24" t="s">
        <v>157</v>
      </c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4:16" ht="19.5" thickBot="1" x14ac:dyDescent="0.35">
      <c r="D273" s="23" t="s">
        <v>64</v>
      </c>
      <c r="E273" s="33" t="s">
        <v>58</v>
      </c>
      <c r="F273" s="24" t="s">
        <v>158</v>
      </c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4:16" ht="19.5" thickBot="1" x14ac:dyDescent="0.35">
      <c r="D274" s="23" t="s">
        <v>80</v>
      </c>
      <c r="E274" s="33" t="s">
        <v>58</v>
      </c>
      <c r="F274" s="24" t="s">
        <v>159</v>
      </c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4:16" ht="19.5" thickBot="1" x14ac:dyDescent="0.35">
      <c r="D275" s="23" t="s">
        <v>83</v>
      </c>
      <c r="E275" s="33" t="s">
        <v>58</v>
      </c>
      <c r="F275" s="24" t="s">
        <v>160</v>
      </c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4:16" ht="19.5" thickBot="1" x14ac:dyDescent="0.35">
      <c r="D276" s="23" t="s">
        <v>93</v>
      </c>
      <c r="E276" s="33" t="s">
        <v>58</v>
      </c>
      <c r="F276" s="24" t="s">
        <v>161</v>
      </c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4:16" ht="19.5" thickBot="1" x14ac:dyDescent="0.35">
      <c r="D277" s="23" t="s">
        <v>63</v>
      </c>
      <c r="E277" s="33" t="s">
        <v>58</v>
      </c>
      <c r="F277" s="24" t="s">
        <v>162</v>
      </c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4:16" ht="19.5" thickBot="1" x14ac:dyDescent="0.35">
      <c r="D278" s="23" t="s">
        <v>89</v>
      </c>
      <c r="E278" s="33" t="s">
        <v>58</v>
      </c>
      <c r="F278" s="24" t="s">
        <v>163</v>
      </c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4:16" ht="19.5" thickBot="1" x14ac:dyDescent="0.35">
      <c r="D279" s="23" t="s">
        <v>79</v>
      </c>
      <c r="E279" s="33" t="s">
        <v>58</v>
      </c>
      <c r="F279" s="24" t="s">
        <v>164</v>
      </c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4:16" ht="19.5" thickBot="1" x14ac:dyDescent="0.35">
      <c r="D280" s="23" t="s">
        <v>78</v>
      </c>
      <c r="E280" s="33" t="s">
        <v>58</v>
      </c>
      <c r="F280" s="24" t="s">
        <v>165</v>
      </c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4:16" ht="19.5" thickBot="1" x14ac:dyDescent="0.35">
      <c r="D281" s="23" t="s">
        <v>109</v>
      </c>
      <c r="E281" s="33" t="s">
        <v>58</v>
      </c>
      <c r="F281" s="24" t="s">
        <v>166</v>
      </c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4:16" ht="19.5" thickBot="1" x14ac:dyDescent="0.35">
      <c r="D282" s="23" t="s">
        <v>103</v>
      </c>
      <c r="E282" s="33" t="s">
        <v>58</v>
      </c>
      <c r="F282" s="24" t="s">
        <v>167</v>
      </c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4:16" ht="19.5" thickBot="1" x14ac:dyDescent="0.35">
      <c r="D283" s="23" t="s">
        <v>77</v>
      </c>
      <c r="E283" s="33" t="s">
        <v>58</v>
      </c>
      <c r="F283" s="24" t="s">
        <v>168</v>
      </c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4:16" ht="19.5" thickBot="1" x14ac:dyDescent="0.35">
      <c r="D284" s="23" t="s">
        <v>96</v>
      </c>
      <c r="E284" s="33" t="s">
        <v>58</v>
      </c>
      <c r="F284" s="24" t="s">
        <v>169</v>
      </c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4:16" ht="19.5" thickBot="1" x14ac:dyDescent="0.35">
      <c r="D285" s="23" t="s">
        <v>95</v>
      </c>
      <c r="E285" s="33" t="s">
        <v>58</v>
      </c>
      <c r="F285" s="24" t="s">
        <v>170</v>
      </c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4:16" ht="19.5" thickBot="1" x14ac:dyDescent="0.35">
      <c r="D286" s="23" t="s">
        <v>85</v>
      </c>
      <c r="E286" s="33" t="s">
        <v>58</v>
      </c>
      <c r="F286" s="24" t="s">
        <v>171</v>
      </c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4:16" ht="19.5" thickBot="1" x14ac:dyDescent="0.35">
      <c r="D287" s="23" t="s">
        <v>97</v>
      </c>
      <c r="E287" s="33" t="s">
        <v>58</v>
      </c>
      <c r="F287" s="24" t="s">
        <v>172</v>
      </c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4:16" ht="19.5" thickBot="1" x14ac:dyDescent="0.35">
      <c r="D288" s="23" t="s">
        <v>88</v>
      </c>
      <c r="E288" s="33" t="s">
        <v>58</v>
      </c>
      <c r="F288" s="24" t="s">
        <v>173</v>
      </c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4:16" ht="19.5" thickBot="1" x14ac:dyDescent="0.35">
      <c r="D289" s="23" t="s">
        <v>90</v>
      </c>
      <c r="E289" s="33" t="s">
        <v>58</v>
      </c>
      <c r="F289" s="24" t="s">
        <v>174</v>
      </c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4:16" ht="19.5" thickBot="1" x14ac:dyDescent="0.35">
      <c r="D290" s="23" t="s">
        <v>99</v>
      </c>
      <c r="E290" s="33" t="s">
        <v>58</v>
      </c>
      <c r="F290" s="24" t="s">
        <v>175</v>
      </c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4:16" ht="19.5" thickBot="1" x14ac:dyDescent="0.35">
      <c r="D291" s="27" t="s">
        <v>108</v>
      </c>
      <c r="E291" s="35" t="s">
        <v>58</v>
      </c>
      <c r="F291" s="24" t="s">
        <v>176</v>
      </c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4:16" ht="19.5" thickBot="1" x14ac:dyDescent="0.35">
      <c r="D292" s="25" t="s">
        <v>43</v>
      </c>
      <c r="E292" s="33" t="s">
        <v>31</v>
      </c>
      <c r="F292" s="24" t="s">
        <v>118</v>
      </c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4:16" ht="19.5" thickBot="1" x14ac:dyDescent="0.35">
      <c r="D293" s="25" t="s">
        <v>45</v>
      </c>
      <c r="E293" s="33" t="s">
        <v>31</v>
      </c>
      <c r="F293" s="24" t="s">
        <v>119</v>
      </c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4:16" ht="19.5" thickBot="1" x14ac:dyDescent="0.35">
      <c r="D294" s="25" t="s">
        <v>34</v>
      </c>
      <c r="E294" s="33" t="s">
        <v>31</v>
      </c>
      <c r="F294" s="24" t="s">
        <v>120</v>
      </c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4:16" ht="19.5" thickBot="1" x14ac:dyDescent="0.35">
      <c r="D295" s="25" t="s">
        <v>51</v>
      </c>
      <c r="E295" s="33" t="s">
        <v>31</v>
      </c>
      <c r="F295" s="24" t="s">
        <v>121</v>
      </c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4:16" ht="19.5" thickBot="1" x14ac:dyDescent="0.35">
      <c r="D296" s="25" t="s">
        <v>39</v>
      </c>
      <c r="E296" s="33" t="s">
        <v>31</v>
      </c>
      <c r="F296" s="24" t="s">
        <v>122</v>
      </c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4:16" ht="19.5" thickBot="1" x14ac:dyDescent="0.35">
      <c r="D297" s="25" t="s">
        <v>56</v>
      </c>
      <c r="E297" s="33" t="s">
        <v>31</v>
      </c>
      <c r="F297" s="24" t="s">
        <v>123</v>
      </c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4:16" ht="19.5" thickBot="1" x14ac:dyDescent="0.35">
      <c r="D298" s="25" t="s">
        <v>30</v>
      </c>
      <c r="E298" s="33" t="s">
        <v>31</v>
      </c>
      <c r="F298" s="24" t="s">
        <v>124</v>
      </c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4:16" ht="19.5" thickBot="1" x14ac:dyDescent="0.35">
      <c r="D299" s="25" t="s">
        <v>36</v>
      </c>
      <c r="E299" s="33" t="s">
        <v>31</v>
      </c>
      <c r="F299" s="24" t="s">
        <v>125</v>
      </c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4:16" ht="19.5" thickBot="1" x14ac:dyDescent="0.35">
      <c r="D300" s="25" t="s">
        <v>48</v>
      </c>
      <c r="E300" s="33" t="s">
        <v>31</v>
      </c>
      <c r="F300" s="24" t="s">
        <v>126</v>
      </c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4:16" ht="19.5" thickBot="1" x14ac:dyDescent="0.35">
      <c r="D301" s="25" t="s">
        <v>55</v>
      </c>
      <c r="E301" s="33" t="s">
        <v>31</v>
      </c>
      <c r="F301" s="24" t="s">
        <v>127</v>
      </c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4:16" ht="19.5" thickBot="1" x14ac:dyDescent="0.35">
      <c r="D302" s="25" t="s">
        <v>33</v>
      </c>
      <c r="E302" s="33" t="s">
        <v>31</v>
      </c>
      <c r="F302" s="24" t="s">
        <v>128</v>
      </c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4:16" ht="19.5" thickBot="1" x14ac:dyDescent="0.35">
      <c r="D303" s="25" t="s">
        <v>46</v>
      </c>
      <c r="E303" s="33" t="s">
        <v>31</v>
      </c>
      <c r="F303" s="24" t="s">
        <v>129</v>
      </c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4:16" ht="19.5" thickBot="1" x14ac:dyDescent="0.35">
      <c r="D304" s="25" t="s">
        <v>32</v>
      </c>
      <c r="E304" s="33" t="s">
        <v>31</v>
      </c>
      <c r="F304" s="24" t="s">
        <v>130</v>
      </c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4:16" ht="19.5" thickBot="1" x14ac:dyDescent="0.35">
      <c r="D305" s="25" t="s">
        <v>44</v>
      </c>
      <c r="E305" s="33" t="s">
        <v>31</v>
      </c>
      <c r="F305" s="24" t="s">
        <v>131</v>
      </c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4:16" ht="19.5" thickBot="1" x14ac:dyDescent="0.35">
      <c r="D306" s="25" t="s">
        <v>42</v>
      </c>
      <c r="E306" s="33" t="s">
        <v>31</v>
      </c>
      <c r="F306" s="24" t="s">
        <v>132</v>
      </c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4:16" ht="19.5" thickBot="1" x14ac:dyDescent="0.35">
      <c r="D307" s="25" t="s">
        <v>40</v>
      </c>
      <c r="E307" s="33" t="s">
        <v>31</v>
      </c>
      <c r="F307" s="24" t="s">
        <v>133</v>
      </c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4:16" ht="19.5" thickBot="1" x14ac:dyDescent="0.35">
      <c r="D308" s="25" t="s">
        <v>41</v>
      </c>
      <c r="E308" s="33" t="s">
        <v>31</v>
      </c>
      <c r="F308" s="24" t="s">
        <v>134</v>
      </c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4:16" ht="19.5" thickBot="1" x14ac:dyDescent="0.35">
      <c r="D309" s="25" t="s">
        <v>50</v>
      </c>
      <c r="E309" s="33" t="s">
        <v>31</v>
      </c>
      <c r="F309" s="24" t="s">
        <v>135</v>
      </c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4:16" ht="19.5" thickBot="1" x14ac:dyDescent="0.35">
      <c r="D310" s="25" t="s">
        <v>54</v>
      </c>
      <c r="E310" s="33" t="s">
        <v>31</v>
      </c>
      <c r="F310" s="24" t="s">
        <v>136</v>
      </c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4:16" ht="19.5" thickBot="1" x14ac:dyDescent="0.35">
      <c r="D311" s="25" t="s">
        <v>38</v>
      </c>
      <c r="E311" s="33" t="s">
        <v>31</v>
      </c>
      <c r="F311" s="24" t="s">
        <v>137</v>
      </c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4:16" ht="19.5" thickBot="1" x14ac:dyDescent="0.35">
      <c r="D312" s="25" t="s">
        <v>52</v>
      </c>
      <c r="E312" s="33" t="s">
        <v>31</v>
      </c>
      <c r="F312" s="24" t="s">
        <v>138</v>
      </c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4:16" ht="19.5" thickBot="1" x14ac:dyDescent="0.35">
      <c r="D313" s="25" t="s">
        <v>35</v>
      </c>
      <c r="E313" s="33" t="s">
        <v>31</v>
      </c>
      <c r="F313" s="24" t="s">
        <v>139</v>
      </c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4:16" ht="19.5" thickBot="1" x14ac:dyDescent="0.35">
      <c r="D314" s="25" t="s">
        <v>47</v>
      </c>
      <c r="E314" s="33" t="s">
        <v>31</v>
      </c>
      <c r="F314" s="24" t="s">
        <v>140</v>
      </c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4:16" ht="19.5" thickBot="1" x14ac:dyDescent="0.35">
      <c r="D315" s="25" t="s">
        <v>53</v>
      </c>
      <c r="E315" s="33" t="s">
        <v>31</v>
      </c>
      <c r="F315" s="24" t="s">
        <v>141</v>
      </c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4:16" ht="19.5" thickBot="1" x14ac:dyDescent="0.35">
      <c r="D316" s="25" t="s">
        <v>49</v>
      </c>
      <c r="E316" s="33" t="s">
        <v>31</v>
      </c>
      <c r="F316" s="24" t="s">
        <v>142</v>
      </c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4:16" ht="19.5" thickBot="1" x14ac:dyDescent="0.35">
      <c r="D317" s="25" t="s">
        <v>37</v>
      </c>
      <c r="E317" s="33" t="s">
        <v>31</v>
      </c>
      <c r="F317" s="24" t="s">
        <v>143</v>
      </c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4:16" ht="19.5" thickBot="1" x14ac:dyDescent="0.35">
      <c r="D318" s="23" t="s">
        <v>25</v>
      </c>
      <c r="E318" s="24" t="s">
        <v>26</v>
      </c>
      <c r="F318" s="24" t="s">
        <v>118</v>
      </c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4:16" ht="19.5" thickBot="1" x14ac:dyDescent="0.35">
      <c r="D319" s="23" t="s">
        <v>27</v>
      </c>
      <c r="E319" s="24" t="s">
        <v>26</v>
      </c>
      <c r="F319" s="24" t="s">
        <v>119</v>
      </c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4:16" ht="19.5" thickBot="1" x14ac:dyDescent="0.35">
      <c r="D320" s="23" t="s">
        <v>29</v>
      </c>
      <c r="E320" s="24" t="s">
        <v>26</v>
      </c>
      <c r="F320" s="24" t="s">
        <v>120</v>
      </c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4:16" ht="19.5" thickBot="1" x14ac:dyDescent="0.35">
      <c r="D321" s="24" t="s">
        <v>28</v>
      </c>
      <c r="E321" s="28" t="s">
        <v>26</v>
      </c>
      <c r="F321" s="24" t="s">
        <v>121</v>
      </c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4:16" ht="19.5" thickBot="1" x14ac:dyDescent="0.35">
      <c r="D322" s="23" t="s">
        <v>20</v>
      </c>
      <c r="E322" s="24" t="s">
        <v>18</v>
      </c>
      <c r="F322" s="26" t="s">
        <v>118</v>
      </c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4:16" ht="19.5" thickBot="1" x14ac:dyDescent="0.35">
      <c r="D323" s="23" t="s">
        <v>22</v>
      </c>
      <c r="E323" s="24" t="s">
        <v>18</v>
      </c>
      <c r="F323" s="26" t="s">
        <v>119</v>
      </c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4:16" ht="19.5" thickBot="1" x14ac:dyDescent="0.35">
      <c r="D324" s="23" t="s">
        <v>17</v>
      </c>
      <c r="E324" s="24" t="s">
        <v>18</v>
      </c>
      <c r="F324" s="26" t="s">
        <v>120</v>
      </c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4:16" ht="19.5" thickBot="1" x14ac:dyDescent="0.35">
      <c r="D325" s="23" t="s">
        <v>19</v>
      </c>
      <c r="E325" s="24" t="s">
        <v>18</v>
      </c>
      <c r="F325" s="26" t="s">
        <v>121</v>
      </c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4:16" ht="19.5" thickBot="1" x14ac:dyDescent="0.35">
      <c r="D326" s="23" t="s">
        <v>24</v>
      </c>
      <c r="E326" s="24" t="s">
        <v>18</v>
      </c>
      <c r="F326" s="26" t="s">
        <v>122</v>
      </c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4:16" ht="19.5" thickBot="1" x14ac:dyDescent="0.35">
      <c r="D327" s="23" t="s">
        <v>23</v>
      </c>
      <c r="E327" s="24" t="s">
        <v>18</v>
      </c>
      <c r="F327" s="26" t="s">
        <v>123</v>
      </c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4:16" ht="19.5" thickBot="1" x14ac:dyDescent="0.35">
      <c r="D328" s="27" t="s">
        <v>21</v>
      </c>
      <c r="E328" s="24" t="s">
        <v>18</v>
      </c>
      <c r="F328" s="26" t="s">
        <v>124</v>
      </c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4:16" ht="19.5" thickBot="1" x14ac:dyDescent="0.35">
      <c r="D329" s="23" t="s">
        <v>15</v>
      </c>
      <c r="E329" s="24" t="s">
        <v>16</v>
      </c>
      <c r="F329" s="22" t="s">
        <v>118</v>
      </c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4:16" ht="19.5" thickBot="1" x14ac:dyDescent="0.35">
      <c r="D330" s="23" t="s">
        <v>14</v>
      </c>
      <c r="E330" s="38" t="s">
        <v>11</v>
      </c>
      <c r="F330" s="39" t="s">
        <v>118</v>
      </c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4:16" ht="19.5" thickBot="1" x14ac:dyDescent="0.35">
      <c r="D331" s="23" t="s">
        <v>12</v>
      </c>
      <c r="E331" s="38" t="s">
        <v>11</v>
      </c>
      <c r="F331" s="39" t="s">
        <v>119</v>
      </c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4:16" ht="19.5" thickBot="1" x14ac:dyDescent="0.35">
      <c r="D332" s="23" t="s">
        <v>13</v>
      </c>
      <c r="E332" s="38" t="s">
        <v>11</v>
      </c>
      <c r="F332" s="39" t="s">
        <v>120</v>
      </c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4:16" ht="19.5" thickBot="1" x14ac:dyDescent="0.35">
      <c r="D333" s="24" t="s">
        <v>10</v>
      </c>
      <c r="E333" s="38" t="s">
        <v>11</v>
      </c>
      <c r="F333" s="39" t="s">
        <v>121</v>
      </c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4:16" ht="19.5" thickBot="1" x14ac:dyDescent="0.35">
      <c r="D334" s="19" t="s">
        <v>8</v>
      </c>
      <c r="E334" s="26" t="s">
        <v>7</v>
      </c>
      <c r="F334" s="21" t="s">
        <v>118</v>
      </c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4:16" ht="19.5" thickBot="1" x14ac:dyDescent="0.35">
      <c r="D335" s="61" t="s">
        <v>457</v>
      </c>
      <c r="E335" s="62" t="s">
        <v>7</v>
      </c>
      <c r="F335" s="63" t="s">
        <v>118</v>
      </c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4:16" ht="19.5" thickBot="1" x14ac:dyDescent="0.35">
      <c r="D336" s="64" t="s">
        <v>459</v>
      </c>
      <c r="E336" s="65"/>
      <c r="F336" s="65" t="s">
        <v>119</v>
      </c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4:16" ht="19.5" thickBot="1" x14ac:dyDescent="0.35">
      <c r="D337" s="20" t="s">
        <v>458</v>
      </c>
      <c r="E337" s="26" t="s">
        <v>31</v>
      </c>
      <c r="F337" s="63" t="s">
        <v>120</v>
      </c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4:16" ht="19.5" thickBot="1" x14ac:dyDescent="0.35">
      <c r="D338" s="64" t="s">
        <v>460</v>
      </c>
      <c r="E338" s="65" t="s">
        <v>7</v>
      </c>
      <c r="F338" s="65" t="s">
        <v>121</v>
      </c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4:16" ht="19.5" thickBot="1" x14ac:dyDescent="0.35">
      <c r="D339" s="64" t="s">
        <v>547</v>
      </c>
      <c r="E339" s="65" t="s">
        <v>548</v>
      </c>
      <c r="F339" s="65" t="s">
        <v>122</v>
      </c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4:16" ht="19.5" thickBot="1" x14ac:dyDescent="0.35">
      <c r="D340" s="66" t="s">
        <v>461</v>
      </c>
      <c r="E340" s="67" t="s">
        <v>455</v>
      </c>
      <c r="F340" s="65" t="s">
        <v>123</v>
      </c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4:16" ht="19.5" thickBot="1" x14ac:dyDescent="0.35">
      <c r="D341" s="64" t="s">
        <v>462</v>
      </c>
      <c r="E341" s="65" t="s">
        <v>463</v>
      </c>
      <c r="F341" s="65" t="s">
        <v>124</v>
      </c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4:16" ht="19.5" thickBot="1" x14ac:dyDescent="0.35">
      <c r="D342" s="20" t="s">
        <v>464</v>
      </c>
      <c r="E342" s="26" t="s">
        <v>26</v>
      </c>
      <c r="F342" s="65" t="s">
        <v>127</v>
      </c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4:16" ht="19.5" thickBot="1" x14ac:dyDescent="0.35">
      <c r="D343" s="64" t="s">
        <v>465</v>
      </c>
      <c r="E343" s="65" t="s">
        <v>5</v>
      </c>
      <c r="F343" s="65" t="s">
        <v>128</v>
      </c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4:16" ht="19.5" thickBot="1" x14ac:dyDescent="0.35">
      <c r="D344" s="66" t="s">
        <v>466</v>
      </c>
      <c r="E344" s="67" t="s">
        <v>467</v>
      </c>
      <c r="F344" s="65" t="s">
        <v>129</v>
      </c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4:16" ht="19.5" thickBot="1" x14ac:dyDescent="0.35">
      <c r="D345" s="66" t="s">
        <v>468</v>
      </c>
      <c r="E345" s="67" t="s">
        <v>5</v>
      </c>
      <c r="F345" s="65" t="s">
        <v>130</v>
      </c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4:16" ht="19.5" thickBot="1" x14ac:dyDescent="0.35">
      <c r="D346" s="20" t="s">
        <v>469</v>
      </c>
      <c r="E346" s="26" t="s">
        <v>16</v>
      </c>
      <c r="F346" s="65" t="s">
        <v>131</v>
      </c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4:16" ht="19.5" thickBot="1" x14ac:dyDescent="0.35">
      <c r="D347" s="64" t="s">
        <v>470</v>
      </c>
      <c r="E347" s="65" t="s">
        <v>11</v>
      </c>
      <c r="F347" s="65" t="s">
        <v>132</v>
      </c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4:16" ht="19.5" thickBot="1" x14ac:dyDescent="0.35">
      <c r="D348" s="64" t="s">
        <v>471</v>
      </c>
      <c r="E348" s="65" t="s">
        <v>31</v>
      </c>
      <c r="F348" s="65" t="s">
        <v>133</v>
      </c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4:16" ht="19.5" thickBot="1" x14ac:dyDescent="0.35">
      <c r="D349" s="64" t="s">
        <v>472</v>
      </c>
      <c r="E349" s="65" t="s">
        <v>16</v>
      </c>
      <c r="F349" s="65" t="s">
        <v>134</v>
      </c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4:16" ht="19.5" thickBot="1" x14ac:dyDescent="0.35">
      <c r="D350" s="64" t="s">
        <v>473</v>
      </c>
      <c r="E350" s="65" t="s">
        <v>7</v>
      </c>
      <c r="F350" s="65" t="s">
        <v>135</v>
      </c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4:16" ht="19.5" thickBot="1" x14ac:dyDescent="0.35">
      <c r="D351" s="20" t="s">
        <v>474</v>
      </c>
      <c r="E351" s="26" t="s">
        <v>5</v>
      </c>
      <c r="F351" s="65" t="s">
        <v>136</v>
      </c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4:16" ht="19.5" thickBot="1" x14ac:dyDescent="0.35">
      <c r="D352" s="20" t="s">
        <v>475</v>
      </c>
      <c r="E352" s="26" t="s">
        <v>26</v>
      </c>
      <c r="F352" s="65" t="s">
        <v>137</v>
      </c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4:16" ht="19.5" thickBot="1" x14ac:dyDescent="0.35">
      <c r="D353" s="64" t="s">
        <v>476</v>
      </c>
      <c r="E353" s="65" t="s">
        <v>477</v>
      </c>
      <c r="F353" s="65" t="s">
        <v>138</v>
      </c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4:16" ht="19.5" thickBot="1" x14ac:dyDescent="0.35">
      <c r="D354" s="20" t="s">
        <v>478</v>
      </c>
      <c r="E354" s="26" t="s">
        <v>18</v>
      </c>
      <c r="F354" s="65" t="s">
        <v>139</v>
      </c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4:16" ht="19.5" thickBot="1" x14ac:dyDescent="0.35">
      <c r="D355" s="20" t="s">
        <v>479</v>
      </c>
      <c r="E355" s="26" t="s">
        <v>480</v>
      </c>
      <c r="F355" s="65" t="s">
        <v>140</v>
      </c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4:16" ht="19.5" thickBot="1" x14ac:dyDescent="0.35">
      <c r="D356" s="66" t="s">
        <v>493</v>
      </c>
      <c r="E356" s="67" t="s">
        <v>494</v>
      </c>
      <c r="F356" s="65" t="s">
        <v>141</v>
      </c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4:16" ht="19.5" thickBot="1" x14ac:dyDescent="0.35">
      <c r="D357" s="64" t="s">
        <v>481</v>
      </c>
      <c r="E357" s="65" t="s">
        <v>463</v>
      </c>
      <c r="F357" s="65" t="s">
        <v>142</v>
      </c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4:16" ht="19.5" thickBot="1" x14ac:dyDescent="0.35">
      <c r="D358" s="20" t="s">
        <v>523</v>
      </c>
      <c r="E358" s="26" t="s">
        <v>524</v>
      </c>
      <c r="F358" s="65" t="s">
        <v>143</v>
      </c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4:16" ht="19.5" thickBot="1" x14ac:dyDescent="0.35">
      <c r="D359" s="20" t="s">
        <v>482</v>
      </c>
      <c r="E359" s="26" t="s">
        <v>477</v>
      </c>
      <c r="F359" s="65" t="s">
        <v>144</v>
      </c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4:16" ht="19.5" thickBot="1" x14ac:dyDescent="0.35">
      <c r="D360" s="20" t="s">
        <v>483</v>
      </c>
      <c r="E360" s="26" t="s">
        <v>26</v>
      </c>
      <c r="F360" s="65" t="s">
        <v>145</v>
      </c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4:16" ht="19.5" thickBot="1" x14ac:dyDescent="0.35">
      <c r="D361" s="64" t="s">
        <v>484</v>
      </c>
      <c r="E361" s="65" t="s">
        <v>5</v>
      </c>
      <c r="F361" s="65" t="s">
        <v>146</v>
      </c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4:16" ht="19.5" thickBot="1" x14ac:dyDescent="0.35">
      <c r="D362" s="64" t="s">
        <v>486</v>
      </c>
      <c r="E362" s="65" t="s">
        <v>31</v>
      </c>
      <c r="F362" s="65" t="s">
        <v>147</v>
      </c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4:16" ht="19.5" thickBot="1" x14ac:dyDescent="0.35">
      <c r="D363" s="64" t="s">
        <v>487</v>
      </c>
      <c r="E363" s="65" t="s">
        <v>7</v>
      </c>
      <c r="F363" s="65" t="s">
        <v>148</v>
      </c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4:16" ht="19.5" thickBot="1" x14ac:dyDescent="0.35">
      <c r="D364" s="20" t="s">
        <v>488</v>
      </c>
      <c r="E364" s="26" t="s">
        <v>31</v>
      </c>
      <c r="F364" s="65" t="s">
        <v>149</v>
      </c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4:16" ht="19.5" thickBot="1" x14ac:dyDescent="0.35">
      <c r="D365" s="64" t="s">
        <v>489</v>
      </c>
      <c r="E365" s="65" t="s">
        <v>490</v>
      </c>
      <c r="F365" s="65" t="s">
        <v>150</v>
      </c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4:16" ht="19.5" thickBot="1" x14ac:dyDescent="0.35">
      <c r="D366" s="64" t="s">
        <v>491</v>
      </c>
      <c r="E366" s="65" t="s">
        <v>492</v>
      </c>
      <c r="F366" s="65" t="s">
        <v>151</v>
      </c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4:16" ht="19.5" thickBot="1" x14ac:dyDescent="0.35">
      <c r="D367" s="64" t="s">
        <v>518</v>
      </c>
      <c r="E367" s="65"/>
      <c r="F367" s="65" t="s">
        <v>152</v>
      </c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4:16" ht="19.5" thickBot="1" x14ac:dyDescent="0.35">
      <c r="D368" s="20" t="s">
        <v>485</v>
      </c>
      <c r="E368" s="26"/>
      <c r="F368" s="65" t="s">
        <v>153</v>
      </c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4:16" ht="19.5" thickBot="1" x14ac:dyDescent="0.35">
      <c r="D369" s="64" t="s">
        <v>495</v>
      </c>
      <c r="E369" s="65" t="s">
        <v>463</v>
      </c>
      <c r="F369" s="65" t="s">
        <v>154</v>
      </c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4:16" ht="19.5" thickBot="1" x14ac:dyDescent="0.35">
      <c r="D370" s="64" t="s">
        <v>496</v>
      </c>
      <c r="E370" s="65" t="s">
        <v>11</v>
      </c>
      <c r="F370" s="65" t="s">
        <v>155</v>
      </c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4:16" ht="19.5" thickBot="1" x14ac:dyDescent="0.35">
      <c r="D371" s="20" t="s">
        <v>497</v>
      </c>
      <c r="E371" s="26" t="s">
        <v>11</v>
      </c>
      <c r="F371" s="65" t="s">
        <v>156</v>
      </c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4:16" ht="19.5" thickBot="1" x14ac:dyDescent="0.35">
      <c r="D372" s="20" t="s">
        <v>498</v>
      </c>
      <c r="E372" s="26" t="s">
        <v>477</v>
      </c>
      <c r="F372" s="65" t="s">
        <v>157</v>
      </c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4:16" ht="19.5" thickBot="1" x14ac:dyDescent="0.35">
      <c r="D373" s="66" t="s">
        <v>499</v>
      </c>
      <c r="E373" s="67" t="s">
        <v>455</v>
      </c>
      <c r="F373" s="65" t="s">
        <v>158</v>
      </c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4:16" ht="19.5" thickBot="1" x14ac:dyDescent="0.35">
      <c r="D374" s="20" t="s">
        <v>500</v>
      </c>
      <c r="E374" s="26" t="s">
        <v>16</v>
      </c>
      <c r="F374" s="65" t="s">
        <v>159</v>
      </c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4:16" ht="19.5" thickBot="1" x14ac:dyDescent="0.35">
      <c r="D375" s="64" t="s">
        <v>501</v>
      </c>
      <c r="E375" s="65" t="s">
        <v>455</v>
      </c>
      <c r="F375" s="65" t="s">
        <v>160</v>
      </c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4:16" ht="19.5" thickBot="1" x14ac:dyDescent="0.35">
      <c r="D376" s="20" t="s">
        <v>502</v>
      </c>
      <c r="E376" s="26" t="s">
        <v>18</v>
      </c>
      <c r="F376" s="65" t="s">
        <v>161</v>
      </c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4:16" ht="19.5" thickBot="1" x14ac:dyDescent="0.35">
      <c r="D377" s="64" t="s">
        <v>503</v>
      </c>
      <c r="E377" s="65" t="s">
        <v>5</v>
      </c>
      <c r="F377" s="65" t="s">
        <v>162</v>
      </c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4:16" ht="19.5" thickBot="1" x14ac:dyDescent="0.35">
      <c r="D378" s="20" t="s">
        <v>504</v>
      </c>
      <c r="E378" s="26" t="s">
        <v>477</v>
      </c>
      <c r="F378" s="65" t="s">
        <v>163</v>
      </c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4:16" ht="19.5" thickBot="1" x14ac:dyDescent="0.35">
      <c r="D379" s="20" t="s">
        <v>505</v>
      </c>
      <c r="E379" s="26" t="s">
        <v>463</v>
      </c>
      <c r="F379" s="65" t="s">
        <v>164</v>
      </c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4:16" ht="19.5" thickBot="1" x14ac:dyDescent="0.35">
      <c r="D380" s="68" t="s">
        <v>506</v>
      </c>
      <c r="E380" s="69" t="s">
        <v>492</v>
      </c>
      <c r="F380" s="65" t="s">
        <v>165</v>
      </c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4:16" ht="19.5" thickBot="1" x14ac:dyDescent="0.35">
      <c r="D381" s="20" t="s">
        <v>508</v>
      </c>
      <c r="E381" s="26" t="s">
        <v>5</v>
      </c>
      <c r="F381" s="65" t="s">
        <v>166</v>
      </c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4:16" ht="19.5" thickBot="1" x14ac:dyDescent="0.35">
      <c r="D382" s="20" t="s">
        <v>509</v>
      </c>
      <c r="E382" s="26" t="s">
        <v>18</v>
      </c>
      <c r="F382" s="65" t="s">
        <v>167</v>
      </c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4:16" ht="19.5" thickBot="1" x14ac:dyDescent="0.35">
      <c r="D383" s="64" t="s">
        <v>510</v>
      </c>
      <c r="E383" s="65" t="s">
        <v>11</v>
      </c>
      <c r="F383" s="65" t="s">
        <v>168</v>
      </c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4:16" ht="19.5" thickBot="1" x14ac:dyDescent="0.35">
      <c r="D384" s="20" t="s">
        <v>511</v>
      </c>
      <c r="E384" s="26" t="s">
        <v>512</v>
      </c>
      <c r="F384" s="65" t="s">
        <v>169</v>
      </c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4:16" ht="19.5" thickBot="1" x14ac:dyDescent="0.35">
      <c r="D385" s="64" t="s">
        <v>513</v>
      </c>
      <c r="E385" s="65" t="s">
        <v>455</v>
      </c>
      <c r="F385" s="65" t="s">
        <v>170</v>
      </c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4:16" ht="19.5" thickBot="1" x14ac:dyDescent="0.35">
      <c r="D386" s="64" t="s">
        <v>514</v>
      </c>
      <c r="E386" s="65" t="s">
        <v>515</v>
      </c>
      <c r="F386" s="65" t="s">
        <v>171</v>
      </c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4:16" ht="19.5" thickBot="1" x14ac:dyDescent="0.35">
      <c r="D387" s="64" t="s">
        <v>516</v>
      </c>
      <c r="E387" s="65" t="s">
        <v>5</v>
      </c>
      <c r="F387" s="65" t="s">
        <v>172</v>
      </c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4:16" ht="19.5" thickBot="1" x14ac:dyDescent="0.35">
      <c r="D388" s="64" t="s">
        <v>517</v>
      </c>
      <c r="E388" s="65" t="s">
        <v>492</v>
      </c>
      <c r="F388" s="65" t="s">
        <v>173</v>
      </c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4:16" ht="19.5" thickBot="1" x14ac:dyDescent="0.35">
      <c r="D389" s="20" t="s">
        <v>519</v>
      </c>
      <c r="E389" s="26" t="s">
        <v>31</v>
      </c>
      <c r="F389" s="65" t="s">
        <v>174</v>
      </c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4:16" ht="19.5" thickBot="1" x14ac:dyDescent="0.35">
      <c r="D390" s="64" t="s">
        <v>520</v>
      </c>
      <c r="E390" s="65" t="s">
        <v>16</v>
      </c>
      <c r="F390" s="65" t="s">
        <v>175</v>
      </c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4:16" ht="19.5" thickBot="1" x14ac:dyDescent="0.35">
      <c r="D391" s="64" t="s">
        <v>521</v>
      </c>
      <c r="E391" s="65" t="s">
        <v>31</v>
      </c>
      <c r="F391" s="65" t="s">
        <v>176</v>
      </c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4:16" ht="19.5" thickBot="1" x14ac:dyDescent="0.35">
      <c r="D392" s="64" t="s">
        <v>522</v>
      </c>
      <c r="E392" s="65" t="s">
        <v>492</v>
      </c>
      <c r="F392" s="65" t="s">
        <v>278</v>
      </c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4:16" ht="19.5" thickBot="1" x14ac:dyDescent="0.35">
      <c r="D393" s="64" t="s">
        <v>530</v>
      </c>
      <c r="E393" s="65" t="s">
        <v>455</v>
      </c>
      <c r="F393" s="65" t="s">
        <v>279</v>
      </c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4:16" ht="19.5" thickBot="1" x14ac:dyDescent="0.35">
      <c r="D394" s="66" t="s">
        <v>525</v>
      </c>
      <c r="E394" s="67" t="s">
        <v>492</v>
      </c>
      <c r="F394" s="65" t="s">
        <v>280</v>
      </c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4:16" ht="19.5" thickBot="1" x14ac:dyDescent="0.35">
      <c r="D395" s="66" t="s">
        <v>526</v>
      </c>
      <c r="E395" s="67" t="s">
        <v>492</v>
      </c>
      <c r="F395" s="65" t="s">
        <v>281</v>
      </c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4:16" ht="19.5" thickBot="1" x14ac:dyDescent="0.35">
      <c r="D396" s="64" t="s">
        <v>527</v>
      </c>
      <c r="E396" s="65" t="s">
        <v>477</v>
      </c>
      <c r="F396" s="65" t="s">
        <v>282</v>
      </c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4:16" ht="19.5" thickBot="1" x14ac:dyDescent="0.35">
      <c r="D397" s="64" t="s">
        <v>507</v>
      </c>
      <c r="E397" s="65"/>
      <c r="F397" s="65" t="s">
        <v>283</v>
      </c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4:16" ht="19.5" thickBot="1" x14ac:dyDescent="0.35">
      <c r="D398" s="64" t="s">
        <v>541</v>
      </c>
      <c r="E398" s="65"/>
      <c r="F398" s="65" t="s">
        <v>284</v>
      </c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4:16" ht="19.5" thickBot="1" x14ac:dyDescent="0.35">
      <c r="D399" s="20" t="s">
        <v>528</v>
      </c>
      <c r="E399" s="26" t="s">
        <v>512</v>
      </c>
      <c r="F399" s="65" t="s">
        <v>285</v>
      </c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4:16" ht="19.5" thickBot="1" x14ac:dyDescent="0.35">
      <c r="D400" s="64" t="s">
        <v>529</v>
      </c>
      <c r="E400" s="65" t="s">
        <v>16</v>
      </c>
      <c r="F400" s="65" t="s">
        <v>286</v>
      </c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4:16" ht="19.5" thickBot="1" x14ac:dyDescent="0.35">
      <c r="D401" s="64" t="s">
        <v>531</v>
      </c>
      <c r="E401" s="65" t="s">
        <v>492</v>
      </c>
      <c r="F401" s="65" t="s">
        <v>287</v>
      </c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4:16" ht="19.5" thickBot="1" x14ac:dyDescent="0.35">
      <c r="D402" s="20" t="s">
        <v>532</v>
      </c>
      <c r="E402" s="26" t="s">
        <v>26</v>
      </c>
      <c r="F402" s="65" t="s">
        <v>288</v>
      </c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4:16" ht="19.5" thickBot="1" x14ac:dyDescent="0.35">
      <c r="D403" s="64" t="s">
        <v>533</v>
      </c>
      <c r="E403" s="65" t="s">
        <v>492</v>
      </c>
      <c r="F403" s="65" t="s">
        <v>289</v>
      </c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4:16" ht="19.5" thickBot="1" x14ac:dyDescent="0.35">
      <c r="D404" s="64" t="s">
        <v>534</v>
      </c>
      <c r="E404" s="65" t="s">
        <v>463</v>
      </c>
      <c r="F404" s="65" t="s">
        <v>291</v>
      </c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4:16" ht="19.5" thickBot="1" x14ac:dyDescent="0.35">
      <c r="D405" s="20" t="s">
        <v>535</v>
      </c>
      <c r="E405" s="26" t="s">
        <v>492</v>
      </c>
      <c r="F405" s="65" t="s">
        <v>292</v>
      </c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4:16" ht="19.5" thickBot="1" x14ac:dyDescent="0.35">
      <c r="D406" s="64" t="s">
        <v>536</v>
      </c>
      <c r="E406" s="65" t="s">
        <v>515</v>
      </c>
      <c r="F406" s="65" t="s">
        <v>293</v>
      </c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4:16" ht="19.5" thickBot="1" x14ac:dyDescent="0.35">
      <c r="D407" s="66" t="s">
        <v>538</v>
      </c>
      <c r="E407" s="67" t="s">
        <v>467</v>
      </c>
      <c r="F407" s="65" t="s">
        <v>294</v>
      </c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4:16" ht="19.5" thickBot="1" x14ac:dyDescent="0.35">
      <c r="D408" s="20" t="s">
        <v>539</v>
      </c>
      <c r="E408" s="26" t="s">
        <v>18</v>
      </c>
      <c r="F408" s="65" t="s">
        <v>295</v>
      </c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4:16" ht="19.5" thickBot="1" x14ac:dyDescent="0.35">
      <c r="D409" s="64" t="s">
        <v>540</v>
      </c>
      <c r="E409" s="65" t="s">
        <v>11</v>
      </c>
      <c r="F409" s="65" t="s">
        <v>296</v>
      </c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4:16" ht="19.5" thickBot="1" x14ac:dyDescent="0.35">
      <c r="D410" s="20" t="s">
        <v>542</v>
      </c>
      <c r="E410" s="26" t="s">
        <v>26</v>
      </c>
      <c r="F410" s="65" t="s">
        <v>297</v>
      </c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4:16" ht="19.5" thickBot="1" x14ac:dyDescent="0.35">
      <c r="D411" s="64" t="s">
        <v>543</v>
      </c>
      <c r="E411" s="65" t="s">
        <v>7</v>
      </c>
      <c r="F411" s="65" t="s">
        <v>298</v>
      </c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4:16" ht="19.5" thickBot="1" x14ac:dyDescent="0.35">
      <c r="D412" s="20" t="s">
        <v>545</v>
      </c>
      <c r="E412" s="26" t="s">
        <v>512</v>
      </c>
      <c r="F412" s="65" t="s">
        <v>301</v>
      </c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4:16" ht="19.5" thickBot="1" x14ac:dyDescent="0.35">
      <c r="D413" s="64" t="s">
        <v>544</v>
      </c>
      <c r="E413" s="65" t="s">
        <v>492</v>
      </c>
      <c r="F413" s="65" t="s">
        <v>303</v>
      </c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4:16" ht="19.5" thickBot="1" x14ac:dyDescent="0.35">
      <c r="D414" s="64" t="s">
        <v>546</v>
      </c>
      <c r="E414" s="65" t="s">
        <v>515</v>
      </c>
      <c r="F414" s="65" t="s">
        <v>304</v>
      </c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4:16" ht="19.5" thickBot="1" x14ac:dyDescent="0.35">
      <c r="D415" s="20" t="s">
        <v>549</v>
      </c>
      <c r="E415" s="26" t="s">
        <v>477</v>
      </c>
      <c r="F415" s="65" t="s">
        <v>305</v>
      </c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4:16" ht="19.5" thickBot="1" x14ac:dyDescent="0.35">
      <c r="D416" s="66" t="s">
        <v>550</v>
      </c>
      <c r="E416" s="67" t="s">
        <v>492</v>
      </c>
      <c r="F416" s="65" t="s">
        <v>306</v>
      </c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4:16" ht="19.5" thickBot="1" x14ac:dyDescent="0.35">
      <c r="D417" s="20" t="s">
        <v>551</v>
      </c>
      <c r="E417" s="26" t="s">
        <v>11</v>
      </c>
      <c r="F417" s="65" t="s">
        <v>307</v>
      </c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4:16" ht="19.5" thickBot="1" x14ac:dyDescent="0.35">
      <c r="D418" s="20" t="s">
        <v>552</v>
      </c>
      <c r="E418" s="26" t="s">
        <v>26</v>
      </c>
      <c r="F418" s="65" t="s">
        <v>308</v>
      </c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4:16" ht="19.5" thickBot="1" x14ac:dyDescent="0.35">
      <c r="D419" s="20" t="s">
        <v>553</v>
      </c>
      <c r="E419" s="26" t="s">
        <v>11</v>
      </c>
      <c r="F419" s="65" t="s">
        <v>310</v>
      </c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4:16" ht="19.5" thickBot="1" x14ac:dyDescent="0.35">
      <c r="D420" s="64" t="s">
        <v>537</v>
      </c>
      <c r="E420" s="65"/>
      <c r="F420" s="65" t="s">
        <v>311</v>
      </c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4:16" ht="19.5" thickBot="1" x14ac:dyDescent="0.35">
      <c r="D421" s="64" t="s">
        <v>554</v>
      </c>
      <c r="E421" s="65" t="s">
        <v>477</v>
      </c>
      <c r="F421" s="65" t="s">
        <v>312</v>
      </c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4:16" ht="19.5" thickBot="1" x14ac:dyDescent="0.35">
      <c r="D422" s="64" t="s">
        <v>555</v>
      </c>
      <c r="E422" s="65" t="s">
        <v>5</v>
      </c>
      <c r="F422" s="65" t="s">
        <v>313</v>
      </c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4:16" ht="19.5" thickBot="1" x14ac:dyDescent="0.35">
      <c r="D423" s="20" t="s">
        <v>556</v>
      </c>
      <c r="E423" s="26" t="s">
        <v>18</v>
      </c>
      <c r="F423" s="65" t="s">
        <v>314</v>
      </c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4:16" ht="19.5" thickBot="1" x14ac:dyDescent="0.35">
      <c r="D424" s="64" t="s">
        <v>557</v>
      </c>
      <c r="E424" s="65" t="s">
        <v>515</v>
      </c>
      <c r="F424" s="65" t="s">
        <v>315</v>
      </c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4:16" ht="19.5" thickBot="1" x14ac:dyDescent="0.35">
      <c r="D425" s="64" t="s">
        <v>558</v>
      </c>
      <c r="E425" s="65"/>
      <c r="F425" s="65" t="s">
        <v>316</v>
      </c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4:16" ht="19.5" thickBot="1" x14ac:dyDescent="0.35">
      <c r="D426" s="20" t="s">
        <v>559</v>
      </c>
      <c r="E426" s="26" t="s">
        <v>11</v>
      </c>
      <c r="F426" s="65" t="s">
        <v>317</v>
      </c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4:16" ht="19.5" thickBot="1" x14ac:dyDescent="0.35">
      <c r="D427" s="64" t="s">
        <v>560</v>
      </c>
      <c r="E427" s="65" t="s">
        <v>492</v>
      </c>
      <c r="F427" s="65" t="s">
        <v>318</v>
      </c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4:16" ht="19.5" thickBot="1" x14ac:dyDescent="0.35">
      <c r="D428" s="64" t="s">
        <v>561</v>
      </c>
      <c r="E428" s="65" t="s">
        <v>515</v>
      </c>
      <c r="F428" s="65" t="s">
        <v>319</v>
      </c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4:16" ht="19.5" thickBot="1" x14ac:dyDescent="0.35">
      <c r="D429" s="20" t="s">
        <v>562</v>
      </c>
      <c r="E429" s="26" t="s">
        <v>26</v>
      </c>
      <c r="F429" s="65" t="s">
        <v>443</v>
      </c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4:16" ht="19.5" thickBot="1" x14ac:dyDescent="0.35">
      <c r="D430" s="64" t="s">
        <v>563</v>
      </c>
      <c r="E430" s="65" t="s">
        <v>477</v>
      </c>
      <c r="F430" s="65" t="s">
        <v>444</v>
      </c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4:16" ht="19.5" thickBot="1" x14ac:dyDescent="0.35">
      <c r="D431" s="20" t="s">
        <v>564</v>
      </c>
      <c r="E431" s="26" t="s">
        <v>5</v>
      </c>
      <c r="F431" s="65" t="s">
        <v>446</v>
      </c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4:16" ht="19.5" thickBot="1" x14ac:dyDescent="0.35">
      <c r="D432" s="64" t="s">
        <v>565</v>
      </c>
      <c r="E432" s="65" t="s">
        <v>5</v>
      </c>
      <c r="F432" s="65" t="s">
        <v>448</v>
      </c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4:16" ht="19.5" thickBot="1" x14ac:dyDescent="0.35">
      <c r="D433" s="64" t="s">
        <v>566</v>
      </c>
      <c r="E433" s="65" t="s">
        <v>5</v>
      </c>
      <c r="F433" s="65" t="s">
        <v>450</v>
      </c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4:16" ht="19.5" thickBot="1" x14ac:dyDescent="0.35">
      <c r="D434" s="64" t="s">
        <v>567</v>
      </c>
      <c r="E434" s="65" t="s">
        <v>480</v>
      </c>
      <c r="F434" s="65" t="s">
        <v>568</v>
      </c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4:16" ht="19.5" thickBot="1" x14ac:dyDescent="0.35">
      <c r="D435" s="64" t="s">
        <v>569</v>
      </c>
      <c r="E435" s="65" t="s">
        <v>455</v>
      </c>
      <c r="F435" s="65" t="s">
        <v>570</v>
      </c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4:16" ht="19.5" thickBot="1" x14ac:dyDescent="0.35">
      <c r="D436" s="20" t="s">
        <v>571</v>
      </c>
      <c r="E436" s="26" t="s">
        <v>16</v>
      </c>
      <c r="F436" s="65" t="s">
        <v>572</v>
      </c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4:16" ht="19.5" thickBot="1" x14ac:dyDescent="0.35">
      <c r="D437" s="20" t="s">
        <v>573</v>
      </c>
      <c r="E437" s="26" t="s">
        <v>26</v>
      </c>
      <c r="F437" s="65" t="s">
        <v>574</v>
      </c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4:16" ht="19.5" thickBot="1" x14ac:dyDescent="0.35">
      <c r="D438" s="20" t="s">
        <v>575</v>
      </c>
      <c r="E438" s="26" t="s">
        <v>576</v>
      </c>
      <c r="F438" s="65" t="s">
        <v>577</v>
      </c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4:16" ht="19.5" thickBot="1" x14ac:dyDescent="0.35">
      <c r="D439" s="64" t="s">
        <v>578</v>
      </c>
      <c r="E439" s="65" t="s">
        <v>492</v>
      </c>
      <c r="F439" s="65" t="s">
        <v>579</v>
      </c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4:16" ht="19.5" thickBot="1" x14ac:dyDescent="0.35">
      <c r="D440" s="64" t="s">
        <v>580</v>
      </c>
      <c r="E440" s="65" t="s">
        <v>31</v>
      </c>
      <c r="F440" s="65" t="s">
        <v>581</v>
      </c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4:16" ht="19.5" thickBot="1" x14ac:dyDescent="0.35">
      <c r="D441" s="64" t="s">
        <v>582</v>
      </c>
      <c r="E441" s="65"/>
      <c r="F441" s="65" t="s">
        <v>583</v>
      </c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4:16" ht="19.5" thickBot="1" x14ac:dyDescent="0.35">
      <c r="D442" s="64" t="s">
        <v>584</v>
      </c>
      <c r="E442" s="65" t="s">
        <v>492</v>
      </c>
      <c r="F442" s="65" t="s">
        <v>585</v>
      </c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4:16" ht="19.5" thickBot="1" x14ac:dyDescent="0.35">
      <c r="D443" s="20" t="s">
        <v>586</v>
      </c>
      <c r="E443" s="26" t="s">
        <v>587</v>
      </c>
      <c r="F443" s="65" t="s">
        <v>451</v>
      </c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4:16" ht="19.5" thickBot="1" x14ac:dyDescent="0.35">
      <c r="D444" s="64" t="s">
        <v>588</v>
      </c>
      <c r="E444" s="65" t="s">
        <v>31</v>
      </c>
      <c r="F444" s="65" t="s">
        <v>589</v>
      </c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4:16" ht="19.5" thickBot="1" x14ac:dyDescent="0.35">
      <c r="D445" s="64" t="s">
        <v>590</v>
      </c>
      <c r="E445" s="65" t="s">
        <v>463</v>
      </c>
      <c r="F445" s="65" t="s">
        <v>591</v>
      </c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4:16" ht="19.5" thickBot="1" x14ac:dyDescent="0.35">
      <c r="D446" s="64" t="s">
        <v>592</v>
      </c>
      <c r="E446" s="65" t="s">
        <v>5</v>
      </c>
      <c r="F446" s="65" t="s">
        <v>593</v>
      </c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4:16" ht="19.5" thickBot="1" x14ac:dyDescent="0.35">
      <c r="D447" s="64" t="s">
        <v>594</v>
      </c>
      <c r="E447" s="65" t="s">
        <v>467</v>
      </c>
      <c r="F447" s="65" t="s">
        <v>595</v>
      </c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4:16" ht="19.5" thickBot="1" x14ac:dyDescent="0.35">
      <c r="D448" s="64" t="s">
        <v>596</v>
      </c>
      <c r="E448" s="65" t="s">
        <v>492</v>
      </c>
      <c r="F448" s="65" t="s">
        <v>597</v>
      </c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4:16" ht="19.5" thickBot="1" x14ac:dyDescent="0.35">
      <c r="D449" s="64" t="s">
        <v>598</v>
      </c>
      <c r="E449" s="65" t="s">
        <v>11</v>
      </c>
      <c r="F449" s="65" t="s">
        <v>599</v>
      </c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4:16" ht="19.5" thickBot="1" x14ac:dyDescent="0.35">
      <c r="D450" s="64" t="s">
        <v>600</v>
      </c>
      <c r="E450" s="65" t="s">
        <v>480</v>
      </c>
      <c r="F450" s="65" t="s">
        <v>601</v>
      </c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4:16" ht="19.5" thickBot="1" x14ac:dyDescent="0.35">
      <c r="D451" s="64" t="s">
        <v>602</v>
      </c>
      <c r="E451" s="65"/>
      <c r="F451" s="65" t="s">
        <v>603</v>
      </c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4:16" ht="19.5" thickBot="1" x14ac:dyDescent="0.35">
      <c r="D452" s="64" t="s">
        <v>604</v>
      </c>
      <c r="E452" s="65" t="s">
        <v>5</v>
      </c>
      <c r="F452" s="65" t="s">
        <v>605</v>
      </c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4:16" ht="19.5" thickBot="1" x14ac:dyDescent="0.35">
      <c r="D453" s="64" t="s">
        <v>606</v>
      </c>
      <c r="E453" s="65"/>
      <c r="F453" s="65" t="s">
        <v>607</v>
      </c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4:16" ht="19.5" thickBot="1" x14ac:dyDescent="0.35">
      <c r="D454" s="64" t="s">
        <v>608</v>
      </c>
      <c r="E454" s="65" t="s">
        <v>515</v>
      </c>
      <c r="F454" s="65" t="s">
        <v>609</v>
      </c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4:16" ht="19.5" thickBot="1" x14ac:dyDescent="0.35">
      <c r="D455" s="64" t="s">
        <v>610</v>
      </c>
      <c r="E455" s="65" t="s">
        <v>16</v>
      </c>
      <c r="F455" s="65" t="s">
        <v>611</v>
      </c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4:16" ht="19.5" thickBot="1" x14ac:dyDescent="0.35">
      <c r="D456" s="64" t="s">
        <v>612</v>
      </c>
      <c r="E456" s="65" t="s">
        <v>480</v>
      </c>
      <c r="F456" s="65" t="s">
        <v>613</v>
      </c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4:16" ht="19.5" thickBot="1" x14ac:dyDescent="0.35">
      <c r="D457" s="20" t="s">
        <v>614</v>
      </c>
      <c r="E457" s="26" t="s">
        <v>492</v>
      </c>
      <c r="F457" s="65" t="s">
        <v>615</v>
      </c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4:16" ht="19.5" thickBot="1" x14ac:dyDescent="0.35">
      <c r="D458" s="64" t="s">
        <v>616</v>
      </c>
      <c r="E458" s="65"/>
      <c r="F458" s="65" t="s">
        <v>617</v>
      </c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4:16" ht="19.5" thickBot="1" x14ac:dyDescent="0.35">
      <c r="D459" s="20" t="s">
        <v>618</v>
      </c>
      <c r="E459" s="26" t="s">
        <v>18</v>
      </c>
      <c r="F459" s="65" t="s">
        <v>619</v>
      </c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4:16" ht="19.5" thickBot="1" x14ac:dyDescent="0.35">
      <c r="D460" s="64" t="s">
        <v>620</v>
      </c>
      <c r="E460" s="65" t="s">
        <v>492</v>
      </c>
      <c r="F460" s="65" t="s">
        <v>621</v>
      </c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4:16" ht="19.5" thickBot="1" x14ac:dyDescent="0.35">
      <c r="D461" s="64" t="s">
        <v>622</v>
      </c>
      <c r="E461" s="65" t="s">
        <v>455</v>
      </c>
      <c r="F461" s="65" t="s">
        <v>623</v>
      </c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4:16" ht="19.5" thickBot="1" x14ac:dyDescent="0.35">
      <c r="D462" s="20" t="s">
        <v>624</v>
      </c>
      <c r="E462" s="26" t="s">
        <v>18</v>
      </c>
      <c r="F462" s="65" t="s">
        <v>625</v>
      </c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4:16" ht="19.5" thickBot="1" x14ac:dyDescent="0.35">
      <c r="D463" s="64" t="s">
        <v>626</v>
      </c>
      <c r="E463" s="65" t="s">
        <v>5</v>
      </c>
      <c r="F463" s="65" t="s">
        <v>627</v>
      </c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4:16" ht="19.5" thickBot="1" x14ac:dyDescent="0.35">
      <c r="D464" s="64" t="s">
        <v>628</v>
      </c>
      <c r="E464" s="65" t="s">
        <v>492</v>
      </c>
      <c r="F464" s="65" t="s">
        <v>629</v>
      </c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4:16" ht="19.5" thickBot="1" x14ac:dyDescent="0.35">
      <c r="D465" s="20" t="s">
        <v>630</v>
      </c>
      <c r="E465" s="26"/>
      <c r="F465" s="65" t="s">
        <v>631</v>
      </c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4:16" ht="19.5" thickBot="1" x14ac:dyDescent="0.35">
      <c r="D466" s="64" t="s">
        <v>632</v>
      </c>
      <c r="E466" s="65" t="s">
        <v>16</v>
      </c>
      <c r="F466" s="65" t="s">
        <v>633</v>
      </c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4:16" ht="19.5" thickBot="1" x14ac:dyDescent="0.35">
      <c r="D467" s="64" t="s">
        <v>634</v>
      </c>
      <c r="E467" s="65" t="s">
        <v>480</v>
      </c>
      <c r="F467" s="65" t="s">
        <v>635</v>
      </c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4:16" ht="19.5" thickBot="1" x14ac:dyDescent="0.35">
      <c r="D468" s="64" t="s">
        <v>636</v>
      </c>
      <c r="E468" s="65" t="s">
        <v>490</v>
      </c>
      <c r="F468" s="65" t="s">
        <v>637</v>
      </c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4:16" ht="19.5" thickBot="1" x14ac:dyDescent="0.35">
      <c r="D469" s="64" t="s">
        <v>638</v>
      </c>
      <c r="E469" s="65"/>
      <c r="F469" s="65" t="s">
        <v>639</v>
      </c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4:16" ht="19.5" thickBot="1" x14ac:dyDescent="0.35">
      <c r="D470" s="64" t="s">
        <v>640</v>
      </c>
      <c r="E470" s="65" t="s">
        <v>477</v>
      </c>
      <c r="F470" s="65" t="s">
        <v>641</v>
      </c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4:16" ht="19.5" thickBot="1" x14ac:dyDescent="0.35">
      <c r="D471" s="20" t="s">
        <v>642</v>
      </c>
      <c r="E471" s="26" t="s">
        <v>7</v>
      </c>
      <c r="F471" s="65" t="s">
        <v>643</v>
      </c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4:16" ht="19.5" thickBot="1" x14ac:dyDescent="0.35">
      <c r="D472" s="20" t="s">
        <v>644</v>
      </c>
      <c r="E472" s="26" t="s">
        <v>26</v>
      </c>
      <c r="F472" s="65" t="s">
        <v>645</v>
      </c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4:16" ht="19.5" thickBot="1" x14ac:dyDescent="0.35">
      <c r="D473" s="64" t="s">
        <v>646</v>
      </c>
      <c r="E473" s="65" t="s">
        <v>16</v>
      </c>
      <c r="F473" s="65" t="s">
        <v>647</v>
      </c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4:16" ht="19.5" thickBot="1" x14ac:dyDescent="0.35">
      <c r="D474" s="66" t="s">
        <v>648</v>
      </c>
      <c r="E474" s="67" t="s">
        <v>515</v>
      </c>
      <c r="F474" s="65" t="s">
        <v>649</v>
      </c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4:16" ht="19.5" thickBot="1" x14ac:dyDescent="0.35">
      <c r="D475" s="64" t="s">
        <v>650</v>
      </c>
      <c r="E475" s="65" t="s">
        <v>11</v>
      </c>
      <c r="F475" s="65" t="s">
        <v>651</v>
      </c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4:16" ht="19.5" thickBot="1" x14ac:dyDescent="0.35">
      <c r="D476" s="64" t="s">
        <v>652</v>
      </c>
      <c r="E476" s="65" t="s">
        <v>5</v>
      </c>
      <c r="F476" s="65" t="s">
        <v>653</v>
      </c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4:16" ht="19.5" thickBot="1" x14ac:dyDescent="0.35">
      <c r="D477" s="20" t="s">
        <v>654</v>
      </c>
      <c r="E477" s="26" t="s">
        <v>655</v>
      </c>
      <c r="F477" s="65" t="s">
        <v>656</v>
      </c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4:16" ht="19.5" thickBot="1" x14ac:dyDescent="0.35">
      <c r="D478" s="20" t="s">
        <v>657</v>
      </c>
      <c r="E478" s="26" t="s">
        <v>18</v>
      </c>
      <c r="F478" s="65" t="s">
        <v>658</v>
      </c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4:16" ht="19.5" thickBot="1" x14ac:dyDescent="0.35">
      <c r="D479" s="64" t="s">
        <v>659</v>
      </c>
      <c r="E479" s="65" t="s">
        <v>31</v>
      </c>
      <c r="F479" s="65" t="s">
        <v>660</v>
      </c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4:16" ht="19.5" thickBot="1" x14ac:dyDescent="0.35">
      <c r="D480" s="64" t="s">
        <v>663</v>
      </c>
      <c r="E480" s="65" t="s">
        <v>31</v>
      </c>
      <c r="F480" s="65" t="s">
        <v>664</v>
      </c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4:16" ht="19.5" thickBot="1" x14ac:dyDescent="0.35">
      <c r="D481" s="20" t="s">
        <v>665</v>
      </c>
      <c r="E481" s="26" t="s">
        <v>26</v>
      </c>
      <c r="F481" s="65" t="s">
        <v>666</v>
      </c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4:16" ht="19.5" thickBot="1" x14ac:dyDescent="0.35">
      <c r="D482" s="66" t="s">
        <v>667</v>
      </c>
      <c r="E482" s="67" t="s">
        <v>477</v>
      </c>
      <c r="F482" s="65" t="s">
        <v>668</v>
      </c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4:16" ht="19.5" thickBot="1" x14ac:dyDescent="0.35">
      <c r="D483" s="63" t="s">
        <v>661</v>
      </c>
      <c r="E483" s="63" t="s">
        <v>7</v>
      </c>
      <c r="F483" s="61" t="s">
        <v>662</v>
      </c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4:16" ht="19.5" thickBot="1" x14ac:dyDescent="0.35">
      <c r="D484" s="64" t="s">
        <v>669</v>
      </c>
      <c r="E484" s="65" t="s">
        <v>455</v>
      </c>
      <c r="F484" s="65" t="s">
        <v>670</v>
      </c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4:16" ht="19.5" thickBot="1" x14ac:dyDescent="0.35">
      <c r="D485" s="64" t="s">
        <v>671</v>
      </c>
      <c r="E485" s="65" t="s">
        <v>11</v>
      </c>
      <c r="F485" s="65" t="s">
        <v>672</v>
      </c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4:16" ht="19.5" thickBot="1" x14ac:dyDescent="0.35">
      <c r="D486" s="64" t="s">
        <v>673</v>
      </c>
      <c r="E486" s="65" t="s">
        <v>5</v>
      </c>
      <c r="F486" s="65" t="s">
        <v>674</v>
      </c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4:16" ht="19.5" thickBot="1" x14ac:dyDescent="0.35">
      <c r="D487" s="64" t="s">
        <v>675</v>
      </c>
      <c r="E487" s="65" t="s">
        <v>480</v>
      </c>
      <c r="F487" s="65" t="s">
        <v>676</v>
      </c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4:16" ht="19.5" thickBot="1" x14ac:dyDescent="0.35">
      <c r="D488" s="64" t="s">
        <v>677</v>
      </c>
      <c r="E488" s="65" t="s">
        <v>31</v>
      </c>
      <c r="F488" s="65" t="s">
        <v>678</v>
      </c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4:16" ht="19.5" thickBot="1" x14ac:dyDescent="0.35">
      <c r="D489" s="64" t="s">
        <v>679</v>
      </c>
      <c r="E489" s="65" t="s">
        <v>7</v>
      </c>
      <c r="F489" s="65" t="s">
        <v>680</v>
      </c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4:16" ht="19.5" thickBot="1" x14ac:dyDescent="0.35">
      <c r="D490" s="64" t="s">
        <v>681</v>
      </c>
      <c r="E490" s="65" t="s">
        <v>515</v>
      </c>
      <c r="F490" s="65" t="s">
        <v>682</v>
      </c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4:16" ht="19.5" thickBot="1" x14ac:dyDescent="0.35">
      <c r="D491" s="20" t="s">
        <v>683</v>
      </c>
      <c r="E491" s="26" t="s">
        <v>11</v>
      </c>
      <c r="F491" s="65" t="s">
        <v>684</v>
      </c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4:16" ht="19.5" thickBot="1" x14ac:dyDescent="0.35">
      <c r="D492" s="64" t="s">
        <v>685</v>
      </c>
      <c r="E492" s="65" t="s">
        <v>16</v>
      </c>
      <c r="F492" s="65" t="s">
        <v>686</v>
      </c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4:16" ht="19.5" thickBot="1" x14ac:dyDescent="0.35">
      <c r="D493" s="64" t="s">
        <v>687</v>
      </c>
      <c r="E493" s="65" t="s">
        <v>31</v>
      </c>
      <c r="F493" s="65" t="s">
        <v>688</v>
      </c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4:16" ht="19.5" thickBot="1" x14ac:dyDescent="0.35">
      <c r="D494" s="64" t="s">
        <v>689</v>
      </c>
      <c r="E494" s="65"/>
      <c r="F494" s="65" t="s">
        <v>690</v>
      </c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4:16" ht="19.5" thickBot="1" x14ac:dyDescent="0.35">
      <c r="D495" s="20" t="s">
        <v>691</v>
      </c>
      <c r="E495" s="26"/>
      <c r="F495" s="65" t="s">
        <v>692</v>
      </c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4:16" ht="19.5" thickBot="1" x14ac:dyDescent="0.35">
      <c r="D496" s="64" t="s">
        <v>693</v>
      </c>
      <c r="E496" s="65" t="s">
        <v>31</v>
      </c>
      <c r="F496" s="65" t="s">
        <v>694</v>
      </c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4:16" ht="19.5" thickBot="1" x14ac:dyDescent="0.35">
      <c r="D497" s="64" t="s">
        <v>695</v>
      </c>
      <c r="E497" s="65" t="s">
        <v>480</v>
      </c>
      <c r="F497" s="65" t="s">
        <v>696</v>
      </c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4:16" ht="19.5" thickBot="1" x14ac:dyDescent="0.35">
      <c r="D498" s="66" t="s">
        <v>697</v>
      </c>
      <c r="E498" s="67" t="s">
        <v>515</v>
      </c>
      <c r="F498" s="65" t="s">
        <v>698</v>
      </c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4:16" ht="19.5" thickBot="1" x14ac:dyDescent="0.35">
      <c r="D499" s="20" t="s">
        <v>699</v>
      </c>
      <c r="E499" s="26" t="s">
        <v>492</v>
      </c>
      <c r="F499" s="65" t="s">
        <v>700</v>
      </c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4:16" ht="19.5" thickBot="1" x14ac:dyDescent="0.35">
      <c r="D500" s="64" t="s">
        <v>701</v>
      </c>
      <c r="E500" s="65" t="s">
        <v>11</v>
      </c>
      <c r="F500" s="65" t="s">
        <v>702</v>
      </c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4:16" ht="19.5" thickBot="1" x14ac:dyDescent="0.35">
      <c r="D501" s="20" t="s">
        <v>703</v>
      </c>
      <c r="E501" s="26" t="s">
        <v>26</v>
      </c>
      <c r="F501" s="65" t="s">
        <v>704</v>
      </c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4:16" ht="19.5" thickBot="1" x14ac:dyDescent="0.35">
      <c r="D502" s="20" t="s">
        <v>705</v>
      </c>
      <c r="E502" s="26" t="s">
        <v>7</v>
      </c>
      <c r="F502" s="65" t="s">
        <v>706</v>
      </c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4:16" ht="19.5" thickBot="1" x14ac:dyDescent="0.35">
      <c r="D503" s="20" t="s">
        <v>707</v>
      </c>
      <c r="E503" s="26" t="s">
        <v>7</v>
      </c>
      <c r="F503" s="65" t="s">
        <v>708</v>
      </c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4:16" ht="19.5" thickBot="1" x14ac:dyDescent="0.35">
      <c r="D504" s="20" t="s">
        <v>709</v>
      </c>
      <c r="E504" s="26" t="s">
        <v>26</v>
      </c>
      <c r="F504" s="65" t="s">
        <v>710</v>
      </c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4:16" ht="19.5" thickBot="1" x14ac:dyDescent="0.35">
      <c r="D505" s="20" t="s">
        <v>711</v>
      </c>
      <c r="E505" s="26" t="s">
        <v>31</v>
      </c>
      <c r="F505" s="65" t="s">
        <v>712</v>
      </c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4:16" ht="19.5" thickBot="1" x14ac:dyDescent="0.35">
      <c r="D506" s="20" t="s">
        <v>713</v>
      </c>
      <c r="E506" s="26" t="s">
        <v>31</v>
      </c>
      <c r="F506" s="65" t="s">
        <v>714</v>
      </c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4:16" ht="19.5" thickBot="1" x14ac:dyDescent="0.35">
      <c r="D507" s="64" t="s">
        <v>715</v>
      </c>
      <c r="E507" s="65" t="s">
        <v>490</v>
      </c>
      <c r="F507" s="65" t="s">
        <v>716</v>
      </c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4:16" ht="19.5" thickBot="1" x14ac:dyDescent="0.35">
      <c r="D508" s="64" t="s">
        <v>719</v>
      </c>
      <c r="E508" s="65" t="s">
        <v>16</v>
      </c>
      <c r="F508" s="65" t="s">
        <v>720</v>
      </c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4:16" ht="19.5" thickBot="1" x14ac:dyDescent="0.35">
      <c r="D509" s="64" t="s">
        <v>721</v>
      </c>
      <c r="E509" s="65" t="s">
        <v>480</v>
      </c>
      <c r="F509" s="65" t="s">
        <v>722</v>
      </c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4:16" ht="19.5" thickBot="1" x14ac:dyDescent="0.35">
      <c r="D510" s="64" t="s">
        <v>717</v>
      </c>
      <c r="E510" s="65" t="s">
        <v>11</v>
      </c>
      <c r="F510" s="65" t="s">
        <v>718</v>
      </c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4:16" ht="19.5" thickBot="1" x14ac:dyDescent="0.35">
      <c r="D511" s="20" t="s">
        <v>723</v>
      </c>
      <c r="E511" s="26" t="s">
        <v>31</v>
      </c>
      <c r="F511" s="65" t="s">
        <v>724</v>
      </c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4:16" ht="19.5" thickBot="1" x14ac:dyDescent="0.35">
      <c r="D512" s="64" t="s">
        <v>727</v>
      </c>
      <c r="E512" s="65" t="s">
        <v>492</v>
      </c>
      <c r="F512" s="65" t="s">
        <v>728</v>
      </c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4:16" ht="19.5" thickBot="1" x14ac:dyDescent="0.35">
      <c r="D513" s="70" t="s">
        <v>729</v>
      </c>
      <c r="E513" s="70" t="s">
        <v>31</v>
      </c>
      <c r="F513" s="65" t="s">
        <v>730</v>
      </c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4:16" ht="19.5" thickBot="1" x14ac:dyDescent="0.35">
      <c r="D514" s="63" t="s">
        <v>731</v>
      </c>
      <c r="E514" s="63" t="s">
        <v>515</v>
      </c>
      <c r="F514" s="65" t="s">
        <v>732</v>
      </c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4:16" ht="19.5" thickBot="1" x14ac:dyDescent="0.35">
      <c r="D515" s="70" t="s">
        <v>733</v>
      </c>
      <c r="E515" s="70" t="s">
        <v>26</v>
      </c>
      <c r="F515" s="65" t="s">
        <v>734</v>
      </c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4:16" ht="19.5" thickBot="1" x14ac:dyDescent="0.35">
      <c r="D516" s="63" t="s">
        <v>735</v>
      </c>
      <c r="E516" s="63" t="s">
        <v>515</v>
      </c>
      <c r="F516" s="65" t="s">
        <v>736</v>
      </c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4:16" ht="19.5" thickBot="1" x14ac:dyDescent="0.35">
      <c r="D517" s="63" t="s">
        <v>737</v>
      </c>
      <c r="E517" s="63" t="s">
        <v>515</v>
      </c>
      <c r="F517" s="65" t="s">
        <v>738</v>
      </c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4:16" ht="19.5" thickBot="1" x14ac:dyDescent="0.35">
      <c r="D518" s="63" t="s">
        <v>739</v>
      </c>
      <c r="E518" s="63" t="s">
        <v>515</v>
      </c>
      <c r="F518" s="65" t="s">
        <v>740</v>
      </c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4:16" ht="19.5" thickBot="1" x14ac:dyDescent="0.35">
      <c r="D519" s="70" t="s">
        <v>741</v>
      </c>
      <c r="E519" s="70" t="s">
        <v>742</v>
      </c>
      <c r="F519" s="65" t="s">
        <v>743</v>
      </c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4:16" ht="19.5" thickBot="1" x14ac:dyDescent="0.35">
      <c r="D520" s="70" t="s">
        <v>744</v>
      </c>
      <c r="E520" s="70"/>
      <c r="F520" s="65" t="s">
        <v>745</v>
      </c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4:16" ht="19.5" thickBot="1" x14ac:dyDescent="0.35">
      <c r="D521" s="70" t="s">
        <v>746</v>
      </c>
      <c r="E521" s="70" t="s">
        <v>587</v>
      </c>
      <c r="F521" s="65" t="s">
        <v>747</v>
      </c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4:16" ht="19.5" thickBot="1" x14ac:dyDescent="0.35">
      <c r="D522" s="63" t="s">
        <v>748</v>
      </c>
      <c r="E522" s="63" t="s">
        <v>11</v>
      </c>
      <c r="F522" s="65" t="s">
        <v>749</v>
      </c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4:16" ht="19.5" thickBot="1" x14ac:dyDescent="0.35">
      <c r="D523" s="63" t="s">
        <v>750</v>
      </c>
      <c r="E523" s="63" t="s">
        <v>492</v>
      </c>
      <c r="F523" s="65" t="s">
        <v>751</v>
      </c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4:16" ht="19.5" thickBot="1" x14ac:dyDescent="0.35">
      <c r="D524" s="63" t="s">
        <v>752</v>
      </c>
      <c r="E524" s="63"/>
      <c r="F524" s="65" t="s">
        <v>753</v>
      </c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4:16" ht="19.5" thickBot="1" x14ac:dyDescent="0.35">
      <c r="D525" s="70" t="s">
        <v>754</v>
      </c>
      <c r="E525" s="70" t="s">
        <v>26</v>
      </c>
      <c r="F525" s="65" t="s">
        <v>755</v>
      </c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4:16" ht="19.5" thickBot="1" x14ac:dyDescent="0.35">
      <c r="D526" s="70" t="s">
        <v>725</v>
      </c>
      <c r="E526" s="70"/>
      <c r="F526" s="65" t="s">
        <v>726</v>
      </c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4:16" ht="19.5" thickBot="1" x14ac:dyDescent="0.35">
      <c r="D527" s="63" t="s">
        <v>756</v>
      </c>
      <c r="E527" s="63" t="s">
        <v>455</v>
      </c>
      <c r="F527" s="65" t="s">
        <v>757</v>
      </c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4:16" ht="19.5" thickBot="1" x14ac:dyDescent="0.35">
      <c r="D528" s="70" t="s">
        <v>758</v>
      </c>
      <c r="E528" s="70" t="s">
        <v>16</v>
      </c>
      <c r="F528" s="65" t="s">
        <v>759</v>
      </c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4:16" ht="19.5" thickBot="1" x14ac:dyDescent="0.35">
      <c r="D529" s="63" t="s">
        <v>760</v>
      </c>
      <c r="E529" s="63" t="s">
        <v>515</v>
      </c>
      <c r="F529" s="65" t="s">
        <v>761</v>
      </c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4:16" ht="19.5" thickBot="1" x14ac:dyDescent="0.35">
      <c r="D530" s="63" t="s">
        <v>762</v>
      </c>
      <c r="E530" s="63"/>
      <c r="F530" s="65" t="s">
        <v>763</v>
      </c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4:16" ht="19.5" thickBot="1" x14ac:dyDescent="0.35">
      <c r="D531" s="63" t="s">
        <v>764</v>
      </c>
      <c r="E531" s="63" t="s">
        <v>7</v>
      </c>
      <c r="F531" s="65" t="s">
        <v>765</v>
      </c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4:16" ht="19.5" thickBot="1" x14ac:dyDescent="0.35">
      <c r="D532" s="70" t="s">
        <v>766</v>
      </c>
      <c r="E532" s="70" t="s">
        <v>455</v>
      </c>
      <c r="F532" s="65" t="s">
        <v>767</v>
      </c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4:16" ht="19.5" thickBot="1" x14ac:dyDescent="0.35">
      <c r="D533" s="63" t="s">
        <v>768</v>
      </c>
      <c r="E533" s="63" t="s">
        <v>455</v>
      </c>
      <c r="F533" s="65" t="s">
        <v>769</v>
      </c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4:16" ht="19.5" thickBot="1" x14ac:dyDescent="0.35">
      <c r="D534" s="70" t="s">
        <v>770</v>
      </c>
      <c r="E534" s="70" t="s">
        <v>11</v>
      </c>
      <c r="F534" s="65" t="s">
        <v>771</v>
      </c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4:16" ht="19.5" thickBot="1" x14ac:dyDescent="0.35">
      <c r="D535" s="63" t="s">
        <v>772</v>
      </c>
      <c r="E535" s="63" t="s">
        <v>480</v>
      </c>
      <c r="F535" s="65" t="s">
        <v>773</v>
      </c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4:16" ht="19.5" thickBot="1" x14ac:dyDescent="0.35">
      <c r="D536" s="63" t="s">
        <v>774</v>
      </c>
      <c r="E536" s="63" t="s">
        <v>5</v>
      </c>
      <c r="F536" s="65" t="s">
        <v>775</v>
      </c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4:16" ht="19.5" thickBot="1" x14ac:dyDescent="0.35">
      <c r="D537" s="63" t="s">
        <v>776</v>
      </c>
      <c r="E537" s="63" t="s">
        <v>490</v>
      </c>
      <c r="F537" s="65" t="s">
        <v>777</v>
      </c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4:16" ht="19.5" thickBot="1" x14ac:dyDescent="0.35">
      <c r="D538" s="63" t="s">
        <v>778</v>
      </c>
      <c r="E538" s="63" t="s">
        <v>467</v>
      </c>
      <c r="F538" s="65" t="s">
        <v>779</v>
      </c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4:16" ht="19.5" thickBot="1" x14ac:dyDescent="0.35">
      <c r="D539" s="63" t="s">
        <v>780</v>
      </c>
      <c r="E539" s="63" t="s">
        <v>7</v>
      </c>
      <c r="F539" s="65" t="s">
        <v>781</v>
      </c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4:16" ht="19.5" thickBot="1" x14ac:dyDescent="0.35">
      <c r="D540" s="70" t="s">
        <v>782</v>
      </c>
      <c r="E540" s="70" t="s">
        <v>477</v>
      </c>
      <c r="F540" s="65" t="s">
        <v>783</v>
      </c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4:16" ht="19.5" thickBot="1" x14ac:dyDescent="0.35">
      <c r="D541" s="70" t="s">
        <v>784</v>
      </c>
      <c r="E541" s="70" t="s">
        <v>16</v>
      </c>
      <c r="F541" s="65" t="s">
        <v>785</v>
      </c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4:16" ht="19.5" thickBot="1" x14ac:dyDescent="0.35">
      <c r="D542" s="70" t="s">
        <v>786</v>
      </c>
      <c r="E542" s="70" t="s">
        <v>31</v>
      </c>
      <c r="F542" s="65" t="s">
        <v>787</v>
      </c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4:16" ht="19.5" thickBot="1" x14ac:dyDescent="0.35">
      <c r="D543" s="63" t="s">
        <v>788</v>
      </c>
      <c r="E543" s="63" t="s">
        <v>7</v>
      </c>
      <c r="F543" s="65" t="s">
        <v>789</v>
      </c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4:16" ht="19.5" thickBot="1" x14ac:dyDescent="0.35">
      <c r="D544" s="63" t="s">
        <v>790</v>
      </c>
      <c r="E544" s="63" t="s">
        <v>5</v>
      </c>
      <c r="F544" s="65" t="s">
        <v>791</v>
      </c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4:16" ht="19.5" thickBot="1" x14ac:dyDescent="0.35">
      <c r="D545" s="63" t="s">
        <v>792</v>
      </c>
      <c r="E545" s="63" t="s">
        <v>31</v>
      </c>
      <c r="F545" s="65" t="s">
        <v>793</v>
      </c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4:16" ht="19.5" thickBot="1" x14ac:dyDescent="0.35">
      <c r="D546" s="63" t="s">
        <v>794</v>
      </c>
      <c r="E546" s="63" t="s">
        <v>492</v>
      </c>
      <c r="F546" s="65" t="s">
        <v>795</v>
      </c>
      <c r="G546" s="1"/>
      <c r="H546" s="1"/>
      <c r="I546" s="1"/>
      <c r="J546" s="1"/>
      <c r="K546" s="1"/>
      <c r="L546" s="1"/>
      <c r="M546" s="1"/>
      <c r="N546" s="1"/>
      <c r="O546" s="1"/>
      <c r="P546" s="1"/>
    </row>
    <row r="547" spans="4:16" ht="19.5" thickBot="1" x14ac:dyDescent="0.35">
      <c r="D547" s="63" t="s">
        <v>796</v>
      </c>
      <c r="E547" s="63" t="s">
        <v>480</v>
      </c>
      <c r="F547" s="65" t="s">
        <v>797</v>
      </c>
      <c r="G547" s="1"/>
      <c r="H547" s="1"/>
      <c r="I547" s="1"/>
      <c r="J547" s="1"/>
      <c r="K547" s="1"/>
      <c r="L547" s="1"/>
      <c r="M547" s="1"/>
      <c r="N547" s="1"/>
      <c r="O547" s="1"/>
      <c r="P547" s="1"/>
    </row>
    <row r="548" spans="4:16" ht="19.5" thickBot="1" x14ac:dyDescent="0.35">
      <c r="D548" s="63" t="s">
        <v>798</v>
      </c>
      <c r="E548" s="63" t="s">
        <v>480</v>
      </c>
      <c r="F548" s="65" t="s">
        <v>799</v>
      </c>
      <c r="G548" s="1"/>
      <c r="H548" s="1"/>
      <c r="I548" s="1"/>
      <c r="J548" s="1"/>
      <c r="K548" s="1"/>
      <c r="L548" s="1"/>
      <c r="M548" s="1"/>
      <c r="N548" s="1"/>
      <c r="O548" s="1"/>
      <c r="P548" s="1"/>
    </row>
    <row r="549" spans="4:16" ht="19.5" thickBot="1" x14ac:dyDescent="0.35">
      <c r="D549" s="70" t="s">
        <v>800</v>
      </c>
      <c r="E549" s="70" t="s">
        <v>801</v>
      </c>
      <c r="F549" s="65" t="s">
        <v>802</v>
      </c>
      <c r="G549" s="1"/>
      <c r="H549" s="1"/>
      <c r="I549" s="1"/>
      <c r="J549" s="1"/>
      <c r="K549" s="1"/>
      <c r="L549" s="1"/>
      <c r="M549" s="1"/>
      <c r="N549" s="1"/>
      <c r="O549" s="1"/>
      <c r="P549" s="1"/>
    </row>
    <row r="550" spans="4:16" ht="19.5" thickBot="1" x14ac:dyDescent="0.35">
      <c r="D550" s="70" t="s">
        <v>803</v>
      </c>
      <c r="E550" s="70" t="s">
        <v>587</v>
      </c>
      <c r="F550" s="65" t="s">
        <v>804</v>
      </c>
      <c r="G550" s="1"/>
      <c r="H550" s="1"/>
      <c r="I550" s="1"/>
      <c r="J550" s="1"/>
      <c r="K550" s="1"/>
      <c r="L550" s="1"/>
      <c r="M550" s="1"/>
      <c r="N550" s="1"/>
      <c r="O550" s="1"/>
      <c r="P550" s="1"/>
    </row>
    <row r="551" spans="4:16" ht="19.5" thickBot="1" x14ac:dyDescent="0.35">
      <c r="D551" s="70" t="s">
        <v>807</v>
      </c>
      <c r="E551" s="70" t="s">
        <v>5</v>
      </c>
      <c r="F551" s="65" t="s">
        <v>808</v>
      </c>
      <c r="G551" s="1"/>
      <c r="H551" s="1"/>
      <c r="I551" s="1"/>
      <c r="J551" s="1"/>
      <c r="K551" s="1"/>
      <c r="L551" s="1"/>
      <c r="M551" s="1"/>
      <c r="N551" s="1"/>
      <c r="O551" s="1"/>
      <c r="P551" s="1"/>
    </row>
    <row r="552" spans="4:16" ht="19.5" thickBot="1" x14ac:dyDescent="0.35">
      <c r="D552" s="63" t="s">
        <v>805</v>
      </c>
      <c r="E552" s="63"/>
      <c r="F552" s="65" t="s">
        <v>806</v>
      </c>
      <c r="G552" s="1"/>
      <c r="H552" s="1"/>
      <c r="I552" s="1"/>
      <c r="J552" s="1"/>
      <c r="K552" s="1"/>
      <c r="L552" s="1"/>
      <c r="M552" s="1"/>
      <c r="N552" s="1"/>
      <c r="O552" s="1"/>
      <c r="P552" s="1"/>
    </row>
    <row r="553" spans="4:16" ht="19.5" thickBot="1" x14ac:dyDescent="0.35">
      <c r="D553" s="71" t="s">
        <v>809</v>
      </c>
      <c r="E553" s="72" t="s">
        <v>26</v>
      </c>
      <c r="F553" s="65" t="s">
        <v>810</v>
      </c>
      <c r="G553" s="1"/>
      <c r="H553" s="1"/>
      <c r="I553" s="1"/>
      <c r="J553" s="1"/>
      <c r="K553" s="1"/>
      <c r="L553" s="1"/>
      <c r="M553" s="1"/>
      <c r="N553" s="1"/>
      <c r="O553" s="1"/>
      <c r="P553" s="1"/>
    </row>
    <row r="554" spans="4:16" ht="19.5" thickBot="1" x14ac:dyDescent="0.35">
      <c r="D554" s="63" t="s">
        <v>811</v>
      </c>
      <c r="E554" s="63" t="s">
        <v>5</v>
      </c>
      <c r="F554" s="65" t="s">
        <v>812</v>
      </c>
      <c r="G554" s="1"/>
      <c r="H554" s="1"/>
      <c r="I554" s="1"/>
      <c r="J554" s="1"/>
      <c r="K554" s="1"/>
      <c r="L554" s="1"/>
      <c r="M554" s="1"/>
      <c r="N554" s="1"/>
      <c r="O554" s="1"/>
      <c r="P554" s="1"/>
    </row>
    <row r="555" spans="4:16" ht="19.5" thickBot="1" x14ac:dyDescent="0.35">
      <c r="D555" s="63" t="s">
        <v>813</v>
      </c>
      <c r="E555" s="63" t="s">
        <v>587</v>
      </c>
      <c r="F555" s="65" t="s">
        <v>814</v>
      </c>
      <c r="G555" s="1"/>
      <c r="H555" s="1"/>
      <c r="I555" s="1"/>
      <c r="J555" s="1"/>
      <c r="K555" s="1"/>
      <c r="L555" s="1"/>
      <c r="M555" s="1"/>
      <c r="N555" s="1"/>
      <c r="O555" s="1"/>
      <c r="P555" s="1"/>
    </row>
    <row r="556" spans="4:16" ht="19.5" thickBot="1" x14ac:dyDescent="0.35">
      <c r="D556" s="63" t="s">
        <v>815</v>
      </c>
      <c r="E556" s="63" t="s">
        <v>5</v>
      </c>
      <c r="F556" s="65" t="s">
        <v>816</v>
      </c>
      <c r="G556" s="1"/>
      <c r="H556" s="1"/>
      <c r="I556" s="1"/>
      <c r="J556" s="1"/>
      <c r="K556" s="1"/>
      <c r="L556" s="1"/>
      <c r="M556" s="1"/>
      <c r="N556" s="1"/>
      <c r="O556" s="1"/>
      <c r="P556" s="1"/>
    </row>
    <row r="557" spans="4:16" ht="19.5" thickBot="1" x14ac:dyDescent="0.35">
      <c r="D557" s="63" t="s">
        <v>817</v>
      </c>
      <c r="E557" s="63" t="s">
        <v>5</v>
      </c>
      <c r="F557" s="65" t="s">
        <v>818</v>
      </c>
      <c r="G557" s="1"/>
      <c r="H557" s="1"/>
      <c r="I557" s="1"/>
      <c r="J557" s="1"/>
      <c r="K557" s="1"/>
      <c r="L557" s="1"/>
      <c r="M557" s="1"/>
      <c r="N557" s="1"/>
      <c r="O557" s="1"/>
      <c r="P557" s="1"/>
    </row>
    <row r="558" spans="4:16" ht="19.5" thickBot="1" x14ac:dyDescent="0.35">
      <c r="D558" s="70" t="s">
        <v>819</v>
      </c>
      <c r="E558" s="70"/>
      <c r="F558" s="65" t="s">
        <v>820</v>
      </c>
      <c r="G558" s="1"/>
      <c r="H558" s="1"/>
      <c r="I558" s="1"/>
      <c r="J558" s="1"/>
      <c r="K558" s="1"/>
      <c r="L558" s="1"/>
      <c r="M558" s="1"/>
      <c r="N558" s="1"/>
      <c r="O558" s="1"/>
      <c r="P558" s="1"/>
    </row>
    <row r="559" spans="4:16" ht="19.5" thickBot="1" x14ac:dyDescent="0.35">
      <c r="D559" s="63" t="s">
        <v>821</v>
      </c>
      <c r="E559" s="63" t="s">
        <v>515</v>
      </c>
      <c r="F559" s="65" t="s">
        <v>822</v>
      </c>
      <c r="G559" s="1"/>
      <c r="H559" s="1"/>
      <c r="I559" s="1"/>
      <c r="J559" s="1"/>
      <c r="K559" s="1"/>
      <c r="L559" s="1"/>
      <c r="M559" s="1"/>
      <c r="N559" s="1"/>
      <c r="O559" s="1"/>
      <c r="P559" s="1"/>
    </row>
    <row r="560" spans="4:16" ht="19.5" thickBot="1" x14ac:dyDescent="0.35">
      <c r="D560" s="63" t="s">
        <v>823</v>
      </c>
      <c r="E560" s="63" t="s">
        <v>11</v>
      </c>
      <c r="F560" s="65" t="s">
        <v>824</v>
      </c>
      <c r="G560" s="1"/>
      <c r="H560" s="1"/>
      <c r="I560" s="1"/>
      <c r="J560" s="1"/>
      <c r="K560" s="1"/>
      <c r="L560" s="1"/>
      <c r="M560" s="1"/>
      <c r="N560" s="1"/>
      <c r="O560" s="1"/>
      <c r="P560" s="1"/>
    </row>
    <row r="561" spans="4:16" ht="19.5" thickBot="1" x14ac:dyDescent="0.35">
      <c r="D561" s="63" t="s">
        <v>825</v>
      </c>
      <c r="E561" s="63"/>
      <c r="F561" s="67" t="s">
        <v>826</v>
      </c>
      <c r="G561" s="1"/>
      <c r="H561" s="1"/>
      <c r="I561" s="1"/>
      <c r="J561" s="1"/>
      <c r="K561" s="1"/>
      <c r="L561" s="1"/>
      <c r="M561" s="1"/>
      <c r="N561" s="1"/>
      <c r="O561" s="1"/>
      <c r="P561" s="1"/>
    </row>
    <row r="562" spans="4:16" ht="19.5" thickBot="1" x14ac:dyDescent="0.35">
      <c r="D562" s="70" t="s">
        <v>827</v>
      </c>
      <c r="E562" s="70" t="s">
        <v>18</v>
      </c>
      <c r="F562" s="65" t="s">
        <v>828</v>
      </c>
      <c r="G562" s="1"/>
      <c r="H562" s="1"/>
      <c r="I562" s="1"/>
      <c r="J562" s="1"/>
      <c r="K562" s="1"/>
      <c r="L562" s="1"/>
      <c r="M562" s="1"/>
      <c r="N562" s="1"/>
      <c r="O562" s="1"/>
      <c r="P562" s="1"/>
    </row>
    <row r="563" spans="4:16" ht="19.5" thickBot="1" x14ac:dyDescent="0.35">
      <c r="D563" s="63" t="s">
        <v>829</v>
      </c>
      <c r="E563" s="63"/>
      <c r="F563" s="67" t="s">
        <v>830</v>
      </c>
      <c r="G563" s="1"/>
      <c r="H563" s="1"/>
      <c r="I563" s="1"/>
      <c r="J563" s="1"/>
      <c r="K563" s="1"/>
      <c r="L563" s="1"/>
      <c r="M563" s="1"/>
      <c r="N563" s="1"/>
      <c r="O563" s="1"/>
      <c r="P563" s="1"/>
    </row>
    <row r="564" spans="4:16" ht="19.5" thickBot="1" x14ac:dyDescent="0.35">
      <c r="D564" s="63" t="s">
        <v>831</v>
      </c>
      <c r="E564" s="63" t="s">
        <v>477</v>
      </c>
      <c r="F564" s="65" t="s">
        <v>832</v>
      </c>
      <c r="G564" s="1"/>
      <c r="H564" s="1"/>
      <c r="I564" s="1"/>
      <c r="J564" s="1"/>
      <c r="K564" s="1"/>
      <c r="L564" s="1"/>
      <c r="M564" s="1"/>
      <c r="N564" s="1"/>
      <c r="O564" s="1"/>
      <c r="P564" s="1"/>
    </row>
    <row r="565" spans="4:16" ht="19.5" thickBot="1" x14ac:dyDescent="0.35">
      <c r="D565" s="70" t="s">
        <v>833</v>
      </c>
      <c r="E565" s="70" t="s">
        <v>16</v>
      </c>
      <c r="F565" s="65" t="s">
        <v>834</v>
      </c>
      <c r="G565" s="1"/>
      <c r="H565" s="1"/>
      <c r="I565" s="1"/>
      <c r="J565" s="1"/>
      <c r="K565" s="1"/>
      <c r="L565" s="1"/>
      <c r="M565" s="1"/>
      <c r="N565" s="1"/>
      <c r="O565" s="1"/>
      <c r="P565" s="1"/>
    </row>
    <row r="566" spans="4:16" ht="19.5" thickBot="1" x14ac:dyDescent="0.35">
      <c r="D566" s="70" t="s">
        <v>835</v>
      </c>
      <c r="E566" s="70" t="s">
        <v>26</v>
      </c>
      <c r="F566" s="65" t="s">
        <v>836</v>
      </c>
      <c r="G566" s="1"/>
      <c r="H566" s="1"/>
      <c r="I566" s="1"/>
      <c r="J566" s="1"/>
      <c r="K566" s="1"/>
      <c r="L566" s="1"/>
      <c r="M566" s="1"/>
      <c r="N566" s="1"/>
      <c r="O566" s="1"/>
      <c r="P566" s="1"/>
    </row>
    <row r="567" spans="4:16" ht="19.5" thickBot="1" x14ac:dyDescent="0.35">
      <c r="D567" s="73" t="s">
        <v>837</v>
      </c>
      <c r="E567" s="74" t="s">
        <v>455</v>
      </c>
      <c r="F567" s="65" t="s">
        <v>838</v>
      </c>
      <c r="G567" s="1"/>
      <c r="H567" s="1"/>
      <c r="I567" s="1"/>
      <c r="J567" s="1"/>
      <c r="K567" s="1"/>
      <c r="L567" s="1"/>
      <c r="M567" s="1"/>
      <c r="N567" s="1"/>
      <c r="O567" s="1"/>
      <c r="P567" s="1"/>
    </row>
    <row r="568" spans="4:16" ht="19.5" thickBot="1" x14ac:dyDescent="0.35">
      <c r="D568" s="63" t="s">
        <v>839</v>
      </c>
      <c r="E568" s="63" t="s">
        <v>515</v>
      </c>
      <c r="F568" s="65" t="s">
        <v>840</v>
      </c>
      <c r="G568" s="1"/>
      <c r="H568" s="1"/>
      <c r="I568" s="1"/>
      <c r="J568" s="1"/>
      <c r="K568" s="1"/>
      <c r="L568" s="1"/>
      <c r="M568" s="1"/>
      <c r="N568" s="1"/>
      <c r="O568" s="1"/>
      <c r="P568" s="1"/>
    </row>
    <row r="569" spans="4:16" ht="19.5" thickBot="1" x14ac:dyDescent="0.35">
      <c r="D569" s="70" t="s">
        <v>841</v>
      </c>
      <c r="E569" s="70" t="s">
        <v>5</v>
      </c>
      <c r="F569" s="65" t="s">
        <v>842</v>
      </c>
      <c r="G569" s="1"/>
      <c r="H569" s="1"/>
      <c r="I569" s="1"/>
      <c r="J569" s="1"/>
      <c r="K569" s="1"/>
      <c r="L569" s="1"/>
      <c r="M569" s="1"/>
      <c r="N569" s="1"/>
      <c r="O569" s="1"/>
      <c r="P569" s="1"/>
    </row>
    <row r="570" spans="4:16" ht="19.5" thickBot="1" x14ac:dyDescent="0.35">
      <c r="D570" s="63" t="s">
        <v>843</v>
      </c>
      <c r="E570" s="63" t="s">
        <v>480</v>
      </c>
      <c r="F570" s="65" t="s">
        <v>844</v>
      </c>
      <c r="G570" s="1"/>
      <c r="H570" s="1"/>
      <c r="I570" s="1"/>
      <c r="J570" s="1"/>
      <c r="K570" s="1"/>
      <c r="L570" s="1"/>
      <c r="M570" s="1"/>
      <c r="N570" s="1"/>
      <c r="O570" s="1"/>
      <c r="P570" s="1"/>
    </row>
    <row r="571" spans="4:16" ht="19.5" thickBot="1" x14ac:dyDescent="0.35">
      <c r="D571" s="63" t="s">
        <v>845</v>
      </c>
      <c r="E571" s="63" t="s">
        <v>455</v>
      </c>
      <c r="F571" s="65" t="s">
        <v>846</v>
      </c>
      <c r="G571" s="1"/>
      <c r="H571" s="1"/>
      <c r="I571" s="1"/>
      <c r="J571" s="1"/>
      <c r="K571" s="1"/>
      <c r="L571" s="1"/>
      <c r="M571" s="1"/>
      <c r="N571" s="1"/>
      <c r="O571" s="1"/>
      <c r="P571" s="1"/>
    </row>
    <row r="572" spans="4:16" ht="19.5" thickBot="1" x14ac:dyDescent="0.35">
      <c r="D572" s="63" t="s">
        <v>847</v>
      </c>
      <c r="E572" s="63"/>
      <c r="F572" s="67" t="s">
        <v>848</v>
      </c>
      <c r="G572" s="1"/>
      <c r="H572" s="1"/>
      <c r="I572" s="1"/>
      <c r="J572" s="1"/>
      <c r="K572" s="1"/>
      <c r="L572" s="1"/>
      <c r="M572" s="1"/>
      <c r="N572" s="1"/>
      <c r="O572" s="1"/>
      <c r="P572" s="1"/>
    </row>
    <row r="573" spans="4:16" ht="19.5" thickBot="1" x14ac:dyDescent="0.35">
      <c r="D573" s="63" t="s">
        <v>849</v>
      </c>
      <c r="E573" s="63" t="s">
        <v>5</v>
      </c>
      <c r="F573" s="65" t="s">
        <v>850</v>
      </c>
      <c r="G573" s="1"/>
      <c r="H573" s="1"/>
      <c r="I573" s="1"/>
      <c r="J573" s="1"/>
      <c r="K573" s="1"/>
      <c r="L573" s="1"/>
      <c r="M573" s="1"/>
      <c r="N573" s="1"/>
      <c r="O573" s="1"/>
      <c r="P573" s="1"/>
    </row>
    <row r="574" spans="4:16" ht="19.5" thickBot="1" x14ac:dyDescent="0.35">
      <c r="D574" s="70" t="s">
        <v>851</v>
      </c>
      <c r="E574" s="70" t="s">
        <v>26</v>
      </c>
      <c r="F574" s="65" t="s">
        <v>852</v>
      </c>
      <c r="G574" s="1"/>
      <c r="H574" s="1"/>
      <c r="I574" s="1"/>
      <c r="J574" s="1"/>
      <c r="K574" s="1"/>
      <c r="L574" s="1"/>
      <c r="M574" s="1"/>
      <c r="N574" s="1"/>
      <c r="O574" s="1"/>
      <c r="P574" s="1"/>
    </row>
    <row r="575" spans="4:16" ht="19.5" thickBot="1" x14ac:dyDescent="0.35">
      <c r="D575" s="63" t="s">
        <v>853</v>
      </c>
      <c r="E575" s="63" t="s">
        <v>480</v>
      </c>
      <c r="F575" s="65" t="s">
        <v>854</v>
      </c>
      <c r="G575" s="1"/>
      <c r="H575" s="1"/>
      <c r="I575" s="1"/>
      <c r="J575" s="1"/>
      <c r="K575" s="1"/>
      <c r="L575" s="1"/>
      <c r="M575" s="1"/>
      <c r="N575" s="1"/>
      <c r="O575" s="1"/>
      <c r="P575" s="1"/>
    </row>
    <row r="576" spans="4:16" ht="19.5" thickBot="1" x14ac:dyDescent="0.35">
      <c r="D576" s="63" t="s">
        <v>855</v>
      </c>
      <c r="E576" s="63" t="s">
        <v>480</v>
      </c>
      <c r="F576" s="65" t="s">
        <v>856</v>
      </c>
      <c r="G576" s="1"/>
      <c r="H576" s="1"/>
      <c r="I576" s="1"/>
      <c r="J576" s="1"/>
      <c r="K576" s="1"/>
      <c r="L576" s="1"/>
      <c r="M576" s="1"/>
      <c r="N576" s="1"/>
      <c r="O576" s="1"/>
      <c r="P576" s="1"/>
    </row>
    <row r="577" spans="4:16" ht="19.5" thickBot="1" x14ac:dyDescent="0.35">
      <c r="D577" s="70" t="s">
        <v>857</v>
      </c>
      <c r="E577" s="70" t="s">
        <v>26</v>
      </c>
      <c r="F577" s="65" t="s">
        <v>858</v>
      </c>
      <c r="G577" s="1"/>
      <c r="H577" s="1"/>
      <c r="I577" s="1"/>
      <c r="J577" s="1"/>
      <c r="K577" s="1"/>
      <c r="L577" s="1"/>
      <c r="M577" s="1"/>
      <c r="N577" s="1"/>
      <c r="O577" s="1"/>
      <c r="P577" s="1"/>
    </row>
    <row r="578" spans="4:16" ht="19.5" thickBot="1" x14ac:dyDescent="0.35">
      <c r="D578" s="73" t="s">
        <v>859</v>
      </c>
      <c r="E578" s="74" t="s">
        <v>463</v>
      </c>
      <c r="F578" s="65" t="s">
        <v>860</v>
      </c>
      <c r="G578" s="1"/>
      <c r="H578" s="1"/>
      <c r="I578" s="1"/>
      <c r="J578" s="1"/>
      <c r="K578" s="1"/>
      <c r="L578" s="1"/>
      <c r="M578" s="1"/>
      <c r="N578" s="1"/>
      <c r="O578" s="1"/>
      <c r="P578" s="1"/>
    </row>
    <row r="579" spans="4:16" ht="19.5" thickBot="1" x14ac:dyDescent="0.35">
      <c r="D579" s="70" t="s">
        <v>861</v>
      </c>
      <c r="E579" s="70" t="s">
        <v>26</v>
      </c>
      <c r="F579" s="65" t="s">
        <v>862</v>
      </c>
      <c r="G579" s="1"/>
      <c r="H579" s="1"/>
      <c r="I579" s="1"/>
      <c r="J579" s="1"/>
      <c r="K579" s="1"/>
      <c r="L579" s="1"/>
      <c r="M579" s="1"/>
      <c r="N579" s="1"/>
      <c r="O579" s="1"/>
      <c r="P579" s="1"/>
    </row>
    <row r="580" spans="4:16" ht="19.5" thickBot="1" x14ac:dyDescent="0.35">
      <c r="D580" s="63" t="s">
        <v>863</v>
      </c>
      <c r="E580" s="63" t="s">
        <v>5</v>
      </c>
      <c r="F580" s="65" t="s">
        <v>864</v>
      </c>
      <c r="G580" s="1"/>
      <c r="H580" s="1"/>
      <c r="I580" s="1"/>
      <c r="J580" s="1"/>
      <c r="K580" s="1"/>
      <c r="L580" s="1"/>
      <c r="M580" s="1"/>
      <c r="N580" s="1"/>
      <c r="O580" s="1"/>
      <c r="P580" s="1"/>
    </row>
    <row r="581" spans="4:16" ht="19.5" thickBot="1" x14ac:dyDescent="0.35">
      <c r="D581" s="63" t="s">
        <v>865</v>
      </c>
      <c r="E581" s="63" t="s">
        <v>31</v>
      </c>
      <c r="F581" s="65" t="s">
        <v>866</v>
      </c>
      <c r="G581" s="1"/>
      <c r="H581" s="1"/>
      <c r="I581" s="1"/>
      <c r="J581" s="1"/>
      <c r="K581" s="1"/>
      <c r="L581" s="1"/>
      <c r="M581" s="1"/>
      <c r="N581" s="1"/>
      <c r="O581" s="1"/>
      <c r="P581" s="1"/>
    </row>
    <row r="582" spans="4:16" ht="19.5" thickBot="1" x14ac:dyDescent="0.35">
      <c r="D582" s="73" t="s">
        <v>867</v>
      </c>
      <c r="E582" s="74" t="s">
        <v>5</v>
      </c>
      <c r="F582" s="65" t="s">
        <v>868</v>
      </c>
      <c r="G582" s="1"/>
      <c r="H582" s="1"/>
      <c r="I582" s="1"/>
      <c r="J582" s="1"/>
      <c r="K582" s="1"/>
      <c r="L582" s="1"/>
      <c r="M582" s="1"/>
      <c r="N582" s="1"/>
      <c r="O582" s="1"/>
      <c r="P582" s="1"/>
    </row>
    <row r="583" spans="4:16" ht="19.5" thickBot="1" x14ac:dyDescent="0.35">
      <c r="D583" s="63" t="s">
        <v>869</v>
      </c>
      <c r="E583" s="63" t="s">
        <v>455</v>
      </c>
      <c r="F583" s="65" t="s">
        <v>870</v>
      </c>
      <c r="G583" s="1"/>
      <c r="H583" s="1"/>
      <c r="I583" s="1"/>
      <c r="J583" s="1"/>
      <c r="K583" s="1"/>
      <c r="L583" s="1"/>
      <c r="M583" s="1"/>
      <c r="N583" s="1"/>
      <c r="O583" s="1"/>
      <c r="P583" s="1"/>
    </row>
    <row r="584" spans="4:16" ht="19.5" thickBot="1" x14ac:dyDescent="0.35">
      <c r="D584" s="63" t="s">
        <v>871</v>
      </c>
      <c r="E584" s="63" t="s">
        <v>5</v>
      </c>
      <c r="F584" s="65" t="s">
        <v>872</v>
      </c>
      <c r="G584" s="1"/>
      <c r="H584" s="1"/>
      <c r="I584" s="1"/>
      <c r="J584" s="1"/>
      <c r="K584" s="1"/>
      <c r="L584" s="1"/>
      <c r="M584" s="1"/>
      <c r="N584" s="1"/>
      <c r="O584" s="1"/>
      <c r="P584" s="1"/>
    </row>
    <row r="585" spans="4:16" ht="19.5" thickBot="1" x14ac:dyDescent="0.35">
      <c r="D585" s="63" t="s">
        <v>873</v>
      </c>
      <c r="E585" s="63"/>
      <c r="F585" s="67" t="s">
        <v>874</v>
      </c>
      <c r="G585" s="1"/>
      <c r="H585" s="1"/>
      <c r="I585" s="1"/>
      <c r="J585" s="1"/>
      <c r="K585" s="1"/>
      <c r="L585" s="1"/>
      <c r="M585" s="1"/>
      <c r="N585" s="1"/>
      <c r="O585" s="1"/>
      <c r="P585" s="1"/>
    </row>
    <row r="586" spans="4:16" ht="19.5" thickBot="1" x14ac:dyDescent="0.35">
      <c r="D586" s="63" t="s">
        <v>875</v>
      </c>
      <c r="E586" s="63" t="s">
        <v>477</v>
      </c>
      <c r="F586" s="65" t="s">
        <v>876</v>
      </c>
      <c r="G586" s="1"/>
      <c r="H586" s="1"/>
      <c r="I586" s="1"/>
      <c r="J586" s="1"/>
      <c r="K586" s="1"/>
      <c r="L586" s="1"/>
      <c r="M586" s="1"/>
      <c r="N586" s="1"/>
      <c r="O586" s="1"/>
      <c r="P586" s="1"/>
    </row>
    <row r="587" spans="4:16" ht="19.5" thickBot="1" x14ac:dyDescent="0.35">
      <c r="D587" s="70" t="s">
        <v>877</v>
      </c>
      <c r="E587" s="70" t="s">
        <v>524</v>
      </c>
      <c r="F587" s="65" t="s">
        <v>878</v>
      </c>
      <c r="G587" s="1"/>
      <c r="H587" s="1"/>
      <c r="I587" s="1"/>
      <c r="J587" s="1"/>
      <c r="K587" s="1"/>
      <c r="L587" s="1"/>
      <c r="M587" s="1"/>
      <c r="N587" s="1"/>
      <c r="O587" s="1"/>
      <c r="P587" s="1"/>
    </row>
    <row r="588" spans="4:16" ht="19.5" thickBot="1" x14ac:dyDescent="0.35">
      <c r="D588" s="63" t="s">
        <v>879</v>
      </c>
      <c r="E588" s="63" t="s">
        <v>7</v>
      </c>
      <c r="F588" s="65" t="s">
        <v>880</v>
      </c>
      <c r="G588" s="1"/>
      <c r="H588" s="1"/>
      <c r="I588" s="1"/>
      <c r="J588" s="1"/>
      <c r="K588" s="1"/>
      <c r="L588" s="1"/>
      <c r="M588" s="1"/>
      <c r="N588" s="1"/>
      <c r="O588" s="1"/>
      <c r="P588" s="1"/>
    </row>
    <row r="589" spans="4:16" ht="19.5" thickBot="1" x14ac:dyDescent="0.35">
      <c r="D589" s="73" t="s">
        <v>881</v>
      </c>
      <c r="E589" s="73" t="s">
        <v>463</v>
      </c>
      <c r="F589" s="65" t="s">
        <v>882</v>
      </c>
      <c r="G589" s="1"/>
      <c r="H589" s="1"/>
      <c r="I589" s="1"/>
      <c r="J589" s="1"/>
      <c r="K589" s="1"/>
      <c r="L589" s="1"/>
      <c r="M589" s="1"/>
      <c r="N589" s="1"/>
      <c r="O589" s="1"/>
      <c r="P589" s="1"/>
    </row>
    <row r="590" spans="4:16" ht="19.5" thickBot="1" x14ac:dyDescent="0.35">
      <c r="D590" s="70" t="s">
        <v>883</v>
      </c>
      <c r="E590" s="70"/>
      <c r="F590" s="65" t="s">
        <v>884</v>
      </c>
      <c r="G590" s="1"/>
      <c r="H590" s="1"/>
      <c r="I590" s="1"/>
      <c r="J590" s="1"/>
      <c r="K590" s="1"/>
      <c r="L590" s="1"/>
      <c r="M590" s="1"/>
      <c r="N590" s="1"/>
      <c r="O590" s="1"/>
      <c r="P590" s="1"/>
    </row>
    <row r="591" spans="4:16" ht="19.5" thickBot="1" x14ac:dyDescent="0.35">
      <c r="D591" s="70" t="s">
        <v>885</v>
      </c>
      <c r="E591" s="70"/>
      <c r="F591" s="65" t="s">
        <v>886</v>
      </c>
      <c r="G591" s="1"/>
      <c r="H591" s="1"/>
      <c r="I591" s="1"/>
      <c r="J591" s="1"/>
      <c r="K591" s="1"/>
      <c r="L591" s="1"/>
      <c r="M591" s="1"/>
      <c r="N591" s="1"/>
      <c r="O591" s="1"/>
      <c r="P591" s="1"/>
    </row>
    <row r="592" spans="4:16" ht="19.5" thickBot="1" x14ac:dyDescent="0.35">
      <c r="D592" s="63" t="s">
        <v>887</v>
      </c>
      <c r="E592" s="63" t="s">
        <v>7</v>
      </c>
      <c r="F592" s="65" t="s">
        <v>888</v>
      </c>
      <c r="G592" s="1"/>
      <c r="H592" s="1"/>
      <c r="I592" s="1"/>
      <c r="J592" s="1"/>
      <c r="K592" s="1"/>
      <c r="L592" s="1"/>
      <c r="M592" s="1"/>
      <c r="N592" s="1"/>
      <c r="O592" s="1"/>
      <c r="P592" s="1"/>
    </row>
    <row r="593" spans="4:16" ht="19.5" thickBot="1" x14ac:dyDescent="0.35">
      <c r="D593" s="63" t="s">
        <v>889</v>
      </c>
      <c r="E593" s="63"/>
      <c r="F593" s="67" t="s">
        <v>890</v>
      </c>
      <c r="G593" s="1"/>
      <c r="H593" s="1"/>
      <c r="I593" s="1"/>
      <c r="J593" s="1"/>
      <c r="K593" s="1"/>
      <c r="L593" s="1"/>
      <c r="M593" s="1"/>
      <c r="N593" s="1"/>
      <c r="O593" s="1"/>
      <c r="P593" s="1"/>
    </row>
    <row r="594" spans="4:16" ht="19.5" thickBot="1" x14ac:dyDescent="0.35">
      <c r="D594" s="63" t="s">
        <v>891</v>
      </c>
      <c r="E594" s="63"/>
      <c r="F594" s="67" t="s">
        <v>892</v>
      </c>
      <c r="G594" s="1"/>
      <c r="H594" s="1"/>
      <c r="I594" s="1"/>
      <c r="J594" s="1"/>
      <c r="K594" s="1"/>
      <c r="L594" s="1"/>
      <c r="M594" s="1"/>
      <c r="N594" s="1"/>
      <c r="O594" s="1"/>
      <c r="P594" s="1"/>
    </row>
    <row r="595" spans="4:16" ht="19.5" thickBot="1" x14ac:dyDescent="0.35">
      <c r="D595" s="70" t="s">
        <v>893</v>
      </c>
      <c r="E595" s="70" t="s">
        <v>16</v>
      </c>
      <c r="F595" s="65" t="s">
        <v>894</v>
      </c>
      <c r="G595" s="1"/>
      <c r="H595" s="1"/>
      <c r="I595" s="1"/>
      <c r="J595" s="1"/>
      <c r="K595" s="1"/>
      <c r="L595" s="1"/>
      <c r="M595" s="1"/>
      <c r="N595" s="1"/>
      <c r="O595" s="1"/>
      <c r="P595" s="1"/>
    </row>
    <row r="596" spans="4:16" ht="19.5" thickBot="1" x14ac:dyDescent="0.35">
      <c r="D596" s="70" t="s">
        <v>895</v>
      </c>
      <c r="E596" s="70" t="s">
        <v>18</v>
      </c>
      <c r="F596" s="65" t="s">
        <v>896</v>
      </c>
      <c r="G596" s="1"/>
      <c r="H596" s="1"/>
      <c r="I596" s="1"/>
      <c r="J596" s="1"/>
      <c r="K596" s="1"/>
      <c r="L596" s="1"/>
      <c r="M596" s="1"/>
      <c r="N596" s="1"/>
      <c r="O596" s="1"/>
      <c r="P596" s="1"/>
    </row>
    <row r="597" spans="4:16" ht="19.5" thickBot="1" x14ac:dyDescent="0.35">
      <c r="D597" s="63" t="s">
        <v>897</v>
      </c>
      <c r="E597" s="63" t="s">
        <v>5</v>
      </c>
      <c r="F597" s="65" t="s">
        <v>898</v>
      </c>
      <c r="G597" s="1"/>
      <c r="H597" s="1"/>
      <c r="I597" s="1"/>
      <c r="J597" s="1"/>
      <c r="K597" s="1"/>
      <c r="L597" s="1"/>
      <c r="M597" s="1"/>
      <c r="N597" s="1"/>
      <c r="O597" s="1"/>
      <c r="P597" s="1"/>
    </row>
    <row r="598" spans="4:16" ht="19.5" thickBot="1" x14ac:dyDescent="0.35">
      <c r="D598" s="70" t="s">
        <v>899</v>
      </c>
      <c r="E598" s="70"/>
      <c r="F598" s="65" t="s">
        <v>900</v>
      </c>
      <c r="G598" s="1"/>
      <c r="H598" s="1"/>
      <c r="I598" s="1"/>
      <c r="J598" s="1"/>
      <c r="K598" s="1"/>
      <c r="L598" s="1"/>
      <c r="M598" s="1"/>
      <c r="N598" s="1"/>
      <c r="O598" s="1"/>
      <c r="P598" s="1"/>
    </row>
    <row r="599" spans="4:16" ht="19.5" thickBot="1" x14ac:dyDescent="0.35">
      <c r="D599" s="70" t="s">
        <v>901</v>
      </c>
      <c r="E599" s="70" t="s">
        <v>477</v>
      </c>
      <c r="F599" s="65" t="s">
        <v>902</v>
      </c>
      <c r="G599" s="1"/>
      <c r="H599" s="1"/>
      <c r="I599" s="1"/>
      <c r="J599" s="1"/>
      <c r="K599" s="1"/>
      <c r="L599" s="1"/>
      <c r="M599" s="1"/>
      <c r="N599" s="1"/>
      <c r="O599" s="1"/>
      <c r="P599" s="1"/>
    </row>
    <row r="600" spans="4:16" ht="19.5" thickBot="1" x14ac:dyDescent="0.35">
      <c r="D600" s="73" t="s">
        <v>903</v>
      </c>
      <c r="E600" s="74" t="s">
        <v>5</v>
      </c>
      <c r="F600" s="65" t="s">
        <v>904</v>
      </c>
      <c r="G600" s="1"/>
      <c r="H600" s="1"/>
      <c r="I600" s="1"/>
      <c r="J600" s="1"/>
      <c r="K600" s="1"/>
      <c r="L600" s="1"/>
      <c r="M600" s="1"/>
      <c r="N600" s="1"/>
      <c r="O600" s="1"/>
      <c r="P600" s="1"/>
    </row>
    <row r="601" spans="4:16" ht="19.5" thickBot="1" x14ac:dyDescent="0.35">
      <c r="D601" s="70" t="s">
        <v>905</v>
      </c>
      <c r="E601" s="70" t="s">
        <v>18</v>
      </c>
      <c r="F601" s="65" t="s">
        <v>906</v>
      </c>
      <c r="G601" s="1"/>
      <c r="H601" s="1"/>
      <c r="I601" s="1"/>
      <c r="J601" s="1"/>
      <c r="K601" s="1"/>
      <c r="L601" s="1"/>
      <c r="M601" s="1"/>
      <c r="N601" s="1"/>
      <c r="O601" s="1"/>
      <c r="P601" s="1"/>
    </row>
    <row r="602" spans="4:16" ht="19.5" thickBot="1" x14ac:dyDescent="0.35">
      <c r="D602" s="63" t="s">
        <v>907</v>
      </c>
      <c r="E602" s="63" t="s">
        <v>11</v>
      </c>
      <c r="F602" s="65" t="s">
        <v>908</v>
      </c>
      <c r="G602" s="1"/>
      <c r="H602" s="1"/>
      <c r="I602" s="1"/>
      <c r="J602" s="1"/>
      <c r="K602" s="1"/>
      <c r="L602" s="1"/>
      <c r="M602" s="1"/>
      <c r="N602" s="1"/>
      <c r="O602" s="1"/>
      <c r="P602" s="1"/>
    </row>
    <row r="603" spans="4:16" ht="19.5" thickBot="1" x14ac:dyDescent="0.35">
      <c r="D603" s="70" t="s">
        <v>909</v>
      </c>
      <c r="E603" s="70" t="s">
        <v>477</v>
      </c>
      <c r="F603" s="65" t="s">
        <v>910</v>
      </c>
      <c r="G603" s="1"/>
      <c r="H603" s="1"/>
      <c r="I603" s="1"/>
      <c r="J603" s="1"/>
      <c r="K603" s="1"/>
      <c r="L603" s="1"/>
      <c r="M603" s="1"/>
      <c r="N603" s="1"/>
      <c r="O603" s="1"/>
      <c r="P603" s="1"/>
    </row>
    <row r="604" spans="4:16" ht="19.5" thickBot="1" x14ac:dyDescent="0.35">
      <c r="D604" s="70" t="s">
        <v>911</v>
      </c>
      <c r="E604" s="70" t="s">
        <v>18</v>
      </c>
      <c r="F604" s="65" t="s">
        <v>912</v>
      </c>
      <c r="G604" s="1"/>
      <c r="H604" s="1"/>
      <c r="I604" s="1"/>
      <c r="J604" s="1"/>
      <c r="K604" s="1"/>
      <c r="L604" s="1"/>
      <c r="M604" s="1"/>
      <c r="N604" s="1"/>
      <c r="O604" s="1"/>
      <c r="P604" s="1"/>
    </row>
    <row r="605" spans="4:16" ht="19.5" thickBot="1" x14ac:dyDescent="0.35">
      <c r="D605" s="73" t="s">
        <v>913</v>
      </c>
      <c r="E605" s="74" t="s">
        <v>5</v>
      </c>
      <c r="F605" s="65" t="s">
        <v>914</v>
      </c>
      <c r="G605" s="1"/>
      <c r="H605" s="1"/>
      <c r="I605" s="1"/>
      <c r="J605" s="1"/>
      <c r="K605" s="1"/>
      <c r="L605" s="1"/>
      <c r="M605" s="1"/>
      <c r="N605" s="1"/>
      <c r="O605" s="1"/>
      <c r="P605" s="1"/>
    </row>
    <row r="606" spans="4:16" ht="19.5" thickBot="1" x14ac:dyDescent="0.35">
      <c r="D606" s="63" t="s">
        <v>915</v>
      </c>
      <c r="E606" s="63" t="s">
        <v>455</v>
      </c>
      <c r="F606" s="67" t="s">
        <v>916</v>
      </c>
      <c r="G606" s="1"/>
      <c r="H606" s="1"/>
      <c r="I606" s="1"/>
      <c r="J606" s="1"/>
      <c r="K606" s="1"/>
      <c r="L606" s="1"/>
      <c r="M606" s="1"/>
      <c r="N606" s="1"/>
      <c r="O606" s="1"/>
      <c r="P606" s="1"/>
    </row>
    <row r="607" spans="4:16" ht="19.5" thickBot="1" x14ac:dyDescent="0.35">
      <c r="D607" s="63" t="s">
        <v>452</v>
      </c>
      <c r="E607" s="63" t="s">
        <v>11</v>
      </c>
      <c r="F607" s="26" t="s">
        <v>453</v>
      </c>
      <c r="G607" s="1"/>
      <c r="H607" s="1"/>
      <c r="I607" s="1"/>
      <c r="J607" s="1"/>
      <c r="K607" s="1"/>
      <c r="L607" s="1"/>
      <c r="M607" s="1"/>
      <c r="N607" s="1"/>
      <c r="O607" s="1"/>
      <c r="P607" s="1"/>
    </row>
    <row r="608" spans="4:16" ht="19.5" thickBot="1" x14ac:dyDescent="0.35">
      <c r="D608" s="63" t="s">
        <v>917</v>
      </c>
      <c r="E608" s="63"/>
      <c r="F608" s="67" t="s">
        <v>918</v>
      </c>
      <c r="G608" s="1"/>
      <c r="H608" s="1"/>
      <c r="I608" s="1"/>
      <c r="J608" s="1"/>
      <c r="K608" s="1"/>
      <c r="L608" s="1"/>
      <c r="M608" s="1"/>
      <c r="N608" s="1"/>
      <c r="O608" s="1"/>
      <c r="P608" s="1"/>
    </row>
    <row r="609" spans="4:16" ht="18.75" x14ac:dyDescent="0.3">
      <c r="D609" s="63" t="s">
        <v>919</v>
      </c>
      <c r="E609" s="63" t="s">
        <v>7</v>
      </c>
      <c r="F609" s="74" t="s">
        <v>920</v>
      </c>
      <c r="G609" s="1"/>
      <c r="H609" s="1"/>
      <c r="I609" s="1"/>
      <c r="J609" s="1"/>
      <c r="K609" s="1"/>
      <c r="L609" s="1"/>
      <c r="M609" s="1"/>
      <c r="N609" s="1"/>
      <c r="O609" s="1"/>
      <c r="P609" s="1"/>
    </row>
    <row r="610" spans="4:16" ht="18.75" x14ac:dyDescent="0.3">
      <c r="D610" s="70" t="s">
        <v>921</v>
      </c>
      <c r="E610" s="70" t="s">
        <v>11</v>
      </c>
      <c r="F610" s="74" t="s">
        <v>922</v>
      </c>
      <c r="G610" s="1"/>
      <c r="H610" s="1"/>
      <c r="I610" s="1"/>
      <c r="J610" s="1"/>
      <c r="K610" s="1"/>
      <c r="L610" s="1"/>
      <c r="M610" s="1"/>
      <c r="N610" s="1"/>
      <c r="O610" s="1"/>
      <c r="P610" s="1"/>
    </row>
    <row r="611" spans="4:16" ht="18.75" x14ac:dyDescent="0.3">
      <c r="D611" s="70" t="s">
        <v>923</v>
      </c>
      <c r="E611" s="70" t="s">
        <v>7</v>
      </c>
      <c r="F611" s="74" t="s">
        <v>924</v>
      </c>
      <c r="G611" s="1"/>
      <c r="H611" s="1"/>
      <c r="I611" s="1"/>
      <c r="J611" s="1"/>
      <c r="K611" s="1"/>
      <c r="L611" s="1"/>
      <c r="M611" s="1"/>
      <c r="N611" s="1"/>
      <c r="O611" s="1"/>
      <c r="P611" s="1"/>
    </row>
    <row r="612" spans="4:16" ht="18.75" x14ac:dyDescent="0.3">
      <c r="D612" s="63" t="s">
        <v>925</v>
      </c>
      <c r="E612" s="63"/>
      <c r="F612" s="74" t="s">
        <v>926</v>
      </c>
      <c r="G612" s="1"/>
      <c r="H612" s="1"/>
      <c r="I612" s="1"/>
      <c r="J612" s="1"/>
      <c r="K612" s="1"/>
      <c r="L612" s="1"/>
      <c r="M612" s="1"/>
      <c r="N612" s="1"/>
      <c r="O612" s="1"/>
      <c r="P612" s="1"/>
    </row>
    <row r="613" spans="4:16" ht="18.75" x14ac:dyDescent="0.3">
      <c r="D613" s="63" t="s">
        <v>927</v>
      </c>
      <c r="E613" s="63" t="s">
        <v>576</v>
      </c>
      <c r="F613" s="74" t="s">
        <v>928</v>
      </c>
      <c r="G613" s="1"/>
      <c r="H613" s="1"/>
      <c r="I613" s="1"/>
      <c r="J613" s="1"/>
      <c r="K613" s="1"/>
      <c r="L613" s="1"/>
      <c r="M613" s="1"/>
      <c r="N613" s="1"/>
      <c r="O613" s="1"/>
      <c r="P613" s="1"/>
    </row>
    <row r="614" spans="4:16" ht="18.75" x14ac:dyDescent="0.3">
      <c r="D614" s="63" t="s">
        <v>929</v>
      </c>
      <c r="E614" s="63"/>
      <c r="F614" s="74" t="s">
        <v>930</v>
      </c>
      <c r="G614" s="1"/>
      <c r="H614" s="1"/>
      <c r="I614" s="1"/>
      <c r="J614" s="1"/>
      <c r="K614" s="1"/>
      <c r="L614" s="1"/>
      <c r="M614" s="1"/>
      <c r="N614" s="1"/>
      <c r="O614" s="1"/>
      <c r="P614" s="1"/>
    </row>
    <row r="615" spans="4:16" ht="18.75" x14ac:dyDescent="0.3">
      <c r="D615" s="63" t="s">
        <v>931</v>
      </c>
      <c r="E615" s="63" t="s">
        <v>515</v>
      </c>
      <c r="F615" s="74" t="s">
        <v>932</v>
      </c>
      <c r="G615" s="1"/>
      <c r="H615" s="1"/>
      <c r="I615" s="1"/>
      <c r="J615" s="1"/>
      <c r="K615" s="1"/>
      <c r="L615" s="1"/>
      <c r="M615" s="1"/>
      <c r="N615" s="1"/>
      <c r="O615" s="1"/>
      <c r="P615" s="1"/>
    </row>
    <row r="616" spans="4:16" ht="18.75" x14ac:dyDescent="0.3">
      <c r="D616" s="70" t="s">
        <v>933</v>
      </c>
      <c r="E616" s="70" t="s">
        <v>455</v>
      </c>
      <c r="F616" s="74" t="s">
        <v>934</v>
      </c>
      <c r="G616" s="1"/>
      <c r="H616" s="1"/>
      <c r="I616" s="1"/>
      <c r="J616" s="1"/>
      <c r="K616" s="1"/>
      <c r="L616" s="1"/>
      <c r="M616" s="1"/>
      <c r="N616" s="1"/>
      <c r="O616" s="1"/>
      <c r="P616" s="1"/>
    </row>
    <row r="617" spans="4:16" ht="18.75" x14ac:dyDescent="0.3">
      <c r="D617" s="63" t="s">
        <v>935</v>
      </c>
      <c r="E617" s="63"/>
      <c r="F617" s="74" t="s">
        <v>936</v>
      </c>
      <c r="G617" s="1"/>
      <c r="H617" s="1"/>
      <c r="I617" s="1"/>
      <c r="J617" s="1"/>
      <c r="K617" s="1"/>
      <c r="L617" s="1"/>
      <c r="M617" s="1"/>
      <c r="N617" s="1"/>
      <c r="O617" s="1"/>
      <c r="P617" s="1"/>
    </row>
    <row r="618" spans="4:16" ht="18.75" x14ac:dyDescent="0.3">
      <c r="D618" s="70" t="s">
        <v>937</v>
      </c>
      <c r="E618" s="70" t="s">
        <v>7</v>
      </c>
      <c r="F618" s="74" t="s">
        <v>938</v>
      </c>
      <c r="G618" s="1"/>
      <c r="H618" s="1"/>
      <c r="I618" s="1"/>
      <c r="J618" s="1"/>
      <c r="K618" s="1"/>
      <c r="L618" s="1"/>
      <c r="M618" s="1"/>
      <c r="N618" s="1"/>
      <c r="O618" s="1"/>
      <c r="P618" s="1"/>
    </row>
    <row r="619" spans="4:16" ht="18.75" x14ac:dyDescent="0.3">
      <c r="D619" s="63" t="s">
        <v>939</v>
      </c>
      <c r="E619" s="63" t="s">
        <v>515</v>
      </c>
      <c r="F619" s="74" t="s">
        <v>940</v>
      </c>
      <c r="G619" s="1"/>
      <c r="H619" s="1"/>
      <c r="I619" s="1"/>
      <c r="J619" s="1"/>
      <c r="K619" s="1"/>
      <c r="L619" s="1"/>
      <c r="M619" s="1"/>
      <c r="N619" s="1"/>
      <c r="O619" s="1"/>
      <c r="P619" s="1"/>
    </row>
    <row r="620" spans="4:16" ht="18.75" x14ac:dyDescent="0.3">
      <c r="D620" s="63" t="s">
        <v>941</v>
      </c>
      <c r="E620" s="63" t="s">
        <v>515</v>
      </c>
      <c r="F620" s="74" t="s">
        <v>942</v>
      </c>
      <c r="G620" s="1"/>
      <c r="H620" s="1"/>
      <c r="I620" s="1"/>
      <c r="J620" s="1"/>
      <c r="K620" s="1"/>
      <c r="L620" s="1"/>
      <c r="M620" s="1"/>
      <c r="N620" s="1"/>
      <c r="O620" s="1"/>
      <c r="P620" s="1"/>
    </row>
    <row r="621" spans="4:16" ht="18.75" x14ac:dyDescent="0.3">
      <c r="D621" s="70" t="s">
        <v>943</v>
      </c>
      <c r="E621" s="70" t="s">
        <v>548</v>
      </c>
      <c r="F621" s="74" t="s">
        <v>944</v>
      </c>
      <c r="G621" s="1"/>
      <c r="H621" s="1"/>
      <c r="I621" s="1"/>
      <c r="J621" s="1"/>
      <c r="K621" s="1"/>
      <c r="L621" s="1"/>
      <c r="M621" s="1"/>
      <c r="N621" s="1"/>
      <c r="O621" s="1"/>
      <c r="P621" s="1"/>
    </row>
    <row r="622" spans="4:16" ht="18.75" x14ac:dyDescent="0.3">
      <c r="D622" s="63" t="s">
        <v>945</v>
      </c>
      <c r="E622" s="63" t="s">
        <v>492</v>
      </c>
      <c r="F622" s="74" t="s">
        <v>946</v>
      </c>
      <c r="G622" s="1"/>
      <c r="H622" s="1"/>
      <c r="I622" s="1"/>
      <c r="J622" s="1"/>
      <c r="K622" s="1"/>
      <c r="L622" s="1"/>
      <c r="M622" s="1"/>
      <c r="N622" s="1"/>
      <c r="O622" s="1"/>
      <c r="P622" s="1"/>
    </row>
    <row r="623" spans="4:16" ht="18.75" x14ac:dyDescent="0.3">
      <c r="D623" s="63" t="s">
        <v>947</v>
      </c>
      <c r="E623" s="63" t="s">
        <v>455</v>
      </c>
      <c r="F623" s="74" t="s">
        <v>948</v>
      </c>
      <c r="G623" s="1"/>
      <c r="H623" s="1"/>
      <c r="I623" s="1"/>
      <c r="J623" s="1"/>
      <c r="K623" s="1"/>
      <c r="L623" s="1"/>
      <c r="M623" s="1"/>
      <c r="N623" s="1"/>
      <c r="O623" s="1"/>
      <c r="P623" s="1"/>
    </row>
    <row r="624" spans="4:16" ht="18.75" x14ac:dyDescent="0.3">
      <c r="D624" s="63" t="s">
        <v>949</v>
      </c>
      <c r="E624" s="63" t="s">
        <v>950</v>
      </c>
      <c r="F624" s="74" t="s">
        <v>951</v>
      </c>
      <c r="G624" s="1"/>
      <c r="H624" s="1"/>
      <c r="I624" s="1"/>
      <c r="J624" s="1"/>
      <c r="K624" s="1"/>
      <c r="L624" s="1"/>
      <c r="M624" s="1"/>
      <c r="N624" s="1"/>
      <c r="O624" s="1"/>
      <c r="P624" s="1"/>
    </row>
    <row r="625" spans="4:16" ht="18.75" x14ac:dyDescent="0.3">
      <c r="D625" s="63" t="s">
        <v>952</v>
      </c>
      <c r="E625" s="63" t="s">
        <v>515</v>
      </c>
      <c r="F625" s="74" t="s">
        <v>953</v>
      </c>
      <c r="G625" s="1"/>
      <c r="H625" s="1"/>
      <c r="I625" s="1"/>
      <c r="J625" s="1"/>
      <c r="K625" s="1"/>
      <c r="L625" s="1"/>
      <c r="M625" s="1"/>
      <c r="N625" s="1"/>
      <c r="O625" s="1"/>
      <c r="P625" s="1"/>
    </row>
    <row r="626" spans="4:16" ht="18.75" x14ac:dyDescent="0.3">
      <c r="D626" s="63" t="s">
        <v>954</v>
      </c>
      <c r="E626" s="63" t="s">
        <v>515</v>
      </c>
      <c r="F626" s="74" t="s">
        <v>955</v>
      </c>
      <c r="G626" s="1"/>
      <c r="H626" s="1"/>
      <c r="I626" s="1"/>
      <c r="J626" s="1"/>
      <c r="K626" s="1"/>
      <c r="L626" s="1"/>
      <c r="M626" s="1"/>
      <c r="N626" s="1"/>
      <c r="O626" s="1"/>
      <c r="P626" s="1"/>
    </row>
    <row r="627" spans="4:16" ht="18.75" x14ac:dyDescent="0.3">
      <c r="D627" s="63" t="s">
        <v>956</v>
      </c>
      <c r="E627" s="63" t="s">
        <v>7</v>
      </c>
      <c r="F627" s="74" t="s">
        <v>957</v>
      </c>
      <c r="G627" s="1"/>
      <c r="H627" s="1"/>
      <c r="I627" s="1"/>
      <c r="J627" s="1"/>
      <c r="K627" s="1"/>
      <c r="L627" s="1"/>
      <c r="M627" s="1"/>
      <c r="N627" s="1"/>
      <c r="O627" s="1"/>
      <c r="P627" s="1"/>
    </row>
    <row r="628" spans="4:16" ht="18.75" x14ac:dyDescent="0.3">
      <c r="D628" s="70" t="s">
        <v>958</v>
      </c>
      <c r="E628" s="70" t="s">
        <v>31</v>
      </c>
      <c r="F628" s="74" t="s">
        <v>959</v>
      </c>
      <c r="G628" s="1"/>
      <c r="H628" s="1"/>
      <c r="I628" s="1"/>
      <c r="J628" s="1"/>
      <c r="K628" s="1"/>
      <c r="L628" s="1"/>
      <c r="M628" s="1"/>
      <c r="N628" s="1"/>
      <c r="O628" s="1"/>
      <c r="P628" s="1"/>
    </row>
    <row r="629" spans="4:16" ht="18.75" x14ac:dyDescent="0.3">
      <c r="D629" s="63" t="s">
        <v>960</v>
      </c>
      <c r="E629" s="63" t="s">
        <v>11</v>
      </c>
      <c r="F629" s="74" t="s">
        <v>961</v>
      </c>
      <c r="G629" s="1"/>
      <c r="H629" s="1"/>
      <c r="I629" s="1"/>
      <c r="J629" s="1"/>
      <c r="K629" s="1"/>
      <c r="L629" s="1"/>
      <c r="M629" s="1"/>
      <c r="N629" s="1"/>
      <c r="O629" s="1"/>
      <c r="P629" s="1"/>
    </row>
    <row r="630" spans="4:16" ht="18.75" x14ac:dyDescent="0.3">
      <c r="D630" s="70" t="s">
        <v>962</v>
      </c>
      <c r="E630" s="70" t="s">
        <v>548</v>
      </c>
      <c r="F630" s="74" t="s">
        <v>963</v>
      </c>
      <c r="G630" s="1"/>
      <c r="H630" s="1"/>
      <c r="I630" s="1"/>
      <c r="J630" s="1"/>
      <c r="K630" s="1"/>
      <c r="L630" s="1"/>
      <c r="M630" s="1"/>
      <c r="N630" s="1"/>
      <c r="O630" s="1"/>
      <c r="P630" s="1"/>
    </row>
    <row r="631" spans="4:16" ht="18.75" x14ac:dyDescent="0.3">
      <c r="D631" s="63" t="s">
        <v>964</v>
      </c>
      <c r="E631" s="63" t="s">
        <v>515</v>
      </c>
      <c r="F631" s="74" t="s">
        <v>965</v>
      </c>
      <c r="G631" s="1"/>
      <c r="H631" s="1"/>
      <c r="I631" s="1"/>
      <c r="J631" s="1"/>
      <c r="K631" s="1"/>
      <c r="L631" s="1"/>
      <c r="M631" s="1"/>
      <c r="N631" s="1"/>
      <c r="O631" s="1"/>
      <c r="P631" s="1"/>
    </row>
    <row r="632" spans="4:16" ht="18.75" x14ac:dyDescent="0.3">
      <c r="D632" s="70" t="s">
        <v>966</v>
      </c>
      <c r="E632" s="70" t="s">
        <v>18</v>
      </c>
      <c r="F632" s="74" t="s">
        <v>967</v>
      </c>
      <c r="G632" s="1"/>
      <c r="H632" s="1"/>
      <c r="I632" s="1"/>
      <c r="J632" s="1"/>
      <c r="K632" s="1"/>
      <c r="L632" s="1"/>
      <c r="M632" s="1"/>
      <c r="N632" s="1"/>
      <c r="O632" s="1"/>
      <c r="P632" s="1"/>
    </row>
    <row r="633" spans="4:16" ht="18.75" x14ac:dyDescent="0.3">
      <c r="D633" s="63" t="s">
        <v>968</v>
      </c>
      <c r="E633" s="63"/>
      <c r="F633" s="74" t="s">
        <v>969</v>
      </c>
      <c r="G633" s="1"/>
      <c r="H633" s="1"/>
      <c r="I633" s="1"/>
      <c r="J633" s="1"/>
      <c r="K633" s="1"/>
      <c r="L633" s="1"/>
      <c r="M633" s="1"/>
      <c r="N633" s="1"/>
      <c r="O633" s="1"/>
      <c r="P633" s="1"/>
    </row>
    <row r="634" spans="4:16" ht="18.75" x14ac:dyDescent="0.3">
      <c r="D634" s="63" t="s">
        <v>970</v>
      </c>
      <c r="E634" s="63" t="s">
        <v>455</v>
      </c>
      <c r="F634" s="74" t="s">
        <v>971</v>
      </c>
      <c r="G634" s="1"/>
      <c r="H634" s="1"/>
      <c r="I634" s="1"/>
      <c r="J634" s="1"/>
      <c r="K634" s="1"/>
      <c r="L634" s="1"/>
      <c r="M634" s="1"/>
      <c r="N634" s="1"/>
      <c r="O634" s="1"/>
      <c r="P634" s="1"/>
    </row>
    <row r="635" spans="4:16" ht="18.75" x14ac:dyDescent="0.3">
      <c r="D635" s="63" t="s">
        <v>972</v>
      </c>
      <c r="E635" s="63" t="s">
        <v>515</v>
      </c>
      <c r="F635" s="74" t="s">
        <v>973</v>
      </c>
      <c r="G635" s="1"/>
      <c r="H635" s="1"/>
      <c r="I635" s="1"/>
      <c r="J635" s="1"/>
      <c r="K635" s="1"/>
      <c r="L635" s="1"/>
      <c r="M635" s="1"/>
      <c r="N635" s="1"/>
      <c r="O635" s="1"/>
      <c r="P635" s="1"/>
    </row>
    <row r="636" spans="4:16" ht="18.75" x14ac:dyDescent="0.3">
      <c r="D636" s="75" t="s">
        <v>974</v>
      </c>
      <c r="E636" s="75" t="s">
        <v>31</v>
      </c>
      <c r="F636" s="74" t="s">
        <v>975</v>
      </c>
      <c r="G636" s="1"/>
      <c r="H636" s="1"/>
      <c r="I636" s="1"/>
      <c r="J636" s="1"/>
      <c r="K636" s="1"/>
      <c r="L636" s="1"/>
      <c r="M636" s="1"/>
      <c r="N636" s="1"/>
      <c r="O636" s="1"/>
      <c r="P636" s="1"/>
    </row>
    <row r="637" spans="4:16" ht="18.75" x14ac:dyDescent="0.3">
      <c r="D637" s="63" t="s">
        <v>976</v>
      </c>
      <c r="E637" s="63" t="s">
        <v>455</v>
      </c>
      <c r="F637" s="74" t="s">
        <v>977</v>
      </c>
      <c r="G637" s="1"/>
      <c r="H637" s="1"/>
      <c r="I637" s="1"/>
      <c r="J637" s="1"/>
      <c r="K637" s="1"/>
      <c r="L637" s="1"/>
      <c r="M637" s="1"/>
      <c r="N637" s="1"/>
      <c r="O637" s="1"/>
      <c r="P637" s="1"/>
    </row>
    <row r="638" spans="4:16" ht="18.75" x14ac:dyDescent="0.3">
      <c r="D638" s="70" t="s">
        <v>978</v>
      </c>
      <c r="E638" s="70" t="s">
        <v>18</v>
      </c>
      <c r="F638" s="74" t="s">
        <v>979</v>
      </c>
      <c r="G638" s="1"/>
      <c r="H638" s="1"/>
      <c r="I638" s="1"/>
      <c r="J638" s="1"/>
      <c r="K638" s="1"/>
      <c r="L638" s="1"/>
      <c r="M638" s="1"/>
      <c r="N638" s="1"/>
      <c r="O638" s="1"/>
      <c r="P638" s="1"/>
    </row>
    <row r="639" spans="4:16" ht="18.75" x14ac:dyDescent="0.3">
      <c r="D639" s="70" t="s">
        <v>980</v>
      </c>
      <c r="E639" s="70" t="s">
        <v>31</v>
      </c>
      <c r="F639" s="74" t="s">
        <v>981</v>
      </c>
      <c r="G639" s="1"/>
      <c r="H639" s="1"/>
      <c r="I639" s="1"/>
      <c r="J639" s="1"/>
      <c r="K639" s="1"/>
      <c r="L639" s="1"/>
      <c r="M639" s="1"/>
      <c r="N639" s="1"/>
      <c r="O639" s="1"/>
      <c r="P639" s="1"/>
    </row>
    <row r="640" spans="4:16" ht="18.75" x14ac:dyDescent="0.3">
      <c r="D640" s="63" t="s">
        <v>982</v>
      </c>
      <c r="E640" s="63" t="s">
        <v>455</v>
      </c>
      <c r="F640" s="74" t="s">
        <v>983</v>
      </c>
      <c r="G640" s="1"/>
      <c r="H640" s="1"/>
      <c r="I640" s="1"/>
      <c r="J640" s="1"/>
      <c r="K640" s="1"/>
      <c r="L640" s="1"/>
      <c r="M640" s="1"/>
      <c r="N640" s="1"/>
      <c r="O640" s="1"/>
      <c r="P640" s="1"/>
    </row>
    <row r="641" spans="4:16" ht="18.75" x14ac:dyDescent="0.3">
      <c r="D641" s="63" t="s">
        <v>984</v>
      </c>
      <c r="E641" s="63" t="s">
        <v>480</v>
      </c>
      <c r="F641" s="74" t="s">
        <v>985</v>
      </c>
      <c r="G641" s="1"/>
      <c r="H641" s="1"/>
      <c r="I641" s="1"/>
      <c r="J641" s="1"/>
      <c r="K641" s="1"/>
      <c r="L641" s="1"/>
      <c r="M641" s="1"/>
      <c r="N641" s="1"/>
      <c r="O641" s="1"/>
      <c r="P641" s="1"/>
    </row>
    <row r="642" spans="4:16" ht="18.75" x14ac:dyDescent="0.3">
      <c r="D642" s="70" t="s">
        <v>988</v>
      </c>
      <c r="E642" s="70"/>
      <c r="F642" s="74" t="s">
        <v>989</v>
      </c>
      <c r="G642" s="1"/>
      <c r="H642" s="1"/>
      <c r="I642" s="1"/>
      <c r="J642" s="1"/>
      <c r="K642" s="1"/>
      <c r="L642" s="1"/>
      <c r="M642" s="1"/>
      <c r="N642" s="1"/>
      <c r="O642" s="1"/>
      <c r="P642" s="1"/>
    </row>
    <row r="643" spans="4:16" ht="18.75" x14ac:dyDescent="0.3">
      <c r="D643" s="70" t="s">
        <v>990</v>
      </c>
      <c r="E643" s="70" t="s">
        <v>492</v>
      </c>
      <c r="F643" s="74" t="s">
        <v>991</v>
      </c>
      <c r="G643" s="1"/>
      <c r="H643" s="1"/>
      <c r="I643" s="1"/>
      <c r="J643" s="1"/>
      <c r="K643" s="1"/>
      <c r="L643" s="1"/>
      <c r="M643" s="1"/>
      <c r="N643" s="1"/>
      <c r="O643" s="1"/>
      <c r="P643" s="1"/>
    </row>
    <row r="644" spans="4:16" ht="18.75" x14ac:dyDescent="0.3">
      <c r="D644" s="63" t="s">
        <v>992</v>
      </c>
      <c r="E644" s="63" t="s">
        <v>455</v>
      </c>
      <c r="F644" s="74" t="s">
        <v>993</v>
      </c>
      <c r="G644" s="1"/>
      <c r="H644" s="1"/>
      <c r="I644" s="1"/>
      <c r="J644" s="1"/>
      <c r="K644" s="1"/>
      <c r="L644" s="1"/>
      <c r="M644" s="1"/>
      <c r="N644" s="1"/>
      <c r="O644" s="1"/>
      <c r="P644" s="1"/>
    </row>
    <row r="645" spans="4:16" ht="18.75" x14ac:dyDescent="0.3">
      <c r="D645" s="63" t="s">
        <v>994</v>
      </c>
      <c r="E645" s="63" t="s">
        <v>11</v>
      </c>
      <c r="F645" s="74" t="s">
        <v>995</v>
      </c>
      <c r="G645" s="1"/>
      <c r="H645" s="1"/>
      <c r="I645" s="1"/>
      <c r="J645" s="1"/>
      <c r="K645" s="1"/>
      <c r="L645" s="1"/>
      <c r="M645" s="1"/>
      <c r="N645" s="1"/>
      <c r="O645" s="1"/>
      <c r="P645" s="1"/>
    </row>
    <row r="646" spans="4:16" ht="18.75" x14ac:dyDescent="0.3">
      <c r="D646" s="63" t="s">
        <v>996</v>
      </c>
      <c r="E646" s="63" t="s">
        <v>480</v>
      </c>
      <c r="F646" s="74" t="s">
        <v>997</v>
      </c>
      <c r="G646" s="1"/>
      <c r="H646" s="1"/>
      <c r="I646" s="1"/>
      <c r="J646" s="1"/>
      <c r="K646" s="1"/>
      <c r="L646" s="1"/>
      <c r="M646" s="1"/>
      <c r="N646" s="1"/>
      <c r="O646" s="1"/>
      <c r="P646" s="1"/>
    </row>
    <row r="647" spans="4:16" ht="18.75" x14ac:dyDescent="0.3">
      <c r="D647" s="63" t="s">
        <v>998</v>
      </c>
      <c r="E647" s="63" t="s">
        <v>5</v>
      </c>
      <c r="F647" s="74" t="s">
        <v>999</v>
      </c>
      <c r="G647" s="1"/>
      <c r="H647" s="1"/>
      <c r="I647" s="1"/>
      <c r="J647" s="1"/>
      <c r="K647" s="1"/>
      <c r="L647" s="1"/>
      <c r="M647" s="1"/>
      <c r="N647" s="1"/>
      <c r="O647" s="1"/>
      <c r="P647" s="1"/>
    </row>
    <row r="648" spans="4:16" ht="18.75" x14ac:dyDescent="0.3">
      <c r="D648" s="63" t="s">
        <v>1000</v>
      </c>
      <c r="E648" s="63" t="s">
        <v>463</v>
      </c>
      <c r="F648" s="74" t="s">
        <v>1001</v>
      </c>
      <c r="G648" s="1"/>
      <c r="H648" s="1"/>
      <c r="I648" s="1"/>
      <c r="J648" s="1"/>
      <c r="K648" s="1"/>
      <c r="L648" s="1"/>
      <c r="M648" s="1"/>
      <c r="N648" s="1"/>
      <c r="O648" s="1"/>
      <c r="P648" s="1"/>
    </row>
    <row r="649" spans="4:16" ht="18.75" x14ac:dyDescent="0.3">
      <c r="D649" s="63" t="s">
        <v>1002</v>
      </c>
      <c r="E649" s="63" t="s">
        <v>480</v>
      </c>
      <c r="F649" s="74" t="s">
        <v>1003</v>
      </c>
      <c r="G649" s="1"/>
      <c r="H649" s="1"/>
      <c r="I649" s="1"/>
      <c r="J649" s="1"/>
      <c r="K649" s="1"/>
      <c r="L649" s="1"/>
      <c r="M649" s="1"/>
      <c r="N649" s="1"/>
      <c r="O649" s="1"/>
      <c r="P649" s="1"/>
    </row>
    <row r="650" spans="4:16" ht="18.75" x14ac:dyDescent="0.3">
      <c r="D650" s="63" t="s">
        <v>1004</v>
      </c>
      <c r="E650" s="63" t="s">
        <v>492</v>
      </c>
      <c r="F650" s="74" t="s">
        <v>1005</v>
      </c>
      <c r="G650" s="1"/>
      <c r="H650" s="1"/>
      <c r="I650" s="1"/>
      <c r="J650" s="1"/>
      <c r="K650" s="1"/>
      <c r="L650" s="1"/>
      <c r="M650" s="1"/>
      <c r="N650" s="1"/>
      <c r="O650" s="1"/>
      <c r="P650" s="1"/>
    </row>
    <row r="651" spans="4:16" ht="18.75" x14ac:dyDescent="0.3">
      <c r="D651" s="63" t="s">
        <v>1006</v>
      </c>
      <c r="E651" s="63"/>
      <c r="F651" s="74" t="s">
        <v>1007</v>
      </c>
      <c r="G651" s="1"/>
      <c r="H651" s="1"/>
      <c r="I651" s="1"/>
      <c r="J651" s="1"/>
      <c r="K651" s="1"/>
      <c r="L651" s="1"/>
      <c r="M651" s="1"/>
      <c r="N651" s="1"/>
      <c r="O651" s="1"/>
      <c r="P651" s="1"/>
    </row>
    <row r="652" spans="4:16" ht="18.75" x14ac:dyDescent="0.3">
      <c r="D652" s="63" t="s">
        <v>1008</v>
      </c>
      <c r="E652" s="63" t="s">
        <v>7</v>
      </c>
      <c r="F652" s="74" t="s">
        <v>1009</v>
      </c>
      <c r="G652" s="1"/>
      <c r="H652" s="1"/>
      <c r="I652" s="1"/>
      <c r="J652" s="1"/>
      <c r="K652" s="1"/>
      <c r="L652" s="1"/>
      <c r="M652" s="1"/>
      <c r="N652" s="1"/>
      <c r="O652" s="1"/>
      <c r="P652" s="1"/>
    </row>
    <row r="653" spans="4:16" ht="18.75" x14ac:dyDescent="0.3">
      <c r="D653" s="63" t="s">
        <v>1012</v>
      </c>
      <c r="E653" s="63" t="s">
        <v>7</v>
      </c>
      <c r="F653" s="74" t="s">
        <v>1013</v>
      </c>
      <c r="G653" s="1"/>
      <c r="H653" s="1"/>
      <c r="I653" s="1"/>
      <c r="J653" s="1"/>
      <c r="K653" s="1"/>
      <c r="L653" s="1"/>
      <c r="M653" s="1"/>
      <c r="N653" s="1"/>
      <c r="O653" s="1"/>
      <c r="P653" s="1"/>
    </row>
    <row r="654" spans="4:16" ht="18.75" x14ac:dyDescent="0.3">
      <c r="D654" s="63" t="s">
        <v>1014</v>
      </c>
      <c r="E654" s="63" t="s">
        <v>455</v>
      </c>
      <c r="F654" s="74" t="s">
        <v>1015</v>
      </c>
      <c r="G654" s="1"/>
      <c r="H654" s="1"/>
      <c r="I654" s="1"/>
      <c r="J654" s="1"/>
      <c r="K654" s="1"/>
      <c r="L654" s="1"/>
      <c r="M654" s="1"/>
      <c r="N654" s="1"/>
      <c r="O654" s="1"/>
      <c r="P654" s="1"/>
    </row>
    <row r="655" spans="4:16" ht="18.75" x14ac:dyDescent="0.3">
      <c r="D655" s="63" t="s">
        <v>1016</v>
      </c>
      <c r="E655" s="63"/>
      <c r="F655" s="74" t="s">
        <v>1017</v>
      </c>
      <c r="G655" s="1"/>
      <c r="H655" s="1"/>
      <c r="I655" s="1"/>
      <c r="J655" s="1"/>
      <c r="K655" s="1"/>
      <c r="L655" s="1"/>
      <c r="M655" s="1"/>
      <c r="N655" s="1"/>
      <c r="O655" s="1"/>
      <c r="P655" s="1"/>
    </row>
    <row r="656" spans="4:16" ht="18.75" x14ac:dyDescent="0.3">
      <c r="D656" s="63" t="s">
        <v>1018</v>
      </c>
      <c r="E656" s="63" t="s">
        <v>480</v>
      </c>
      <c r="F656" s="74" t="s">
        <v>1019</v>
      </c>
      <c r="G656" s="1"/>
      <c r="H656" s="1"/>
      <c r="I656" s="1"/>
      <c r="J656" s="1"/>
      <c r="K656" s="1"/>
      <c r="L656" s="1"/>
      <c r="M656" s="1"/>
      <c r="N656" s="1"/>
      <c r="O656" s="1"/>
      <c r="P656" s="1"/>
    </row>
    <row r="657" spans="4:16" ht="18.75" x14ac:dyDescent="0.3">
      <c r="D657" s="63" t="s">
        <v>1020</v>
      </c>
      <c r="E657" s="63" t="s">
        <v>7</v>
      </c>
      <c r="F657" s="74" t="s">
        <v>1021</v>
      </c>
      <c r="G657" s="1"/>
      <c r="H657" s="1"/>
      <c r="I657" s="1"/>
      <c r="J657" s="1"/>
      <c r="K657" s="1"/>
      <c r="L657" s="1"/>
      <c r="M657" s="1"/>
      <c r="N657" s="1"/>
      <c r="O657" s="1"/>
      <c r="P657" s="1"/>
    </row>
    <row r="658" spans="4:16" ht="18.75" x14ac:dyDescent="0.3">
      <c r="D658" s="63" t="s">
        <v>1010</v>
      </c>
      <c r="E658" s="63"/>
      <c r="F658" s="74" t="s">
        <v>1011</v>
      </c>
      <c r="G658" s="1"/>
      <c r="H658" s="1"/>
      <c r="I658" s="1"/>
      <c r="J658" s="1"/>
      <c r="K658" s="1"/>
      <c r="L658" s="1"/>
      <c r="M658" s="1"/>
      <c r="N658" s="1"/>
      <c r="O658" s="1"/>
      <c r="P658" s="1"/>
    </row>
    <row r="659" spans="4:16" ht="18.75" x14ac:dyDescent="0.3">
      <c r="D659" s="63" t="s">
        <v>986</v>
      </c>
      <c r="E659" s="63" t="s">
        <v>5</v>
      </c>
      <c r="F659" s="74" t="s">
        <v>987</v>
      </c>
      <c r="G659" s="1"/>
      <c r="H659" s="1"/>
      <c r="I659" s="1"/>
      <c r="J659" s="1"/>
      <c r="K659" s="1"/>
      <c r="L659" s="1"/>
      <c r="M659" s="1"/>
      <c r="N659" s="1"/>
      <c r="O659" s="1"/>
      <c r="P659" s="1"/>
    </row>
    <row r="660" spans="4:16" ht="18.75" x14ac:dyDescent="0.3">
      <c r="D660" s="63" t="s">
        <v>1022</v>
      </c>
      <c r="E660" s="63" t="s">
        <v>11</v>
      </c>
      <c r="F660" s="74" t="s">
        <v>1023</v>
      </c>
      <c r="G660" s="1"/>
      <c r="H660" s="1"/>
      <c r="I660" s="1"/>
      <c r="J660" s="1"/>
      <c r="K660" s="1"/>
      <c r="L660" s="1"/>
      <c r="M660" s="1"/>
      <c r="N660" s="1"/>
      <c r="O660" s="1"/>
      <c r="P660" s="1"/>
    </row>
    <row r="661" spans="4:16" ht="18.75" x14ac:dyDescent="0.3">
      <c r="D661" s="63" t="s">
        <v>1024</v>
      </c>
      <c r="E661" s="63" t="s">
        <v>5</v>
      </c>
      <c r="F661" s="74" t="s">
        <v>1025</v>
      </c>
      <c r="G661" s="1"/>
      <c r="H661" s="1"/>
      <c r="I661" s="1"/>
      <c r="J661" s="1"/>
      <c r="K661" s="1"/>
      <c r="L661" s="1"/>
      <c r="M661" s="1"/>
      <c r="N661" s="1"/>
      <c r="O661" s="1"/>
      <c r="P661" s="1"/>
    </row>
    <row r="662" spans="4:16" ht="18.75" x14ac:dyDescent="0.3">
      <c r="D662" s="63" t="s">
        <v>1026</v>
      </c>
      <c r="E662" s="63" t="s">
        <v>492</v>
      </c>
      <c r="F662" s="74" t="s">
        <v>1027</v>
      </c>
      <c r="G662" s="1"/>
      <c r="H662" s="1"/>
      <c r="I662" s="1"/>
      <c r="J662" s="1"/>
      <c r="K662" s="1"/>
      <c r="L662" s="1"/>
      <c r="M662" s="1"/>
      <c r="N662" s="1"/>
      <c r="O662" s="1"/>
      <c r="P662" s="1"/>
    </row>
    <row r="663" spans="4:16" ht="18.75" x14ac:dyDescent="0.3">
      <c r="D663" s="63" t="s">
        <v>1028</v>
      </c>
      <c r="E663" s="63" t="s">
        <v>492</v>
      </c>
      <c r="F663" s="74" t="s">
        <v>1029</v>
      </c>
      <c r="G663" s="1"/>
      <c r="H663" s="1"/>
      <c r="I663" s="1"/>
      <c r="J663" s="1"/>
      <c r="K663" s="1"/>
      <c r="L663" s="1"/>
      <c r="M663" s="1"/>
      <c r="N663" s="1"/>
      <c r="O663" s="1"/>
      <c r="P663" s="1"/>
    </row>
    <row r="664" spans="4:16" ht="18.75" x14ac:dyDescent="0.3">
      <c r="D664" s="63" t="s">
        <v>1030</v>
      </c>
      <c r="E664" s="63"/>
      <c r="F664" s="74" t="s">
        <v>1031</v>
      </c>
      <c r="G664" s="1"/>
      <c r="H664" s="1"/>
      <c r="I664" s="1"/>
      <c r="J664" s="1"/>
      <c r="K664" s="1"/>
      <c r="L664" s="1"/>
      <c r="M664" s="1"/>
      <c r="N664" s="1"/>
      <c r="O664" s="1"/>
      <c r="P664" s="1"/>
    </row>
    <row r="665" spans="4:16" ht="18.75" x14ac:dyDescent="0.3">
      <c r="D665" s="63" t="s">
        <v>1032</v>
      </c>
      <c r="E665" s="63" t="s">
        <v>463</v>
      </c>
      <c r="F665" s="74" t="s">
        <v>1033</v>
      </c>
      <c r="G665" s="1"/>
      <c r="H665" s="1"/>
      <c r="I665" s="1"/>
      <c r="J665" s="1"/>
      <c r="K665" s="1"/>
      <c r="L665" s="1"/>
      <c r="M665" s="1"/>
      <c r="N665" s="1"/>
      <c r="O665" s="1"/>
      <c r="P665" s="1"/>
    </row>
    <row r="666" spans="4:16" ht="18.75" x14ac:dyDescent="0.3">
      <c r="D666" s="70" t="s">
        <v>1034</v>
      </c>
      <c r="E666" s="70"/>
      <c r="F666" s="63" t="s">
        <v>1035</v>
      </c>
      <c r="G666" s="1"/>
      <c r="H666" s="1"/>
      <c r="I666" s="1"/>
      <c r="J666" s="1"/>
      <c r="K666" s="1"/>
      <c r="L666" s="1"/>
      <c r="M666" s="1"/>
      <c r="N666" s="1"/>
      <c r="O666" s="1"/>
      <c r="P666" s="1"/>
    </row>
    <row r="667" spans="4:16" ht="18.75" x14ac:dyDescent="0.3">
      <c r="D667" s="63" t="s">
        <v>1036</v>
      </c>
      <c r="E667" s="63" t="s">
        <v>455</v>
      </c>
      <c r="F667" s="74" t="s">
        <v>1037</v>
      </c>
      <c r="G667" s="1"/>
      <c r="H667" s="1"/>
      <c r="I667" s="1"/>
      <c r="J667" s="1"/>
      <c r="K667" s="1"/>
      <c r="L667" s="1"/>
      <c r="M667" s="1"/>
      <c r="N667" s="1"/>
      <c r="O667" s="1"/>
      <c r="P667" s="1"/>
    </row>
    <row r="668" spans="4:16" ht="18.75" x14ac:dyDescent="0.3">
      <c r="D668" s="70" t="s">
        <v>1038</v>
      </c>
      <c r="E668" s="70" t="s">
        <v>576</v>
      </c>
      <c r="F668" s="74" t="s">
        <v>1039</v>
      </c>
      <c r="G668" s="1"/>
      <c r="H668" s="1"/>
      <c r="I668" s="1"/>
      <c r="J668" s="1"/>
      <c r="K668" s="1"/>
      <c r="L668" s="1"/>
      <c r="M668" s="1"/>
      <c r="N668" s="1"/>
      <c r="O668" s="1"/>
      <c r="P668" s="1"/>
    </row>
    <row r="669" spans="4:16" ht="18.75" x14ac:dyDescent="0.3">
      <c r="D669" s="63" t="s">
        <v>1040</v>
      </c>
      <c r="E669" s="63" t="s">
        <v>5</v>
      </c>
      <c r="F669" s="74" t="s">
        <v>1041</v>
      </c>
      <c r="G669" s="1"/>
      <c r="H669" s="1"/>
      <c r="I669" s="1"/>
      <c r="J669" s="1"/>
      <c r="K669" s="1"/>
      <c r="L669" s="1"/>
      <c r="M669" s="1"/>
      <c r="N669" s="1"/>
      <c r="O669" s="1"/>
      <c r="P669" s="1"/>
    </row>
    <row r="670" spans="4:16" ht="18.75" x14ac:dyDescent="0.3">
      <c r="D670" s="63" t="s">
        <v>1042</v>
      </c>
      <c r="E670" s="63" t="s">
        <v>950</v>
      </c>
      <c r="F670" s="74" t="s">
        <v>1043</v>
      </c>
      <c r="G670" s="1"/>
      <c r="H670" s="1"/>
      <c r="I670" s="1"/>
      <c r="J670" s="1"/>
      <c r="K670" s="1"/>
      <c r="L670" s="1"/>
      <c r="M670" s="1"/>
      <c r="N670" s="1"/>
      <c r="O670" s="1"/>
      <c r="P670" s="1"/>
    </row>
    <row r="671" spans="4:16" ht="18.75" x14ac:dyDescent="0.3">
      <c r="D671" s="63" t="s">
        <v>1044</v>
      </c>
      <c r="E671" s="63" t="s">
        <v>477</v>
      </c>
      <c r="F671" s="74" t="s">
        <v>1045</v>
      </c>
      <c r="G671" s="1"/>
      <c r="H671" s="1"/>
      <c r="I671" s="1"/>
      <c r="J671" s="1"/>
      <c r="K671" s="1"/>
      <c r="L671" s="1"/>
      <c r="M671" s="1"/>
      <c r="N671" s="1"/>
      <c r="O671" s="1"/>
      <c r="P671" s="1"/>
    </row>
    <row r="672" spans="4:16" ht="18.75" x14ac:dyDescent="0.3">
      <c r="D672" s="70" t="s">
        <v>1046</v>
      </c>
      <c r="E672" s="70" t="s">
        <v>31</v>
      </c>
      <c r="F672" s="74" t="s">
        <v>1047</v>
      </c>
      <c r="G672" s="1"/>
      <c r="H672" s="1"/>
      <c r="I672" s="1"/>
      <c r="J672" s="1"/>
      <c r="K672" s="1"/>
      <c r="L672" s="1"/>
      <c r="M672" s="1"/>
      <c r="N672" s="1"/>
      <c r="O672" s="1"/>
      <c r="P672" s="1"/>
    </row>
    <row r="673" spans="4:16" ht="18.75" x14ac:dyDescent="0.3">
      <c r="D673" s="63" t="s">
        <v>1048</v>
      </c>
      <c r="E673" s="63"/>
      <c r="F673" s="74" t="s">
        <v>1049</v>
      </c>
      <c r="G673" s="1"/>
      <c r="H673" s="1"/>
      <c r="I673" s="1"/>
      <c r="J673" s="1"/>
      <c r="K673" s="1"/>
      <c r="L673" s="1"/>
      <c r="M673" s="1"/>
      <c r="N673" s="1"/>
      <c r="O673" s="1"/>
      <c r="P673" s="1"/>
    </row>
    <row r="674" spans="4:16" ht="18.75" x14ac:dyDescent="0.3">
      <c r="D674" s="63" t="s">
        <v>1050</v>
      </c>
      <c r="E674" s="74" t="s">
        <v>480</v>
      </c>
      <c r="F674" s="74" t="s">
        <v>1051</v>
      </c>
      <c r="G674" s="1"/>
      <c r="H674" s="1"/>
      <c r="I674" s="1"/>
      <c r="J674" s="1"/>
      <c r="K674" s="1"/>
      <c r="L674" s="1"/>
      <c r="M674" s="1"/>
      <c r="N674" s="1"/>
      <c r="O674" s="1"/>
      <c r="P674" s="1"/>
    </row>
    <row r="675" spans="4:16" ht="18.75" x14ac:dyDescent="0.3">
      <c r="D675" s="63" t="s">
        <v>1052</v>
      </c>
      <c r="E675" s="74" t="s">
        <v>5</v>
      </c>
      <c r="F675" s="74" t="s">
        <v>1053</v>
      </c>
      <c r="G675" s="1"/>
      <c r="H675" s="1"/>
      <c r="I675" s="1"/>
      <c r="J675" s="1"/>
      <c r="K675" s="1"/>
      <c r="L675" s="1"/>
      <c r="M675" s="1"/>
      <c r="N675" s="1"/>
      <c r="O675" s="1"/>
      <c r="P675" s="1"/>
    </row>
    <row r="676" spans="4:16" ht="18.75" x14ac:dyDescent="0.3">
      <c r="D676" s="63" t="s">
        <v>1078</v>
      </c>
      <c r="E676" s="63" t="s">
        <v>512</v>
      </c>
      <c r="F676" s="74" t="s">
        <v>1079</v>
      </c>
      <c r="G676" s="1"/>
      <c r="H676" s="1"/>
      <c r="I676" s="1"/>
      <c r="J676" s="1"/>
      <c r="K676" s="1"/>
      <c r="L676" s="1"/>
      <c r="M676" s="1"/>
      <c r="N676" s="1"/>
      <c r="O676" s="1"/>
      <c r="P676" s="1"/>
    </row>
    <row r="677" spans="4:16" ht="18.75" x14ac:dyDescent="0.3">
      <c r="D677" s="63" t="s">
        <v>1054</v>
      </c>
      <c r="E677" s="63" t="s">
        <v>492</v>
      </c>
      <c r="F677" s="74" t="s">
        <v>1055</v>
      </c>
      <c r="G677" s="1"/>
      <c r="H677" s="1"/>
      <c r="I677" s="1"/>
      <c r="J677" s="1"/>
      <c r="K677" s="1"/>
      <c r="L677" s="1"/>
      <c r="M677" s="1"/>
      <c r="N677" s="1"/>
      <c r="O677" s="1"/>
      <c r="P677" s="1"/>
    </row>
    <row r="678" spans="4:16" ht="18.75" x14ac:dyDescent="0.3">
      <c r="D678" s="63" t="s">
        <v>1056</v>
      </c>
      <c r="E678" s="63" t="s">
        <v>11</v>
      </c>
      <c r="F678" s="74" t="s">
        <v>1057</v>
      </c>
      <c r="G678" s="1"/>
      <c r="H678" s="1"/>
      <c r="I678" s="1"/>
      <c r="J678" s="1"/>
      <c r="K678" s="1"/>
      <c r="L678" s="1"/>
      <c r="M678" s="1"/>
      <c r="N678" s="1"/>
      <c r="O678" s="1"/>
      <c r="P678" s="1"/>
    </row>
    <row r="679" spans="4:16" ht="18.75" x14ac:dyDescent="0.3">
      <c r="D679" s="70" t="s">
        <v>1058</v>
      </c>
      <c r="E679" s="70" t="s">
        <v>16</v>
      </c>
      <c r="F679" s="74" t="s">
        <v>1059</v>
      </c>
      <c r="G679" s="1"/>
      <c r="H679" s="1"/>
      <c r="I679" s="1"/>
      <c r="J679" s="1"/>
      <c r="K679" s="1"/>
      <c r="L679" s="1"/>
      <c r="M679" s="1"/>
      <c r="N679" s="1"/>
      <c r="O679" s="1"/>
      <c r="P679" s="1"/>
    </row>
    <row r="680" spans="4:16" ht="18.75" x14ac:dyDescent="0.3">
      <c r="D680" s="70" t="s">
        <v>1060</v>
      </c>
      <c r="E680" s="70" t="s">
        <v>18</v>
      </c>
      <c r="F680" s="74" t="s">
        <v>1061</v>
      </c>
      <c r="G680" s="1"/>
      <c r="H680" s="1"/>
      <c r="I680" s="1"/>
      <c r="J680" s="1"/>
      <c r="K680" s="1"/>
      <c r="L680" s="1"/>
      <c r="M680" s="1"/>
      <c r="N680" s="1"/>
      <c r="O680" s="1"/>
      <c r="P680" s="1"/>
    </row>
    <row r="681" spans="4:16" ht="18.75" x14ac:dyDescent="0.3">
      <c r="D681" s="70" t="s">
        <v>1062</v>
      </c>
      <c r="E681" s="70"/>
      <c r="F681" s="74" t="s">
        <v>1063</v>
      </c>
      <c r="G681" s="1"/>
      <c r="H681" s="1"/>
      <c r="I681" s="1"/>
      <c r="J681" s="1"/>
      <c r="K681" s="1"/>
      <c r="L681" s="1"/>
      <c r="M681" s="1"/>
      <c r="N681" s="1"/>
      <c r="O681" s="1"/>
      <c r="P681" s="1"/>
    </row>
    <row r="682" spans="4:16" ht="18.75" x14ac:dyDescent="0.3">
      <c r="D682" s="63" t="s">
        <v>1064</v>
      </c>
      <c r="E682" s="74" t="s">
        <v>515</v>
      </c>
      <c r="F682" s="74" t="s">
        <v>1065</v>
      </c>
      <c r="G682" s="1"/>
      <c r="H682" s="1"/>
      <c r="I682" s="1"/>
      <c r="J682" s="1"/>
      <c r="K682" s="1"/>
      <c r="L682" s="1"/>
      <c r="M682" s="1"/>
      <c r="N682" s="1"/>
      <c r="O682" s="1"/>
      <c r="P682" s="1"/>
    </row>
    <row r="683" spans="4:16" ht="18.75" x14ac:dyDescent="0.3">
      <c r="D683" s="63" t="s">
        <v>1066</v>
      </c>
      <c r="E683" s="74" t="s">
        <v>492</v>
      </c>
      <c r="F683" s="74" t="s">
        <v>1067</v>
      </c>
      <c r="G683" s="1"/>
      <c r="H683" s="1"/>
      <c r="I683" s="1"/>
      <c r="J683" s="1"/>
      <c r="K683" s="1"/>
      <c r="L683" s="1"/>
      <c r="M683" s="1"/>
      <c r="N683" s="1"/>
      <c r="O683" s="1"/>
      <c r="P683" s="1"/>
    </row>
    <row r="684" spans="4:16" ht="18.75" x14ac:dyDescent="0.3">
      <c r="D684" s="70" t="s">
        <v>1068</v>
      </c>
      <c r="E684" s="70" t="s">
        <v>26</v>
      </c>
      <c r="F684" s="74" t="s">
        <v>1069</v>
      </c>
      <c r="G684" s="1"/>
      <c r="H684" s="1"/>
      <c r="I684" s="1"/>
      <c r="J684" s="1"/>
      <c r="K684" s="1"/>
      <c r="L684" s="1"/>
      <c r="M684" s="1"/>
      <c r="N684" s="1"/>
      <c r="O684" s="1"/>
      <c r="P684" s="1"/>
    </row>
    <row r="685" spans="4:16" ht="18.75" x14ac:dyDescent="0.3">
      <c r="D685" s="63" t="s">
        <v>1070</v>
      </c>
      <c r="E685" s="74" t="s">
        <v>492</v>
      </c>
      <c r="F685" s="74" t="s">
        <v>1071</v>
      </c>
      <c r="G685" s="1"/>
      <c r="H685" s="1"/>
      <c r="I685" s="1"/>
      <c r="J685" s="1"/>
      <c r="K685" s="1"/>
      <c r="L685" s="1"/>
      <c r="M685" s="1"/>
      <c r="N685" s="1"/>
      <c r="O685" s="1"/>
      <c r="P685" s="1"/>
    </row>
    <row r="686" spans="4:16" ht="18.75" x14ac:dyDescent="0.3">
      <c r="D686" s="70" t="s">
        <v>1072</v>
      </c>
      <c r="E686" s="70" t="s">
        <v>477</v>
      </c>
      <c r="F686" s="74" t="s">
        <v>1073</v>
      </c>
      <c r="G686" s="1"/>
      <c r="H686" s="1"/>
      <c r="I686" s="1"/>
      <c r="J686" s="1"/>
      <c r="K686" s="1"/>
      <c r="L686" s="1"/>
      <c r="M686" s="1"/>
      <c r="N686" s="1"/>
      <c r="O686" s="1"/>
      <c r="P686" s="1"/>
    </row>
    <row r="687" spans="4:16" ht="18.75" x14ac:dyDescent="0.3">
      <c r="D687" s="63" t="s">
        <v>1074</v>
      </c>
      <c r="E687" s="74" t="s">
        <v>455</v>
      </c>
      <c r="F687" s="74" t="s">
        <v>1075</v>
      </c>
      <c r="G687" s="1"/>
      <c r="H687" s="1"/>
      <c r="I687" s="1"/>
      <c r="J687" s="1"/>
      <c r="K687" s="1"/>
      <c r="L687" s="1"/>
      <c r="M687" s="1"/>
      <c r="N687" s="1"/>
      <c r="O687" s="1"/>
      <c r="P687" s="1"/>
    </row>
    <row r="688" spans="4:16" ht="18.75" x14ac:dyDescent="0.3">
      <c r="D688" s="63" t="s">
        <v>1076</v>
      </c>
      <c r="E688" s="63" t="s">
        <v>492</v>
      </c>
      <c r="F688" s="74" t="s">
        <v>1077</v>
      </c>
      <c r="G688" s="1"/>
      <c r="H688" s="1"/>
      <c r="I688" s="1"/>
      <c r="J688" s="1"/>
      <c r="K688" s="1"/>
      <c r="L688" s="1"/>
      <c r="M688" s="1"/>
      <c r="N688" s="1"/>
      <c r="O688" s="1"/>
      <c r="P688" s="1"/>
    </row>
    <row r="689" spans="4:16" ht="18.75" x14ac:dyDescent="0.3">
      <c r="D689" s="70" t="s">
        <v>1080</v>
      </c>
      <c r="E689" s="70" t="s">
        <v>18</v>
      </c>
      <c r="F689" s="74" t="s">
        <v>1081</v>
      </c>
      <c r="G689" s="1"/>
      <c r="H689" s="1"/>
      <c r="I689" s="1"/>
      <c r="J689" s="1"/>
      <c r="K689" s="1"/>
      <c r="L689" s="1"/>
      <c r="M689" s="1"/>
      <c r="N689" s="1"/>
      <c r="O689" s="1"/>
      <c r="P689" s="1"/>
    </row>
    <row r="690" spans="4:16" ht="18.75" x14ac:dyDescent="0.3">
      <c r="D690" s="63" t="s">
        <v>1082</v>
      </c>
      <c r="E690" s="63" t="s">
        <v>5</v>
      </c>
      <c r="F690" s="74" t="s">
        <v>1083</v>
      </c>
      <c r="G690" s="1"/>
      <c r="H690" s="1"/>
      <c r="I690" s="1"/>
      <c r="J690" s="1"/>
      <c r="K690" s="1"/>
      <c r="L690" s="1"/>
      <c r="M690" s="1"/>
      <c r="N690" s="1"/>
      <c r="O690" s="1"/>
      <c r="P690" s="1"/>
    </row>
    <row r="691" spans="4:16" ht="18.75" x14ac:dyDescent="0.3">
      <c r="D691" s="63" t="s">
        <v>1084</v>
      </c>
      <c r="E691" s="63" t="s">
        <v>515</v>
      </c>
      <c r="F691" s="74" t="s">
        <v>1085</v>
      </c>
      <c r="G691" s="1"/>
      <c r="H691" s="1"/>
      <c r="I691" s="1"/>
      <c r="J691" s="1"/>
      <c r="K691" s="1"/>
      <c r="L691" s="1"/>
      <c r="M691" s="1"/>
      <c r="N691" s="1"/>
      <c r="O691" s="1"/>
      <c r="P691" s="1"/>
    </row>
    <row r="692" spans="4:16" ht="18.75" x14ac:dyDescent="0.3">
      <c r="D692" s="63" t="s">
        <v>1086</v>
      </c>
      <c r="E692" s="63"/>
      <c r="F692" s="74" t="s">
        <v>1087</v>
      </c>
      <c r="G692" s="1"/>
      <c r="H692" s="1"/>
      <c r="I692" s="1"/>
      <c r="J692" s="1"/>
      <c r="K692" s="1"/>
      <c r="L692" s="1"/>
      <c r="M692" s="1"/>
      <c r="N692" s="1"/>
      <c r="O692" s="1"/>
      <c r="P692" s="1"/>
    </row>
    <row r="693" spans="4:16" ht="18.75" x14ac:dyDescent="0.3">
      <c r="D693" s="63" t="s">
        <v>1088</v>
      </c>
      <c r="E693" s="63" t="s">
        <v>455</v>
      </c>
      <c r="F693" s="74" t="s">
        <v>1089</v>
      </c>
      <c r="G693" s="1"/>
      <c r="H693" s="1"/>
      <c r="I693" s="1"/>
      <c r="J693" s="1"/>
      <c r="K693" s="1"/>
      <c r="L693" s="1"/>
      <c r="M693" s="1"/>
      <c r="N693" s="1"/>
      <c r="O693" s="1"/>
      <c r="P693" s="1"/>
    </row>
    <row r="694" spans="4:16" ht="18.75" x14ac:dyDescent="0.3">
      <c r="D694" s="63" t="s">
        <v>1090</v>
      </c>
      <c r="E694" s="63"/>
      <c r="F694" s="74" t="s">
        <v>1091</v>
      </c>
      <c r="G694" s="1"/>
      <c r="H694" s="1"/>
      <c r="I694" s="1"/>
      <c r="J694" s="1"/>
      <c r="K694" s="1"/>
      <c r="L694" s="1"/>
      <c r="M694" s="1"/>
      <c r="N694" s="1"/>
      <c r="O694" s="1"/>
      <c r="P694" s="1"/>
    </row>
    <row r="695" spans="4:16" ht="18.75" x14ac:dyDescent="0.3">
      <c r="D695" s="70" t="s">
        <v>1092</v>
      </c>
      <c r="E695" s="70" t="s">
        <v>548</v>
      </c>
      <c r="F695" s="74" t="s">
        <v>1093</v>
      </c>
      <c r="G695" s="1"/>
      <c r="H695" s="1"/>
      <c r="I695" s="1"/>
      <c r="J695" s="1"/>
      <c r="K695" s="1"/>
      <c r="L695" s="1"/>
      <c r="M695" s="1"/>
      <c r="N695" s="1"/>
      <c r="O695" s="1"/>
      <c r="P695" s="1"/>
    </row>
    <row r="696" spans="4:16" ht="18.75" x14ac:dyDescent="0.3">
      <c r="D696" s="70" t="s">
        <v>1094</v>
      </c>
      <c r="E696" s="70" t="s">
        <v>515</v>
      </c>
      <c r="F696" s="74" t="s">
        <v>1095</v>
      </c>
      <c r="G696" s="1"/>
      <c r="H696" s="1"/>
      <c r="I696" s="1"/>
      <c r="J696" s="1"/>
      <c r="K696" s="1"/>
      <c r="L696" s="1"/>
      <c r="M696" s="1"/>
      <c r="N696" s="1"/>
      <c r="O696" s="1"/>
      <c r="P696" s="1"/>
    </row>
    <row r="697" spans="4:16" ht="18.75" x14ac:dyDescent="0.3">
      <c r="D697" s="63" t="s">
        <v>1096</v>
      </c>
      <c r="E697" s="74" t="s">
        <v>5</v>
      </c>
      <c r="F697" s="74" t="s">
        <v>1097</v>
      </c>
      <c r="G697" s="1"/>
      <c r="H697" s="1"/>
      <c r="I697" s="1"/>
      <c r="J697" s="1"/>
      <c r="K697" s="1"/>
      <c r="L697" s="1"/>
      <c r="M697" s="1"/>
      <c r="N697" s="1"/>
      <c r="O697" s="1"/>
      <c r="P697" s="1"/>
    </row>
    <row r="698" spans="4:16" ht="18.75" x14ac:dyDescent="0.3">
      <c r="D698" s="70" t="s">
        <v>1098</v>
      </c>
      <c r="E698" s="70" t="s">
        <v>31</v>
      </c>
      <c r="F698" s="74" t="s">
        <v>1099</v>
      </c>
      <c r="G698" s="1"/>
      <c r="H698" s="1"/>
      <c r="I698" s="1"/>
      <c r="J698" s="1"/>
      <c r="K698" s="1"/>
      <c r="L698" s="1"/>
      <c r="M698" s="1"/>
      <c r="N698" s="1"/>
      <c r="O698" s="1"/>
      <c r="P698" s="1"/>
    </row>
    <row r="699" spans="4:16" ht="18.75" x14ac:dyDescent="0.3">
      <c r="D699" s="63" t="s">
        <v>1100</v>
      </c>
      <c r="E699" s="63" t="s">
        <v>477</v>
      </c>
      <c r="F699" s="74" t="s">
        <v>1101</v>
      </c>
      <c r="G699" s="1"/>
      <c r="H699" s="1"/>
      <c r="I699" s="1"/>
      <c r="J699" s="1"/>
      <c r="K699" s="1"/>
      <c r="L699" s="1"/>
      <c r="M699" s="1"/>
      <c r="N699" s="1"/>
      <c r="O699" s="1"/>
      <c r="P699" s="1"/>
    </row>
    <row r="700" spans="4:16" ht="18.75" x14ac:dyDescent="0.3">
      <c r="D700" s="70" t="s">
        <v>1102</v>
      </c>
      <c r="E700" s="70" t="s">
        <v>1103</v>
      </c>
      <c r="F700" s="74" t="s">
        <v>1104</v>
      </c>
      <c r="G700" s="1"/>
      <c r="H700" s="1"/>
      <c r="I700" s="1"/>
      <c r="J700" s="1"/>
      <c r="K700" s="1"/>
      <c r="L700" s="1"/>
      <c r="M700" s="1"/>
      <c r="N700" s="1"/>
      <c r="O700" s="1"/>
      <c r="P700" s="1"/>
    </row>
    <row r="701" spans="4:16" ht="18.75" x14ac:dyDescent="0.3">
      <c r="D701" s="63" t="s">
        <v>1105</v>
      </c>
      <c r="E701" s="63" t="s">
        <v>492</v>
      </c>
      <c r="F701" s="74" t="s">
        <v>1106</v>
      </c>
      <c r="G701" s="1"/>
      <c r="H701" s="1"/>
      <c r="I701" s="1"/>
      <c r="J701" s="1"/>
      <c r="K701" s="1"/>
      <c r="L701" s="1"/>
      <c r="M701" s="1"/>
      <c r="N701" s="1"/>
      <c r="O701" s="1"/>
      <c r="P701" s="1"/>
    </row>
    <row r="702" spans="4:16" ht="18.75" x14ac:dyDescent="0.3">
      <c r="D702" s="63" t="s">
        <v>1107</v>
      </c>
      <c r="E702" s="63" t="s">
        <v>467</v>
      </c>
      <c r="F702" s="74" t="s">
        <v>1108</v>
      </c>
      <c r="G702" s="1"/>
      <c r="H702" s="1"/>
      <c r="I702" s="1"/>
      <c r="J702" s="1"/>
      <c r="K702" s="1"/>
      <c r="L702" s="1"/>
      <c r="M702" s="1"/>
      <c r="N702" s="1"/>
      <c r="O702" s="1"/>
      <c r="P702" s="1"/>
    </row>
    <row r="703" spans="4:16" ht="18.75" x14ac:dyDescent="0.3">
      <c r="D703" s="70" t="s">
        <v>1109</v>
      </c>
      <c r="E703" s="70" t="s">
        <v>16</v>
      </c>
      <c r="F703" s="74" t="s">
        <v>1110</v>
      </c>
      <c r="G703" s="1"/>
      <c r="H703" s="1"/>
      <c r="I703" s="1"/>
      <c r="J703" s="1"/>
      <c r="K703" s="1"/>
      <c r="L703" s="1"/>
      <c r="M703" s="1"/>
      <c r="N703" s="1"/>
      <c r="O703" s="1"/>
      <c r="P703" s="1"/>
    </row>
    <row r="704" spans="4:16" ht="18.75" x14ac:dyDescent="0.3">
      <c r="D704" s="70" t="s">
        <v>1111</v>
      </c>
      <c r="E704" s="70" t="s">
        <v>26</v>
      </c>
      <c r="F704" s="74" t="s">
        <v>1112</v>
      </c>
      <c r="G704" s="1"/>
      <c r="H704" s="1"/>
      <c r="I704" s="1"/>
      <c r="J704" s="1"/>
      <c r="K704" s="1"/>
      <c r="L704" s="1"/>
      <c r="M704" s="1"/>
      <c r="N704" s="1"/>
      <c r="O704" s="1"/>
      <c r="P704" s="1"/>
    </row>
    <row r="705" spans="4:16" ht="18.75" x14ac:dyDescent="0.3">
      <c r="D705" s="63" t="s">
        <v>1113</v>
      </c>
      <c r="E705" s="63" t="s">
        <v>11</v>
      </c>
      <c r="F705" s="74" t="s">
        <v>1114</v>
      </c>
      <c r="G705" s="1"/>
      <c r="H705" s="1"/>
      <c r="I705" s="1"/>
      <c r="J705" s="1"/>
      <c r="K705" s="1"/>
      <c r="L705" s="1"/>
      <c r="M705" s="1"/>
      <c r="N705" s="1"/>
      <c r="O705" s="1"/>
      <c r="P705" s="1"/>
    </row>
    <row r="706" spans="4:16" ht="18.75" x14ac:dyDescent="0.3">
      <c r="D706" s="63" t="s">
        <v>1115</v>
      </c>
      <c r="E706" s="63" t="s">
        <v>490</v>
      </c>
      <c r="F706" s="74" t="s">
        <v>1116</v>
      </c>
      <c r="G706" s="1"/>
      <c r="H706" s="1"/>
      <c r="I706" s="1"/>
      <c r="J706" s="1"/>
      <c r="K706" s="1"/>
      <c r="L706" s="1"/>
      <c r="M706" s="1"/>
      <c r="N706" s="1"/>
      <c r="O706" s="1"/>
      <c r="P706" s="1"/>
    </row>
    <row r="707" spans="4:16" ht="18.75" x14ac:dyDescent="0.3">
      <c r="D707" s="70" t="s">
        <v>1117</v>
      </c>
      <c r="E707" s="70" t="s">
        <v>16</v>
      </c>
      <c r="F707" s="74" t="s">
        <v>1118</v>
      </c>
      <c r="G707" s="1"/>
      <c r="H707" s="1"/>
      <c r="I707" s="1"/>
      <c r="J707" s="1"/>
      <c r="K707" s="1"/>
      <c r="L707" s="1"/>
      <c r="M707" s="1"/>
      <c r="N707" s="1"/>
      <c r="O707" s="1"/>
      <c r="P707" s="1"/>
    </row>
    <row r="708" spans="4:16" ht="18.75" x14ac:dyDescent="0.3">
      <c r="D708" s="63" t="s">
        <v>1119</v>
      </c>
      <c r="E708" s="63" t="s">
        <v>455</v>
      </c>
      <c r="F708" s="74" t="s">
        <v>1120</v>
      </c>
      <c r="G708" s="1"/>
      <c r="H708" s="1"/>
      <c r="I708" s="1"/>
      <c r="J708" s="1"/>
      <c r="K708" s="1"/>
      <c r="L708" s="1"/>
      <c r="M708" s="1"/>
      <c r="N708" s="1"/>
      <c r="O708" s="1"/>
      <c r="P708" s="1"/>
    </row>
    <row r="709" spans="4:16" ht="18.75" x14ac:dyDescent="0.3">
      <c r="D709" s="70" t="s">
        <v>1121</v>
      </c>
      <c r="E709" s="70" t="s">
        <v>26</v>
      </c>
      <c r="F709" s="74" t="s">
        <v>1122</v>
      </c>
      <c r="G709" s="1"/>
      <c r="H709" s="1"/>
      <c r="I709" s="1"/>
      <c r="J709" s="1"/>
      <c r="K709" s="1"/>
      <c r="L709" s="1"/>
      <c r="M709" s="1"/>
      <c r="N709" s="1"/>
      <c r="O709" s="1"/>
      <c r="P709" s="1"/>
    </row>
    <row r="710" spans="4:16" ht="18.75" x14ac:dyDescent="0.3">
      <c r="D710" s="63" t="s">
        <v>1123</v>
      </c>
      <c r="E710" s="63" t="s">
        <v>515</v>
      </c>
      <c r="F710" s="74" t="s">
        <v>1124</v>
      </c>
      <c r="G710" s="1"/>
      <c r="H710" s="1"/>
      <c r="I710" s="1"/>
      <c r="J710" s="1"/>
      <c r="K710" s="1"/>
      <c r="L710" s="1"/>
      <c r="M710" s="1"/>
      <c r="N710" s="1"/>
      <c r="O710" s="1"/>
      <c r="P710" s="1"/>
    </row>
    <row r="711" spans="4:16" ht="18.75" x14ac:dyDescent="0.3">
      <c r="D711" s="70" t="s">
        <v>1125</v>
      </c>
      <c r="E711" s="70" t="s">
        <v>1126</v>
      </c>
      <c r="F711" s="74" t="s">
        <v>1127</v>
      </c>
      <c r="G711" s="1"/>
      <c r="H711" s="1"/>
      <c r="I711" s="1"/>
      <c r="J711" s="1"/>
      <c r="K711" s="1"/>
      <c r="L711" s="1"/>
      <c r="M711" s="1"/>
      <c r="N711" s="1"/>
      <c r="O711" s="1"/>
      <c r="P711" s="1"/>
    </row>
    <row r="712" spans="4:16" ht="18.75" x14ac:dyDescent="0.3">
      <c r="D712" s="63" t="s">
        <v>1128</v>
      </c>
      <c r="E712" s="63" t="s">
        <v>1129</v>
      </c>
      <c r="F712" s="74" t="s">
        <v>1130</v>
      </c>
      <c r="G712" s="1"/>
      <c r="H712" s="1"/>
      <c r="I712" s="1"/>
      <c r="J712" s="1"/>
      <c r="K712" s="1"/>
      <c r="L712" s="1"/>
      <c r="M712" s="1"/>
      <c r="N712" s="1"/>
      <c r="O712" s="1"/>
      <c r="P712" s="1"/>
    </row>
    <row r="713" spans="4:16" ht="18.75" x14ac:dyDescent="0.3">
      <c r="D713" s="63" t="s">
        <v>1131</v>
      </c>
      <c r="E713" s="74" t="s">
        <v>492</v>
      </c>
      <c r="F713" s="74" t="s">
        <v>1132</v>
      </c>
      <c r="G713" s="1"/>
      <c r="H713" s="1"/>
      <c r="I713" s="1"/>
      <c r="J713" s="1"/>
      <c r="K713" s="1"/>
      <c r="L713" s="1"/>
      <c r="M713" s="1"/>
      <c r="N713" s="1"/>
      <c r="O713" s="1"/>
      <c r="P713" s="1"/>
    </row>
    <row r="714" spans="4:16" ht="18.75" x14ac:dyDescent="0.3">
      <c r="D714" s="63" t="s">
        <v>1133</v>
      </c>
      <c r="E714" s="63" t="s">
        <v>463</v>
      </c>
      <c r="F714" s="74" t="s">
        <v>1134</v>
      </c>
      <c r="G714" s="1"/>
      <c r="H714" s="1"/>
      <c r="I714" s="1"/>
      <c r="J714" s="1"/>
      <c r="K714" s="1"/>
      <c r="L714" s="1"/>
      <c r="M714" s="1"/>
      <c r="N714" s="1"/>
      <c r="O714" s="1"/>
      <c r="P714" s="1"/>
    </row>
    <row r="715" spans="4:16" ht="18.75" x14ac:dyDescent="0.3">
      <c r="D715" s="70" t="s">
        <v>1135</v>
      </c>
      <c r="E715" s="70" t="s">
        <v>18</v>
      </c>
      <c r="F715" s="74" t="s">
        <v>1136</v>
      </c>
      <c r="G715" s="1"/>
      <c r="H715" s="1"/>
      <c r="I715" s="1"/>
      <c r="J715" s="1"/>
      <c r="K715" s="1"/>
      <c r="L715" s="1"/>
      <c r="M715" s="1"/>
      <c r="N715" s="1"/>
      <c r="O715" s="1"/>
      <c r="P715" s="1"/>
    </row>
    <row r="716" spans="4:16" ht="18.75" x14ac:dyDescent="0.3">
      <c r="D716" s="63" t="s">
        <v>1137</v>
      </c>
      <c r="E716" s="63"/>
      <c r="F716" s="74" t="s">
        <v>1138</v>
      </c>
      <c r="G716" s="1"/>
      <c r="H716" s="1"/>
      <c r="I716" s="1"/>
      <c r="J716" s="1"/>
      <c r="K716" s="1"/>
      <c r="L716" s="1"/>
      <c r="M716" s="1"/>
      <c r="N716" s="1"/>
      <c r="O716" s="1"/>
      <c r="P716" s="1"/>
    </row>
    <row r="717" spans="4:16" ht="18.75" x14ac:dyDescent="0.3">
      <c r="D717" s="63" t="s">
        <v>1139</v>
      </c>
      <c r="E717" s="63" t="s">
        <v>11</v>
      </c>
      <c r="F717" s="74" t="s">
        <v>1140</v>
      </c>
      <c r="G717" s="1"/>
      <c r="H717" s="1"/>
      <c r="I717" s="1"/>
      <c r="J717" s="1"/>
      <c r="K717" s="1"/>
      <c r="L717" s="1"/>
      <c r="M717" s="1"/>
      <c r="N717" s="1"/>
      <c r="O717" s="1"/>
      <c r="P717" s="1"/>
    </row>
    <row r="718" spans="4:16" ht="18.75" x14ac:dyDescent="0.3">
      <c r="D718" s="63" t="s">
        <v>1141</v>
      </c>
      <c r="E718" s="63" t="s">
        <v>480</v>
      </c>
      <c r="F718" s="74" t="s">
        <v>1142</v>
      </c>
      <c r="G718" s="1"/>
      <c r="H718" s="1"/>
      <c r="I718" s="1"/>
      <c r="J718" s="1"/>
      <c r="K718" s="1"/>
      <c r="L718" s="1"/>
      <c r="M718" s="1"/>
      <c r="N718" s="1"/>
      <c r="O718" s="1"/>
      <c r="P718" s="1"/>
    </row>
    <row r="719" spans="4:16" ht="18.75" x14ac:dyDescent="0.3">
      <c r="D719" s="70" t="s">
        <v>1143</v>
      </c>
      <c r="E719" s="70" t="s">
        <v>463</v>
      </c>
      <c r="F719" s="74" t="s">
        <v>1144</v>
      </c>
      <c r="G719" s="1"/>
      <c r="H719" s="1"/>
      <c r="I719" s="1"/>
      <c r="J719" s="1"/>
      <c r="K719" s="1"/>
      <c r="L719" s="1"/>
      <c r="M719" s="1"/>
      <c r="N719" s="1"/>
      <c r="O719" s="1"/>
      <c r="P719" s="1"/>
    </row>
    <row r="720" spans="4:16" ht="18.75" x14ac:dyDescent="0.3">
      <c r="D720" s="63" t="s">
        <v>1145</v>
      </c>
      <c r="E720" s="63" t="s">
        <v>463</v>
      </c>
      <c r="F720" s="74" t="s">
        <v>1146</v>
      </c>
      <c r="G720" s="1"/>
      <c r="H720" s="1"/>
      <c r="I720" s="1"/>
      <c r="J720" s="1"/>
      <c r="K720" s="1"/>
      <c r="L720" s="1"/>
      <c r="M720" s="1"/>
      <c r="N720" s="1"/>
      <c r="O720" s="1"/>
      <c r="P720" s="1"/>
    </row>
    <row r="721" spans="4:16" ht="18.75" x14ac:dyDescent="0.3">
      <c r="D721" s="63" t="s">
        <v>1147</v>
      </c>
      <c r="E721" s="74" t="s">
        <v>5</v>
      </c>
      <c r="F721" s="74" t="s">
        <v>1148</v>
      </c>
      <c r="G721" s="1"/>
      <c r="H721" s="1"/>
      <c r="I721" s="1"/>
      <c r="J721" s="1"/>
      <c r="K721" s="1"/>
      <c r="L721" s="1"/>
      <c r="M721" s="1"/>
      <c r="N721" s="1"/>
      <c r="O721" s="1"/>
      <c r="P721" s="1"/>
    </row>
    <row r="722" spans="4:16" ht="18.75" x14ac:dyDescent="0.3">
      <c r="D722" s="70" t="s">
        <v>1149</v>
      </c>
      <c r="E722" s="70" t="s">
        <v>16</v>
      </c>
      <c r="F722" s="74" t="s">
        <v>1150</v>
      </c>
      <c r="G722" s="1"/>
      <c r="H722" s="1"/>
      <c r="I722" s="1"/>
      <c r="J722" s="1"/>
      <c r="K722" s="1"/>
      <c r="L722" s="1"/>
      <c r="M722" s="1"/>
      <c r="N722" s="1"/>
      <c r="O722" s="1"/>
      <c r="P722" s="1"/>
    </row>
    <row r="723" spans="4:16" ht="18.75" x14ac:dyDescent="0.25">
      <c r="D723" s="74" t="s">
        <v>1151</v>
      </c>
      <c r="E723" s="74" t="s">
        <v>455</v>
      </c>
      <c r="F723" s="74" t="s">
        <v>1152</v>
      </c>
      <c r="G723" s="1"/>
      <c r="H723" s="1"/>
      <c r="I723" s="1"/>
      <c r="J723" s="1"/>
      <c r="K723" s="1"/>
      <c r="L723" s="1"/>
      <c r="M723" s="1"/>
      <c r="N723" s="1"/>
      <c r="O723" s="1"/>
      <c r="P723" s="1"/>
    </row>
    <row r="724" spans="4:16" ht="18.75" x14ac:dyDescent="0.3">
      <c r="D724" s="63" t="s">
        <v>1153</v>
      </c>
      <c r="E724" s="63" t="s">
        <v>16</v>
      </c>
      <c r="F724" s="74" t="s">
        <v>1154</v>
      </c>
      <c r="G724" s="1"/>
      <c r="H724" s="1"/>
      <c r="I724" s="1"/>
      <c r="J724" s="1"/>
      <c r="K724" s="1"/>
      <c r="L724" s="1"/>
      <c r="M724" s="1"/>
      <c r="N724" s="1"/>
      <c r="O724" s="1"/>
      <c r="P724" s="1"/>
    </row>
    <row r="725" spans="4:16" ht="18.75" x14ac:dyDescent="0.3">
      <c r="D725" s="63" t="s">
        <v>1155</v>
      </c>
      <c r="E725" s="63"/>
      <c r="F725" s="74" t="s">
        <v>1156</v>
      </c>
      <c r="G725" s="1"/>
      <c r="H725" s="1"/>
      <c r="I725" s="1"/>
      <c r="J725" s="1"/>
      <c r="K725" s="1"/>
      <c r="L725" s="1"/>
      <c r="M725" s="1"/>
      <c r="N725" s="1"/>
      <c r="O725" s="1"/>
      <c r="P725" s="1"/>
    </row>
    <row r="726" spans="4:16" ht="18.75" x14ac:dyDescent="0.3">
      <c r="D726" s="70" t="s">
        <v>1157</v>
      </c>
      <c r="E726" s="70"/>
      <c r="F726" s="74" t="s">
        <v>1158</v>
      </c>
      <c r="G726" s="1"/>
      <c r="H726" s="1"/>
      <c r="I726" s="1"/>
      <c r="J726" s="1"/>
      <c r="K726" s="1"/>
      <c r="L726" s="1"/>
      <c r="M726" s="1"/>
      <c r="N726" s="1"/>
      <c r="O726" s="1"/>
      <c r="P726" s="1"/>
    </row>
    <row r="727" spans="4:16" ht="18.75" x14ac:dyDescent="0.3">
      <c r="D727" s="63" t="s">
        <v>1159</v>
      </c>
      <c r="E727" s="63" t="s">
        <v>455</v>
      </c>
      <c r="F727" s="74" t="s">
        <v>1160</v>
      </c>
      <c r="G727" s="1"/>
      <c r="H727" s="1"/>
      <c r="I727" s="1"/>
      <c r="J727" s="1"/>
      <c r="K727" s="1"/>
      <c r="L727" s="1"/>
      <c r="M727" s="1"/>
      <c r="N727" s="1"/>
      <c r="O727" s="1"/>
      <c r="P727" s="1"/>
    </row>
    <row r="728" spans="4:16" ht="18.75" x14ac:dyDescent="0.3">
      <c r="D728" s="70" t="s">
        <v>1161</v>
      </c>
      <c r="E728" s="70" t="s">
        <v>18</v>
      </c>
      <c r="F728" s="74" t="s">
        <v>1162</v>
      </c>
      <c r="G728" s="1"/>
      <c r="H728" s="1"/>
      <c r="I728" s="1"/>
      <c r="J728" s="1"/>
      <c r="K728" s="1"/>
      <c r="L728" s="1"/>
      <c r="M728" s="1"/>
      <c r="N728" s="1"/>
      <c r="O728" s="1"/>
      <c r="P728" s="1"/>
    </row>
    <row r="729" spans="4:16" ht="18.75" x14ac:dyDescent="0.3">
      <c r="D729" s="63" t="s">
        <v>1163</v>
      </c>
      <c r="E729" s="63" t="s">
        <v>480</v>
      </c>
      <c r="F729" s="74" t="s">
        <v>1164</v>
      </c>
      <c r="G729" s="1"/>
      <c r="H729" s="1"/>
      <c r="I729" s="1"/>
      <c r="J729" s="1"/>
      <c r="K729" s="1"/>
      <c r="L729" s="1"/>
      <c r="M729" s="1"/>
      <c r="N729" s="1"/>
      <c r="O729" s="1"/>
      <c r="P729" s="1"/>
    </row>
    <row r="730" spans="4:16" ht="18.75" x14ac:dyDescent="0.25">
      <c r="D730" s="74" t="s">
        <v>1165</v>
      </c>
      <c r="E730" s="74" t="s">
        <v>492</v>
      </c>
      <c r="F730" s="74" t="s">
        <v>1166</v>
      </c>
      <c r="G730" s="1"/>
      <c r="H730" s="1"/>
      <c r="I730" s="1"/>
      <c r="J730" s="1"/>
      <c r="K730" s="1"/>
      <c r="L730" s="1"/>
      <c r="M730" s="1"/>
      <c r="N730" s="1"/>
      <c r="O730" s="1"/>
      <c r="P730" s="1"/>
    </row>
    <row r="731" spans="4:16" ht="18.75" x14ac:dyDescent="0.25">
      <c r="D731" s="74" t="s">
        <v>1167</v>
      </c>
      <c r="E731" s="74" t="s">
        <v>1168</v>
      </c>
      <c r="F731" s="74" t="s">
        <v>1169</v>
      </c>
      <c r="G731" s="1"/>
      <c r="H731" s="1"/>
      <c r="I731" s="1"/>
      <c r="J731" s="1"/>
      <c r="K731" s="1"/>
      <c r="L731" s="1"/>
      <c r="M731" s="1"/>
      <c r="N731" s="1"/>
      <c r="O731" s="1"/>
      <c r="P731" s="1"/>
    </row>
    <row r="732" spans="4:16" ht="18.75" x14ac:dyDescent="0.3">
      <c r="D732" s="63" t="s">
        <v>1170</v>
      </c>
      <c r="E732" s="63" t="s">
        <v>5</v>
      </c>
      <c r="F732" s="74" t="s">
        <v>1171</v>
      </c>
      <c r="G732" s="1"/>
      <c r="H732" s="1"/>
      <c r="I732" s="1"/>
      <c r="J732" s="1"/>
      <c r="K732" s="1"/>
      <c r="L732" s="1"/>
      <c r="M732" s="1"/>
      <c r="N732" s="1"/>
      <c r="O732" s="1"/>
      <c r="P732" s="1"/>
    </row>
    <row r="733" spans="4:16" ht="18.75" x14ac:dyDescent="0.25">
      <c r="D733" s="74" t="s">
        <v>1172</v>
      </c>
      <c r="E733" s="74" t="s">
        <v>492</v>
      </c>
      <c r="F733" s="74" t="s">
        <v>1173</v>
      </c>
      <c r="G733" s="1"/>
      <c r="H733" s="1"/>
      <c r="I733" s="1"/>
      <c r="J733" s="1"/>
      <c r="K733" s="1"/>
      <c r="L733" s="1"/>
      <c r="M733" s="1"/>
      <c r="N733" s="1"/>
      <c r="O733" s="1"/>
      <c r="P733" s="1"/>
    </row>
    <row r="734" spans="4:16" ht="18.75" x14ac:dyDescent="0.3">
      <c r="D734" s="63" t="s">
        <v>1174</v>
      </c>
      <c r="E734" s="63" t="s">
        <v>455</v>
      </c>
      <c r="F734" s="74" t="s">
        <v>1175</v>
      </c>
      <c r="G734" s="1"/>
      <c r="H734" s="1"/>
      <c r="I734" s="1"/>
      <c r="J734" s="1"/>
      <c r="K734" s="1"/>
      <c r="L734" s="1"/>
      <c r="M734" s="1"/>
      <c r="N734" s="1"/>
      <c r="O734" s="1"/>
      <c r="P734" s="1"/>
    </row>
    <row r="735" spans="4:16" ht="18.75" x14ac:dyDescent="0.3">
      <c r="D735" s="70" t="s">
        <v>1176</v>
      </c>
      <c r="E735" s="70" t="s">
        <v>5</v>
      </c>
      <c r="F735" s="74" t="s">
        <v>1177</v>
      </c>
      <c r="G735" s="1"/>
      <c r="H735" s="1"/>
      <c r="I735" s="1"/>
      <c r="J735" s="1"/>
      <c r="K735" s="1"/>
      <c r="L735" s="1"/>
      <c r="M735" s="1"/>
      <c r="N735" s="1"/>
      <c r="O735" s="1"/>
      <c r="P735" s="1"/>
    </row>
    <row r="736" spans="4:16" ht="18.75" x14ac:dyDescent="0.3">
      <c r="D736" s="70" t="s">
        <v>1178</v>
      </c>
      <c r="E736" s="70" t="s">
        <v>477</v>
      </c>
      <c r="F736" s="74" t="s">
        <v>1179</v>
      </c>
      <c r="G736" s="1"/>
      <c r="H736" s="1"/>
      <c r="I736" s="1"/>
      <c r="J736" s="1"/>
      <c r="K736" s="1"/>
      <c r="L736" s="1"/>
      <c r="M736" s="1"/>
      <c r="N736" s="1"/>
      <c r="O736" s="1"/>
      <c r="P736" s="1"/>
    </row>
    <row r="737" spans="4:16" ht="18.75" x14ac:dyDescent="0.3">
      <c r="D737" s="63" t="s">
        <v>1180</v>
      </c>
      <c r="E737" s="63" t="s">
        <v>5</v>
      </c>
      <c r="F737" s="74" t="s">
        <v>1181</v>
      </c>
      <c r="G737" s="1"/>
      <c r="H737" s="1"/>
      <c r="I737" s="1"/>
      <c r="J737" s="1"/>
      <c r="K737" s="1"/>
      <c r="L737" s="1"/>
      <c r="M737" s="1"/>
      <c r="N737" s="1"/>
      <c r="O737" s="1"/>
      <c r="P737" s="1"/>
    </row>
    <row r="738" spans="4:16" ht="18.75" x14ac:dyDescent="0.3">
      <c r="D738" s="63" t="s">
        <v>1182</v>
      </c>
      <c r="E738" s="63" t="s">
        <v>480</v>
      </c>
      <c r="F738" s="74" t="s">
        <v>1183</v>
      </c>
      <c r="G738" s="1"/>
      <c r="H738" s="1"/>
      <c r="I738" s="1"/>
      <c r="J738" s="1"/>
      <c r="K738" s="1"/>
      <c r="L738" s="1"/>
      <c r="M738" s="1"/>
      <c r="N738" s="1"/>
      <c r="O738" s="1"/>
      <c r="P738" s="1"/>
    </row>
    <row r="739" spans="4:16" ht="18.75" x14ac:dyDescent="0.3">
      <c r="D739" s="63" t="s">
        <v>1184</v>
      </c>
      <c r="E739" s="63" t="s">
        <v>492</v>
      </c>
      <c r="F739" s="74" t="s">
        <v>1185</v>
      </c>
      <c r="G739" s="1"/>
      <c r="H739" s="1"/>
      <c r="I739" s="1"/>
      <c r="J739" s="1"/>
      <c r="K739" s="1"/>
      <c r="L739" s="1"/>
      <c r="M739" s="1"/>
      <c r="N739" s="1"/>
      <c r="O739" s="1"/>
      <c r="P739" s="1"/>
    </row>
    <row r="740" spans="4:16" ht="18.75" x14ac:dyDescent="0.25">
      <c r="D740" s="74" t="s">
        <v>1186</v>
      </c>
      <c r="E740" s="74" t="s">
        <v>492</v>
      </c>
      <c r="F740" s="74" t="s">
        <v>1187</v>
      </c>
      <c r="G740" s="1"/>
      <c r="H740" s="1"/>
      <c r="I740" s="1"/>
      <c r="J740" s="1"/>
      <c r="K740" s="1"/>
      <c r="L740" s="1"/>
      <c r="M740" s="1"/>
      <c r="N740" s="1"/>
      <c r="O740" s="1"/>
      <c r="P740" s="1"/>
    </row>
    <row r="741" spans="4:16" ht="18.75" x14ac:dyDescent="0.3">
      <c r="D741" s="63" t="s">
        <v>1188</v>
      </c>
      <c r="E741" s="63" t="s">
        <v>463</v>
      </c>
      <c r="F741" s="74" t="s">
        <v>1189</v>
      </c>
      <c r="G741" s="1"/>
      <c r="H741" s="1"/>
      <c r="I741" s="1"/>
      <c r="J741" s="1"/>
      <c r="K741" s="1"/>
      <c r="L741" s="1"/>
      <c r="M741" s="1"/>
      <c r="N741" s="1"/>
      <c r="O741" s="1"/>
      <c r="P741" s="1"/>
    </row>
    <row r="742" spans="4:16" ht="18.75" x14ac:dyDescent="0.25">
      <c r="D742" s="74" t="s">
        <v>1190</v>
      </c>
      <c r="E742" s="74" t="s">
        <v>515</v>
      </c>
      <c r="F742" s="74" t="s">
        <v>1191</v>
      </c>
      <c r="G742" s="1"/>
      <c r="H742" s="1"/>
      <c r="I742" s="1"/>
      <c r="J742" s="1"/>
      <c r="K742" s="1"/>
      <c r="L742" s="1"/>
      <c r="M742" s="1"/>
      <c r="N742" s="1"/>
      <c r="O742" s="1"/>
      <c r="P742" s="1"/>
    </row>
    <row r="743" spans="4:16" ht="18.75" x14ac:dyDescent="0.3">
      <c r="D743" s="70" t="s">
        <v>1192</v>
      </c>
      <c r="E743" s="70" t="s">
        <v>16</v>
      </c>
      <c r="F743" s="74" t="s">
        <v>1193</v>
      </c>
      <c r="G743" s="1"/>
      <c r="H743" s="1"/>
      <c r="I743" s="1"/>
      <c r="J743" s="1"/>
      <c r="K743" s="1"/>
      <c r="L743" s="1"/>
      <c r="M743" s="1"/>
      <c r="N743" s="1"/>
      <c r="O743" s="1"/>
      <c r="P743" s="1"/>
    </row>
    <row r="744" spans="4:16" ht="18.75" x14ac:dyDescent="0.3">
      <c r="D744" s="70" t="s">
        <v>1194</v>
      </c>
      <c r="E744" s="70" t="s">
        <v>16</v>
      </c>
      <c r="F744" s="74" t="s">
        <v>1195</v>
      </c>
      <c r="G744" s="1"/>
      <c r="H744" s="1"/>
      <c r="I744" s="1"/>
      <c r="J744" s="1"/>
      <c r="K744" s="1"/>
      <c r="L744" s="1"/>
      <c r="M744" s="1"/>
      <c r="N744" s="1"/>
      <c r="O744" s="1"/>
      <c r="P744" s="1"/>
    </row>
    <row r="745" spans="4:16" ht="18.75" x14ac:dyDescent="0.3">
      <c r="D745" s="70" t="s">
        <v>1196</v>
      </c>
      <c r="E745" s="70" t="s">
        <v>18</v>
      </c>
      <c r="F745" s="74" t="s">
        <v>1197</v>
      </c>
      <c r="G745" s="1"/>
      <c r="H745" s="1"/>
      <c r="I745" s="1"/>
      <c r="J745" s="1"/>
      <c r="K745" s="1"/>
      <c r="L745" s="1"/>
      <c r="M745" s="1"/>
      <c r="N745" s="1"/>
      <c r="O745" s="1"/>
      <c r="P745" s="1"/>
    </row>
    <row r="746" spans="4:16" ht="18.75" x14ac:dyDescent="0.3">
      <c r="D746" s="70" t="s">
        <v>1198</v>
      </c>
      <c r="E746" s="70" t="s">
        <v>31</v>
      </c>
      <c r="F746" s="74" t="s">
        <v>1199</v>
      </c>
      <c r="G746" s="1"/>
      <c r="H746" s="1"/>
      <c r="I746" s="1"/>
      <c r="J746" s="1"/>
      <c r="K746" s="1"/>
      <c r="L746" s="1"/>
      <c r="M746" s="1"/>
      <c r="N746" s="1"/>
      <c r="O746" s="1"/>
      <c r="P746" s="1"/>
    </row>
    <row r="747" spans="4:16" ht="18.75" x14ac:dyDescent="0.25">
      <c r="D747" s="74" t="s">
        <v>1200</v>
      </c>
      <c r="E747" s="74" t="s">
        <v>455</v>
      </c>
      <c r="F747" s="74" t="s">
        <v>1201</v>
      </c>
      <c r="G747" s="1"/>
      <c r="H747" s="1"/>
      <c r="I747" s="1"/>
      <c r="J747" s="1"/>
      <c r="K747" s="1"/>
      <c r="L747" s="1"/>
      <c r="M747" s="1"/>
      <c r="N747" s="1"/>
      <c r="O747" s="1"/>
      <c r="P747" s="1"/>
    </row>
    <row r="748" spans="4:16" ht="18.75" x14ac:dyDescent="0.3">
      <c r="D748" s="63" t="s">
        <v>1202</v>
      </c>
      <c r="E748" s="63" t="s">
        <v>492</v>
      </c>
      <c r="F748" s="74" t="s">
        <v>1203</v>
      </c>
      <c r="G748" s="1"/>
      <c r="H748" s="1"/>
      <c r="I748" s="1"/>
      <c r="J748" s="1"/>
      <c r="K748" s="1"/>
      <c r="L748" s="1"/>
      <c r="M748" s="1"/>
      <c r="N748" s="1"/>
      <c r="O748" s="1"/>
      <c r="P748" s="1"/>
    </row>
    <row r="749" spans="4:16" ht="18.75" x14ac:dyDescent="0.3">
      <c r="D749" s="70" t="s">
        <v>1204</v>
      </c>
      <c r="E749" s="70" t="s">
        <v>11</v>
      </c>
      <c r="F749" s="74" t="s">
        <v>1205</v>
      </c>
      <c r="G749" s="1"/>
      <c r="H749" s="1"/>
      <c r="I749" s="1"/>
      <c r="J749" s="1"/>
      <c r="K749" s="1"/>
      <c r="L749" s="1"/>
      <c r="M749" s="1"/>
      <c r="N749" s="1"/>
      <c r="O749" s="1"/>
      <c r="P749" s="1"/>
    </row>
    <row r="750" spans="4:16" ht="18.75" x14ac:dyDescent="0.3">
      <c r="D750" s="63" t="s">
        <v>1206</v>
      </c>
      <c r="E750" s="63" t="s">
        <v>7</v>
      </c>
      <c r="F750" s="74" t="s">
        <v>1207</v>
      </c>
      <c r="G750" s="1"/>
      <c r="H750" s="1"/>
      <c r="I750" s="1"/>
      <c r="J750" s="1"/>
      <c r="K750" s="1"/>
      <c r="L750" s="1"/>
      <c r="M750" s="1"/>
      <c r="N750" s="1"/>
      <c r="O750" s="1"/>
      <c r="P750" s="1"/>
    </row>
    <row r="751" spans="4:16" ht="18.75" x14ac:dyDescent="0.3">
      <c r="D751" s="63" t="s">
        <v>1208</v>
      </c>
      <c r="E751" s="63" t="s">
        <v>16</v>
      </c>
      <c r="F751" s="74" t="s">
        <v>1209</v>
      </c>
      <c r="G751" s="1"/>
      <c r="H751" s="1"/>
      <c r="I751" s="1"/>
      <c r="J751" s="1"/>
      <c r="K751" s="1"/>
      <c r="L751" s="1"/>
      <c r="M751" s="1"/>
      <c r="N751" s="1"/>
      <c r="O751" s="1"/>
      <c r="P751" s="1"/>
    </row>
    <row r="752" spans="4:16" ht="18.75" x14ac:dyDescent="0.3">
      <c r="D752" s="70" t="s">
        <v>1210</v>
      </c>
      <c r="E752" s="70" t="s">
        <v>477</v>
      </c>
      <c r="F752" s="74" t="s">
        <v>1211</v>
      </c>
      <c r="G752" s="1"/>
      <c r="H752" s="1"/>
      <c r="I752" s="1"/>
      <c r="J752" s="1"/>
      <c r="K752" s="1"/>
      <c r="L752" s="1"/>
      <c r="M752" s="1"/>
      <c r="N752" s="1"/>
      <c r="O752" s="1"/>
      <c r="P752" s="1"/>
    </row>
    <row r="753" spans="4:16" ht="18.75" x14ac:dyDescent="0.3">
      <c r="D753" s="63" t="s">
        <v>1212</v>
      </c>
      <c r="E753" s="63" t="s">
        <v>5</v>
      </c>
      <c r="F753" s="74" t="s">
        <v>1213</v>
      </c>
      <c r="G753" s="1"/>
      <c r="H753" s="1"/>
      <c r="I753" s="1"/>
      <c r="J753" s="1"/>
      <c r="K753" s="1"/>
      <c r="L753" s="1"/>
      <c r="M753" s="1"/>
      <c r="N753" s="1"/>
      <c r="O753" s="1"/>
      <c r="P753" s="1"/>
    </row>
    <row r="754" spans="4:16" ht="18.75" x14ac:dyDescent="0.3">
      <c r="D754" s="63" t="s">
        <v>1214</v>
      </c>
      <c r="E754" s="63" t="s">
        <v>524</v>
      </c>
      <c r="F754" s="74" t="s">
        <v>1215</v>
      </c>
      <c r="G754" s="1"/>
      <c r="H754" s="1"/>
      <c r="I754" s="1"/>
      <c r="J754" s="1"/>
      <c r="K754" s="1"/>
      <c r="L754" s="1"/>
      <c r="M754" s="1"/>
      <c r="N754" s="1"/>
      <c r="O754" s="1"/>
      <c r="P754" s="1"/>
    </row>
    <row r="755" spans="4:16" ht="18.75" x14ac:dyDescent="0.3">
      <c r="D755" s="63" t="s">
        <v>1216</v>
      </c>
      <c r="E755" s="63" t="s">
        <v>463</v>
      </c>
      <c r="F755" s="74" t="s">
        <v>1217</v>
      </c>
      <c r="G755" s="1"/>
      <c r="H755" s="1"/>
      <c r="I755" s="1"/>
      <c r="J755" s="1"/>
      <c r="K755" s="1"/>
      <c r="L755" s="1"/>
      <c r="M755" s="1"/>
      <c r="N755" s="1"/>
      <c r="O755" s="1"/>
      <c r="P755" s="1"/>
    </row>
    <row r="756" spans="4:16" ht="18.75" x14ac:dyDescent="0.3">
      <c r="D756" s="63" t="s">
        <v>1218</v>
      </c>
      <c r="E756" s="63" t="s">
        <v>11</v>
      </c>
      <c r="F756" s="74" t="s">
        <v>1219</v>
      </c>
      <c r="G756" s="1"/>
      <c r="H756" s="1"/>
      <c r="I756" s="1"/>
      <c r="J756" s="1"/>
      <c r="K756" s="1"/>
      <c r="L756" s="1"/>
      <c r="M756" s="1"/>
      <c r="N756" s="1"/>
      <c r="O756" s="1"/>
      <c r="P756" s="1"/>
    </row>
    <row r="757" spans="4:16" ht="18.75" x14ac:dyDescent="0.3">
      <c r="D757" s="63" t="s">
        <v>1220</v>
      </c>
      <c r="E757" s="63" t="s">
        <v>480</v>
      </c>
      <c r="F757" s="74" t="s">
        <v>1221</v>
      </c>
      <c r="G757" s="1"/>
      <c r="H757" s="1"/>
      <c r="I757" s="1"/>
      <c r="J757" s="1"/>
      <c r="K757" s="1"/>
      <c r="L757" s="1"/>
      <c r="M757" s="1"/>
      <c r="N757" s="1"/>
      <c r="O757" s="1"/>
      <c r="P757" s="1"/>
    </row>
    <row r="758" spans="4:16" ht="18.75" x14ac:dyDescent="0.3">
      <c r="D758" s="70" t="s">
        <v>1222</v>
      </c>
      <c r="E758" s="70" t="s">
        <v>7</v>
      </c>
      <c r="F758" s="74" t="s">
        <v>1223</v>
      </c>
      <c r="G758" s="1"/>
      <c r="H758" s="1"/>
      <c r="I758" s="1"/>
      <c r="J758" s="1"/>
      <c r="K758" s="1"/>
      <c r="L758" s="1"/>
      <c r="M758" s="1"/>
      <c r="N758" s="1"/>
      <c r="O758" s="1"/>
      <c r="P758" s="1"/>
    </row>
    <row r="759" spans="4:16" ht="18.75" x14ac:dyDescent="0.3">
      <c r="D759" s="70" t="s">
        <v>1224</v>
      </c>
      <c r="E759" s="70"/>
      <c r="F759" s="74" t="s">
        <v>1225</v>
      </c>
      <c r="G759" s="1"/>
      <c r="H759" s="1"/>
      <c r="I759" s="1"/>
      <c r="J759" s="1"/>
      <c r="K759" s="1"/>
      <c r="L759" s="1"/>
      <c r="M759" s="1"/>
      <c r="N759" s="1"/>
      <c r="O759" s="1"/>
      <c r="P759" s="1"/>
    </row>
    <row r="760" spans="4:16" ht="18.75" x14ac:dyDescent="0.3">
      <c r="D760" s="70" t="s">
        <v>1226</v>
      </c>
      <c r="E760" s="70" t="s">
        <v>31</v>
      </c>
      <c r="F760" s="74" t="s">
        <v>1227</v>
      </c>
      <c r="G760" s="1"/>
      <c r="H760" s="1"/>
      <c r="I760" s="1"/>
      <c r="J760" s="1"/>
      <c r="K760" s="1"/>
      <c r="L760" s="1"/>
      <c r="M760" s="1"/>
      <c r="N760" s="1"/>
      <c r="O760" s="1"/>
      <c r="P760" s="1"/>
    </row>
    <row r="761" spans="4:16" ht="18.75" x14ac:dyDescent="0.3">
      <c r="D761" s="70" t="s">
        <v>1228</v>
      </c>
      <c r="E761" s="70" t="s">
        <v>11</v>
      </c>
      <c r="F761" s="74" t="s">
        <v>1229</v>
      </c>
      <c r="G761" s="1"/>
      <c r="H761" s="1"/>
      <c r="I761" s="1"/>
      <c r="J761" s="1"/>
      <c r="K761" s="1"/>
      <c r="L761" s="1"/>
      <c r="M761" s="1"/>
      <c r="N761" s="1"/>
      <c r="O761" s="1"/>
      <c r="P761" s="1"/>
    </row>
    <row r="762" spans="4:16" ht="18.75" x14ac:dyDescent="0.3">
      <c r="D762" s="70" t="s">
        <v>1230</v>
      </c>
      <c r="E762" s="70" t="s">
        <v>26</v>
      </c>
      <c r="F762" s="74" t="s">
        <v>1231</v>
      </c>
      <c r="G762" s="1"/>
      <c r="H762" s="1"/>
      <c r="I762" s="1"/>
      <c r="J762" s="1"/>
      <c r="K762" s="1"/>
      <c r="L762" s="1"/>
      <c r="M762" s="1"/>
      <c r="N762" s="1"/>
      <c r="O762" s="1"/>
      <c r="P762" s="1"/>
    </row>
    <row r="763" spans="4:16" ht="18.75" x14ac:dyDescent="0.3">
      <c r="D763" s="63" t="s">
        <v>1232</v>
      </c>
      <c r="E763" s="63" t="s">
        <v>480</v>
      </c>
      <c r="F763" s="74" t="s">
        <v>1233</v>
      </c>
      <c r="G763" s="1"/>
      <c r="H763" s="1"/>
      <c r="I763" s="1"/>
      <c r="J763" s="1"/>
      <c r="K763" s="1"/>
      <c r="L763" s="1"/>
      <c r="M763" s="1"/>
      <c r="N763" s="1"/>
      <c r="O763" s="1"/>
      <c r="P763" s="1"/>
    </row>
    <row r="764" spans="4:16" ht="18.75" x14ac:dyDescent="0.3">
      <c r="D764" s="63" t="s">
        <v>1234</v>
      </c>
      <c r="E764" s="63"/>
      <c r="F764" s="74" t="s">
        <v>1235</v>
      </c>
      <c r="G764" s="1"/>
      <c r="H764" s="1"/>
      <c r="I764" s="1"/>
      <c r="J764" s="1"/>
      <c r="K764" s="1"/>
      <c r="L764" s="1"/>
      <c r="M764" s="1"/>
      <c r="N764" s="1"/>
      <c r="O764" s="1"/>
      <c r="P764" s="1"/>
    </row>
    <row r="765" spans="4:16" ht="18.75" x14ac:dyDescent="0.3">
      <c r="D765" s="70" t="s">
        <v>1236</v>
      </c>
      <c r="E765" s="70" t="s">
        <v>11</v>
      </c>
      <c r="F765" s="74" t="s">
        <v>1237</v>
      </c>
      <c r="G765" s="1"/>
      <c r="H765" s="1"/>
      <c r="I765" s="1"/>
      <c r="J765" s="1"/>
      <c r="K765" s="1"/>
      <c r="L765" s="1"/>
      <c r="M765" s="1"/>
      <c r="N765" s="1"/>
      <c r="O765" s="1"/>
      <c r="P765" s="1"/>
    </row>
    <row r="766" spans="4:16" ht="18.75" x14ac:dyDescent="0.3">
      <c r="D766" s="63" t="s">
        <v>1238</v>
      </c>
      <c r="E766" s="63" t="s">
        <v>515</v>
      </c>
      <c r="F766" s="74" t="s">
        <v>1239</v>
      </c>
      <c r="G766" s="1"/>
      <c r="H766" s="1"/>
      <c r="I766" s="1"/>
      <c r="J766" s="1"/>
      <c r="K766" s="1"/>
      <c r="L766" s="1"/>
      <c r="M766" s="1"/>
      <c r="N766" s="1"/>
      <c r="O766" s="1"/>
      <c r="P766" s="1"/>
    </row>
    <row r="767" spans="4:16" ht="18.75" x14ac:dyDescent="0.3">
      <c r="D767" s="63" t="s">
        <v>1240</v>
      </c>
      <c r="E767" s="63" t="s">
        <v>742</v>
      </c>
      <c r="F767" s="74" t="s">
        <v>1241</v>
      </c>
      <c r="G767" s="1"/>
      <c r="H767" s="1"/>
      <c r="I767" s="1"/>
      <c r="J767" s="1"/>
      <c r="K767" s="1"/>
      <c r="L767" s="1"/>
      <c r="M767" s="1"/>
      <c r="N767" s="1"/>
      <c r="O767" s="1"/>
      <c r="P767" s="1"/>
    </row>
    <row r="768" spans="4:16" ht="18.75" x14ac:dyDescent="0.3">
      <c r="D768" s="63" t="s">
        <v>1242</v>
      </c>
      <c r="E768" s="63" t="s">
        <v>11</v>
      </c>
      <c r="F768" s="74" t="s">
        <v>1243</v>
      </c>
      <c r="G768" s="1"/>
      <c r="H768" s="1"/>
      <c r="I768" s="1"/>
      <c r="J768" s="1"/>
      <c r="K768" s="1"/>
      <c r="L768" s="1"/>
      <c r="M768" s="1"/>
      <c r="N768" s="1"/>
      <c r="O768" s="1"/>
      <c r="P768" s="1"/>
    </row>
    <row r="769" spans="4:16" ht="18.75" x14ac:dyDescent="0.3">
      <c r="D769" s="70" t="s">
        <v>1244</v>
      </c>
      <c r="E769" s="70" t="s">
        <v>18</v>
      </c>
      <c r="F769" s="74" t="s">
        <v>1245</v>
      </c>
      <c r="G769" s="1"/>
      <c r="H769" s="1"/>
      <c r="I769" s="1"/>
      <c r="J769" s="1"/>
      <c r="K769" s="1"/>
      <c r="L769" s="1"/>
      <c r="M769" s="1"/>
      <c r="N769" s="1"/>
      <c r="O769" s="1"/>
      <c r="P769" s="1"/>
    </row>
    <row r="770" spans="4:16" ht="18.75" x14ac:dyDescent="0.3">
      <c r="D770" s="70" t="s">
        <v>1246</v>
      </c>
      <c r="E770" s="70" t="s">
        <v>16</v>
      </c>
      <c r="F770" s="74" t="s">
        <v>1247</v>
      </c>
      <c r="G770" s="1"/>
      <c r="H770" s="1"/>
      <c r="I770" s="1"/>
      <c r="J770" s="1"/>
      <c r="K770" s="1"/>
      <c r="L770" s="1"/>
      <c r="M770" s="1"/>
      <c r="N770" s="1"/>
      <c r="O770" s="1"/>
      <c r="P770" s="1"/>
    </row>
    <row r="771" spans="4:16" ht="18.75" x14ac:dyDescent="0.3">
      <c r="D771" s="63" t="s">
        <v>1250</v>
      </c>
      <c r="E771" s="63" t="s">
        <v>492</v>
      </c>
      <c r="F771" s="74" t="s">
        <v>1251</v>
      </c>
      <c r="G771" s="1"/>
      <c r="H771" s="1"/>
      <c r="I771" s="1"/>
      <c r="J771" s="1"/>
      <c r="K771" s="1"/>
      <c r="L771" s="1"/>
      <c r="M771" s="1"/>
      <c r="N771" s="1"/>
      <c r="O771" s="1"/>
      <c r="P771" s="1"/>
    </row>
    <row r="772" spans="4:16" ht="18.75" x14ac:dyDescent="0.3">
      <c r="D772" s="70" t="s">
        <v>1248</v>
      </c>
      <c r="E772" s="70" t="s">
        <v>467</v>
      </c>
      <c r="F772" s="74" t="s">
        <v>1249</v>
      </c>
      <c r="G772" s="1"/>
      <c r="H772" s="1"/>
      <c r="I772" s="1"/>
      <c r="J772" s="1"/>
      <c r="K772" s="1"/>
      <c r="L772" s="1"/>
      <c r="M772" s="1"/>
      <c r="N772" s="1"/>
      <c r="O772" s="1"/>
      <c r="P772" s="1"/>
    </row>
    <row r="773" spans="4:16" ht="18.75" x14ac:dyDescent="0.3">
      <c r="D773" s="63" t="s">
        <v>1252</v>
      </c>
      <c r="E773" s="63" t="s">
        <v>7</v>
      </c>
      <c r="F773" s="74" t="s">
        <v>1253</v>
      </c>
      <c r="G773" s="1"/>
      <c r="H773" s="1"/>
      <c r="I773" s="1"/>
      <c r="J773" s="1"/>
      <c r="K773" s="1"/>
      <c r="L773" s="1"/>
      <c r="M773" s="1"/>
      <c r="N773" s="1"/>
      <c r="O773" s="1"/>
      <c r="P773" s="1"/>
    </row>
    <row r="774" spans="4:16" ht="18.75" x14ac:dyDescent="0.3">
      <c r="D774" s="63" t="s">
        <v>1254</v>
      </c>
      <c r="E774" s="63" t="s">
        <v>515</v>
      </c>
      <c r="F774" s="74" t="s">
        <v>1255</v>
      </c>
      <c r="G774" s="1"/>
      <c r="H774" s="1"/>
      <c r="I774" s="1"/>
      <c r="J774" s="1"/>
      <c r="K774" s="1"/>
      <c r="L774" s="1"/>
      <c r="M774" s="1"/>
      <c r="N774" s="1"/>
      <c r="O774" s="1"/>
      <c r="P774" s="1"/>
    </row>
    <row r="775" spans="4:16" ht="18.75" x14ac:dyDescent="0.3">
      <c r="D775" s="63" t="s">
        <v>1256</v>
      </c>
      <c r="E775" s="63" t="s">
        <v>7</v>
      </c>
      <c r="F775" s="74" t="s">
        <v>1257</v>
      </c>
      <c r="G775" s="1"/>
      <c r="H775" s="1"/>
      <c r="I775" s="1"/>
      <c r="J775" s="1"/>
      <c r="K775" s="1"/>
      <c r="L775" s="1"/>
      <c r="M775" s="1"/>
      <c r="N775" s="1"/>
      <c r="O775" s="1"/>
      <c r="P775" s="1"/>
    </row>
    <row r="776" spans="4:16" ht="18.75" x14ac:dyDescent="0.3">
      <c r="D776" s="63" t="s">
        <v>1258</v>
      </c>
      <c r="E776" s="63" t="s">
        <v>5</v>
      </c>
      <c r="F776" s="74" t="s">
        <v>1259</v>
      </c>
      <c r="G776" s="1"/>
      <c r="H776" s="1"/>
      <c r="I776" s="1"/>
      <c r="J776" s="1"/>
      <c r="K776" s="1"/>
      <c r="L776" s="1"/>
      <c r="M776" s="1"/>
      <c r="N776" s="1"/>
      <c r="O776" s="1"/>
      <c r="P776" s="1"/>
    </row>
    <row r="777" spans="4:16" ht="18.75" x14ac:dyDescent="0.3">
      <c r="D777" s="63" t="s">
        <v>1260</v>
      </c>
      <c r="E777" s="63" t="s">
        <v>490</v>
      </c>
      <c r="F777" s="74" t="s">
        <v>1261</v>
      </c>
      <c r="G777" s="1"/>
      <c r="H777" s="1"/>
      <c r="I777" s="1"/>
      <c r="J777" s="1"/>
      <c r="K777" s="1"/>
      <c r="L777" s="1"/>
      <c r="M777" s="1"/>
      <c r="N777" s="1"/>
      <c r="O777" s="1"/>
      <c r="P777" s="1"/>
    </row>
    <row r="778" spans="4:16" ht="18.75" x14ac:dyDescent="0.3">
      <c r="D778" s="70" t="s">
        <v>1262</v>
      </c>
      <c r="E778" s="70" t="s">
        <v>18</v>
      </c>
      <c r="F778" s="74" t="s">
        <v>1263</v>
      </c>
      <c r="G778" s="1"/>
      <c r="H778" s="1"/>
      <c r="I778" s="1"/>
      <c r="J778" s="1"/>
      <c r="K778" s="1"/>
      <c r="L778" s="1"/>
      <c r="M778" s="1"/>
      <c r="N778" s="1"/>
      <c r="O778" s="1"/>
      <c r="P778" s="1"/>
    </row>
    <row r="779" spans="4:16" ht="18.75" x14ac:dyDescent="0.3">
      <c r="D779" s="63" t="s">
        <v>1264</v>
      </c>
      <c r="E779" s="63" t="s">
        <v>31</v>
      </c>
      <c r="F779" s="74" t="s">
        <v>1265</v>
      </c>
      <c r="G779" s="1"/>
      <c r="H779" s="1"/>
      <c r="I779" s="1"/>
      <c r="J779" s="1"/>
      <c r="K779" s="1"/>
      <c r="L779" s="1"/>
      <c r="M779" s="1"/>
      <c r="N779" s="1"/>
      <c r="O779" s="1"/>
      <c r="P779" s="1"/>
    </row>
    <row r="780" spans="4:16" ht="18.75" x14ac:dyDescent="0.3">
      <c r="D780" s="70" t="s">
        <v>1266</v>
      </c>
      <c r="E780" s="70" t="s">
        <v>31</v>
      </c>
      <c r="F780" s="74" t="s">
        <v>1267</v>
      </c>
      <c r="G780" s="1"/>
      <c r="H780" s="1"/>
      <c r="I780" s="1"/>
      <c r="J780" s="1"/>
      <c r="K780" s="1"/>
      <c r="L780" s="1"/>
      <c r="M780" s="1"/>
      <c r="N780" s="1"/>
      <c r="O780" s="1"/>
      <c r="P780" s="1"/>
    </row>
    <row r="781" spans="4:16" ht="18.75" x14ac:dyDescent="0.3">
      <c r="D781" s="70" t="s">
        <v>1268</v>
      </c>
      <c r="E781" s="70" t="s">
        <v>18</v>
      </c>
      <c r="F781" s="74" t="s">
        <v>1269</v>
      </c>
      <c r="G781" s="1"/>
      <c r="H781" s="1"/>
      <c r="I781" s="1"/>
      <c r="J781" s="1"/>
      <c r="K781" s="1"/>
      <c r="L781" s="1"/>
      <c r="M781" s="1"/>
      <c r="N781" s="1"/>
      <c r="O781" s="1"/>
      <c r="P781" s="1"/>
    </row>
    <row r="782" spans="4:16" ht="18.75" x14ac:dyDescent="0.3">
      <c r="D782" s="73" t="s">
        <v>1270</v>
      </c>
      <c r="E782" s="63"/>
      <c r="F782" s="74" t="s">
        <v>1271</v>
      </c>
      <c r="G782" s="1"/>
      <c r="H782" s="1"/>
      <c r="I782" s="1"/>
      <c r="J782" s="1"/>
      <c r="K782" s="1"/>
      <c r="L782" s="1"/>
      <c r="M782" s="1"/>
      <c r="N782" s="1"/>
      <c r="O782" s="1"/>
      <c r="P782" s="1"/>
    </row>
    <row r="783" spans="4:16" ht="18.75" x14ac:dyDescent="0.3">
      <c r="D783" s="63" t="s">
        <v>1272</v>
      </c>
      <c r="E783" s="63" t="s">
        <v>16</v>
      </c>
      <c r="F783" s="74" t="s">
        <v>1273</v>
      </c>
      <c r="G783" s="1"/>
      <c r="H783" s="1"/>
      <c r="I783" s="1"/>
      <c r="J783" s="1"/>
      <c r="K783" s="1"/>
      <c r="L783" s="1"/>
      <c r="M783" s="1"/>
      <c r="N783" s="1"/>
      <c r="O783" s="1"/>
      <c r="P783" s="1"/>
    </row>
    <row r="784" spans="4:16" ht="18.75" x14ac:dyDescent="0.3">
      <c r="D784" s="70" t="s">
        <v>1274</v>
      </c>
      <c r="E784" s="70" t="s">
        <v>7</v>
      </c>
      <c r="F784" s="74" t="s">
        <v>1275</v>
      </c>
      <c r="G784" s="1"/>
      <c r="H784" s="1"/>
      <c r="I784" s="1"/>
      <c r="J784" s="1"/>
      <c r="K784" s="1"/>
      <c r="L784" s="1"/>
      <c r="M784" s="1"/>
      <c r="N784" s="1"/>
      <c r="O784" s="1"/>
      <c r="P784" s="1"/>
    </row>
    <row r="785" spans="4:16" ht="18.75" x14ac:dyDescent="0.3">
      <c r="D785" s="70" t="s">
        <v>1276</v>
      </c>
      <c r="E785" s="70"/>
      <c r="F785" s="74" t="s">
        <v>1277</v>
      </c>
      <c r="G785" s="1"/>
      <c r="H785" s="1"/>
      <c r="I785" s="1"/>
      <c r="J785" s="1"/>
      <c r="K785" s="1"/>
      <c r="L785" s="1"/>
      <c r="M785" s="1"/>
      <c r="N785" s="1"/>
      <c r="O785" s="1"/>
      <c r="P785" s="1"/>
    </row>
    <row r="786" spans="4:16" ht="18.75" x14ac:dyDescent="0.3">
      <c r="D786" s="70" t="s">
        <v>1278</v>
      </c>
      <c r="E786" s="70" t="s">
        <v>31</v>
      </c>
      <c r="F786" s="74" t="s">
        <v>1279</v>
      </c>
      <c r="G786" s="1"/>
      <c r="H786" s="1"/>
      <c r="I786" s="1"/>
      <c r="J786" s="1"/>
      <c r="K786" s="1"/>
      <c r="L786" s="1"/>
      <c r="M786" s="1"/>
      <c r="N786" s="1"/>
      <c r="O786" s="1"/>
      <c r="P786" s="1"/>
    </row>
    <row r="787" spans="4:16" ht="18.75" x14ac:dyDescent="0.3">
      <c r="D787" s="63" t="s">
        <v>1280</v>
      </c>
      <c r="E787" s="63" t="s">
        <v>515</v>
      </c>
      <c r="F787" s="74" t="s">
        <v>1281</v>
      </c>
      <c r="G787" s="1"/>
      <c r="H787" s="1"/>
      <c r="I787" s="1"/>
      <c r="J787" s="1"/>
      <c r="K787" s="1"/>
      <c r="L787" s="1"/>
      <c r="M787" s="1"/>
      <c r="N787" s="1"/>
      <c r="O787" s="1"/>
      <c r="P787" s="1"/>
    </row>
    <row r="788" spans="4:16" ht="18.75" x14ac:dyDescent="0.3">
      <c r="D788" s="63" t="s">
        <v>1282</v>
      </c>
      <c r="E788" s="63" t="s">
        <v>490</v>
      </c>
      <c r="F788" s="74" t="s">
        <v>1283</v>
      </c>
      <c r="G788" s="1"/>
      <c r="H788" s="1"/>
      <c r="I788" s="1"/>
      <c r="J788" s="1"/>
      <c r="K788" s="1"/>
      <c r="L788" s="1"/>
      <c r="M788" s="1"/>
      <c r="N788" s="1"/>
      <c r="O788" s="1"/>
      <c r="P788" s="1"/>
    </row>
    <row r="789" spans="4:16" ht="18.75" x14ac:dyDescent="0.3">
      <c r="D789" s="63" t="s">
        <v>1284</v>
      </c>
      <c r="E789" s="63" t="s">
        <v>1285</v>
      </c>
      <c r="F789" s="74" t="s">
        <v>1286</v>
      </c>
      <c r="G789" s="1"/>
      <c r="H789" s="1"/>
      <c r="I789" s="1"/>
      <c r="J789" s="1"/>
      <c r="K789" s="1"/>
      <c r="L789" s="1"/>
      <c r="M789" s="1"/>
      <c r="N789" s="1"/>
      <c r="O789" s="1"/>
      <c r="P789" s="1"/>
    </row>
    <row r="790" spans="4:16" ht="18.75" x14ac:dyDescent="0.25">
      <c r="D790" s="74" t="s">
        <v>1287</v>
      </c>
      <c r="E790" s="74"/>
      <c r="F790" s="74" t="s">
        <v>1288</v>
      </c>
      <c r="G790" s="1"/>
      <c r="H790" s="1"/>
      <c r="I790" s="1"/>
      <c r="J790" s="1"/>
      <c r="K790" s="1"/>
      <c r="L790" s="1"/>
      <c r="M790" s="1"/>
      <c r="N790" s="1"/>
      <c r="O790" s="1"/>
      <c r="P790" s="1"/>
    </row>
    <row r="791" spans="4:16" ht="18.75" x14ac:dyDescent="0.25">
      <c r="D791" s="74" t="s">
        <v>1289</v>
      </c>
      <c r="E791" s="74" t="s">
        <v>492</v>
      </c>
      <c r="F791" s="74" t="s">
        <v>1290</v>
      </c>
      <c r="G791" s="1"/>
      <c r="H791" s="1"/>
      <c r="I791" s="1"/>
      <c r="J791" s="1"/>
      <c r="K791" s="1"/>
      <c r="L791" s="1"/>
      <c r="M791" s="1"/>
      <c r="N791" s="1"/>
      <c r="O791" s="1"/>
      <c r="P791" s="1"/>
    </row>
    <row r="792" spans="4:16" ht="18.75" x14ac:dyDescent="0.3">
      <c r="D792" s="63" t="s">
        <v>454</v>
      </c>
      <c r="E792" s="63" t="s">
        <v>455</v>
      </c>
      <c r="F792" s="74" t="s">
        <v>456</v>
      </c>
      <c r="G792" s="1"/>
      <c r="H792" s="1"/>
      <c r="I792" s="1"/>
      <c r="J792" s="1"/>
      <c r="K792" s="1"/>
      <c r="L792" s="1"/>
      <c r="M792" s="1"/>
      <c r="N792" s="1"/>
      <c r="O792" s="1"/>
      <c r="P792" s="1"/>
    </row>
    <row r="793" spans="4:16" ht="18.75" x14ac:dyDescent="0.3">
      <c r="D793" s="63" t="s">
        <v>1291</v>
      </c>
      <c r="E793" s="63" t="s">
        <v>490</v>
      </c>
      <c r="F793" s="74" t="s">
        <v>1292</v>
      </c>
      <c r="G793" s="1"/>
      <c r="H793" s="1"/>
      <c r="I793" s="1"/>
      <c r="J793" s="1"/>
      <c r="K793" s="1"/>
      <c r="L793" s="1"/>
      <c r="M793" s="1"/>
      <c r="N793" s="1"/>
      <c r="O793" s="1"/>
      <c r="P793" s="1"/>
    </row>
    <row r="794" spans="4:16" ht="18.75" x14ac:dyDescent="0.3">
      <c r="D794" s="70" t="s">
        <v>1293</v>
      </c>
      <c r="E794" s="70" t="s">
        <v>455</v>
      </c>
      <c r="F794" s="74" t="s">
        <v>1294</v>
      </c>
      <c r="G794" s="1"/>
      <c r="H794" s="1"/>
      <c r="I794" s="1"/>
      <c r="J794" s="1"/>
      <c r="K794" s="1"/>
      <c r="L794" s="1"/>
      <c r="M794" s="1"/>
      <c r="N794" s="1"/>
      <c r="O794" s="1"/>
      <c r="P794" s="1"/>
    </row>
    <row r="795" spans="4:16" ht="18.75" x14ac:dyDescent="0.3">
      <c r="D795" s="63" t="s">
        <v>1295</v>
      </c>
      <c r="E795" s="63">
        <v>5</v>
      </c>
      <c r="F795" s="74" t="s">
        <v>1296</v>
      </c>
      <c r="G795" s="1"/>
      <c r="H795" s="1"/>
      <c r="I795" s="1"/>
      <c r="J795" s="1"/>
      <c r="K795" s="1"/>
      <c r="L795" s="1"/>
      <c r="M795" s="1"/>
      <c r="N795" s="1"/>
      <c r="O795" s="1"/>
      <c r="P795" s="1"/>
    </row>
    <row r="796" spans="4:16" ht="18.75" x14ac:dyDescent="0.3">
      <c r="D796" s="70" t="s">
        <v>1297</v>
      </c>
      <c r="E796" s="70"/>
      <c r="F796" s="74" t="s">
        <v>1298</v>
      </c>
      <c r="G796" s="1"/>
      <c r="H796" s="1"/>
      <c r="I796" s="1"/>
      <c r="J796" s="1"/>
      <c r="K796" s="1"/>
      <c r="L796" s="1"/>
      <c r="M796" s="1"/>
      <c r="N796" s="1"/>
      <c r="O796" s="1"/>
      <c r="P796" s="1"/>
    </row>
    <row r="797" spans="4:16" ht="18.75" x14ac:dyDescent="0.3">
      <c r="D797" s="63" t="s">
        <v>1299</v>
      </c>
      <c r="E797" s="63" t="s">
        <v>5</v>
      </c>
      <c r="F797" s="74" t="s">
        <v>1300</v>
      </c>
      <c r="G797" s="1"/>
      <c r="H797" s="1"/>
      <c r="I797" s="1"/>
      <c r="J797" s="1"/>
      <c r="K797" s="1"/>
      <c r="L797" s="1"/>
      <c r="M797" s="1"/>
      <c r="N797" s="1"/>
      <c r="O797" s="1"/>
      <c r="P797" s="1"/>
    </row>
    <row r="798" spans="4:16" ht="18.75" x14ac:dyDescent="0.3">
      <c r="D798" s="70" t="s">
        <v>1301</v>
      </c>
      <c r="E798" s="70" t="s">
        <v>18</v>
      </c>
      <c r="F798" s="74" t="s">
        <v>1302</v>
      </c>
      <c r="G798" s="1"/>
      <c r="H798" s="1"/>
      <c r="I798" s="1"/>
      <c r="J798" s="1"/>
      <c r="K798" s="1"/>
      <c r="L798" s="1"/>
      <c r="M798" s="1"/>
      <c r="N798" s="1"/>
      <c r="O798" s="1"/>
      <c r="P798" s="1"/>
    </row>
    <row r="799" spans="4:16" ht="18.75" x14ac:dyDescent="0.3">
      <c r="D799" s="70" t="s">
        <v>1303</v>
      </c>
      <c r="E799" s="70" t="s">
        <v>18</v>
      </c>
      <c r="F799" s="74" t="s">
        <v>1304</v>
      </c>
      <c r="G799" s="1"/>
      <c r="H799" s="1"/>
      <c r="I799" s="1"/>
      <c r="J799" s="1"/>
      <c r="K799" s="1"/>
      <c r="L799" s="1"/>
      <c r="M799" s="1"/>
      <c r="N799" s="1"/>
      <c r="O799" s="1"/>
      <c r="P799" s="1"/>
    </row>
    <row r="800" spans="4:16" ht="18.75" x14ac:dyDescent="0.3">
      <c r="D800" s="63" t="s">
        <v>1305</v>
      </c>
      <c r="E800" s="63" t="s">
        <v>455</v>
      </c>
      <c r="F800" s="74" t="s">
        <v>1306</v>
      </c>
      <c r="G800" s="1"/>
      <c r="H800" s="1"/>
      <c r="I800" s="1"/>
      <c r="J800" s="1"/>
      <c r="K800" s="1"/>
      <c r="L800" s="1"/>
      <c r="M800" s="1"/>
      <c r="N800" s="1"/>
      <c r="O800" s="1"/>
      <c r="P800" s="1"/>
    </row>
    <row r="801" spans="4:16" ht="18.75" x14ac:dyDescent="0.3">
      <c r="D801" s="70" t="s">
        <v>1307</v>
      </c>
      <c r="E801" s="70" t="s">
        <v>18</v>
      </c>
      <c r="F801" s="74" t="s">
        <v>1308</v>
      </c>
      <c r="G801" s="1"/>
      <c r="H801" s="1"/>
      <c r="I801" s="1"/>
      <c r="J801" s="1"/>
      <c r="K801" s="1"/>
      <c r="L801" s="1"/>
      <c r="M801" s="1"/>
      <c r="N801" s="1"/>
      <c r="O801" s="1"/>
      <c r="P801" s="1"/>
    </row>
    <row r="802" spans="4:16" ht="18.75" x14ac:dyDescent="0.3">
      <c r="D802" s="70" t="s">
        <v>1309</v>
      </c>
      <c r="E802" s="70" t="s">
        <v>18</v>
      </c>
      <c r="F802" s="74" t="s">
        <v>1310</v>
      </c>
      <c r="G802" s="1"/>
      <c r="H802" s="1"/>
      <c r="I802" s="1"/>
      <c r="J802" s="1"/>
      <c r="K802" s="1"/>
      <c r="L802" s="1"/>
      <c r="M802" s="1"/>
      <c r="N802" s="1"/>
      <c r="O802" s="1"/>
      <c r="P802" s="1"/>
    </row>
    <row r="803" spans="4:16" ht="18.75" x14ac:dyDescent="0.3">
      <c r="D803" s="63" t="s">
        <v>1311</v>
      </c>
      <c r="E803" s="63" t="s">
        <v>455</v>
      </c>
      <c r="F803" s="74" t="s">
        <v>1312</v>
      </c>
      <c r="G803" s="1"/>
      <c r="H803" s="1"/>
      <c r="I803" s="1"/>
      <c r="J803" s="1"/>
      <c r="K803" s="1"/>
      <c r="L803" s="1"/>
      <c r="M803" s="1"/>
      <c r="N803" s="1"/>
      <c r="O803" s="1"/>
      <c r="P803" s="1"/>
    </row>
    <row r="804" spans="4:16" ht="18.75" x14ac:dyDescent="0.3">
      <c r="D804" s="63" t="s">
        <v>1313</v>
      </c>
      <c r="E804" s="63" t="s">
        <v>477</v>
      </c>
      <c r="F804" s="74" t="s">
        <v>1314</v>
      </c>
      <c r="G804" s="1"/>
      <c r="H804" s="1"/>
      <c r="I804" s="1"/>
      <c r="J804" s="1"/>
      <c r="K804" s="1"/>
      <c r="L804" s="1"/>
      <c r="M804" s="1"/>
      <c r="N804" s="1"/>
      <c r="O804" s="1"/>
      <c r="P804" s="1"/>
    </row>
    <row r="805" spans="4:16" ht="18.75" x14ac:dyDescent="0.3">
      <c r="D805" s="63" t="s">
        <v>1315</v>
      </c>
      <c r="E805" s="76"/>
      <c r="F805" s="74" t="s">
        <v>1316</v>
      </c>
      <c r="G805" s="1"/>
      <c r="H805" s="1"/>
      <c r="I805" s="1"/>
      <c r="J805" s="1"/>
      <c r="K805" s="1"/>
      <c r="L805" s="1"/>
      <c r="M805" s="1"/>
      <c r="N805" s="1"/>
      <c r="O805" s="1"/>
      <c r="P805" s="1"/>
    </row>
    <row r="806" spans="4:16" ht="18.75" x14ac:dyDescent="0.3">
      <c r="D806" s="63" t="s">
        <v>1317</v>
      </c>
      <c r="E806" s="76" t="s">
        <v>5</v>
      </c>
      <c r="F806" s="74" t="s">
        <v>1318</v>
      </c>
      <c r="G806" s="1"/>
      <c r="H806" s="1"/>
      <c r="I806" s="1"/>
      <c r="J806" s="1"/>
      <c r="K806" s="1"/>
      <c r="L806" s="1"/>
      <c r="M806" s="1"/>
      <c r="N806" s="1"/>
      <c r="O806" s="1"/>
      <c r="P806" s="1"/>
    </row>
    <row r="807" spans="4:16" ht="18.75" x14ac:dyDescent="0.3">
      <c r="D807" s="70" t="s">
        <v>1319</v>
      </c>
      <c r="E807" s="71" t="s">
        <v>18</v>
      </c>
      <c r="F807" s="74" t="s">
        <v>1320</v>
      </c>
      <c r="G807" s="1"/>
      <c r="H807" s="1"/>
      <c r="I807" s="1"/>
      <c r="J807" s="1"/>
      <c r="K807" s="1"/>
      <c r="L807" s="1"/>
      <c r="M807" s="1"/>
      <c r="N807" s="1"/>
      <c r="O807" s="1"/>
      <c r="P807" s="1"/>
    </row>
    <row r="808" spans="4:16" ht="18.75" x14ac:dyDescent="0.3">
      <c r="D808" s="63" t="s">
        <v>1321</v>
      </c>
      <c r="E808" s="76"/>
      <c r="F808" s="74" t="s">
        <v>1322</v>
      </c>
      <c r="G808" s="1"/>
      <c r="H808" s="1"/>
      <c r="I808" s="1"/>
      <c r="J808" s="1"/>
      <c r="K808" s="1"/>
      <c r="L808" s="1"/>
      <c r="M808" s="1"/>
      <c r="N808" s="1"/>
      <c r="O808" s="1"/>
      <c r="P808" s="1"/>
    </row>
    <row r="809" spans="4:16" ht="18.75" x14ac:dyDescent="0.3">
      <c r="D809" s="63" t="s">
        <v>1323</v>
      </c>
      <c r="E809" s="63" t="s">
        <v>11</v>
      </c>
      <c r="F809" s="74" t="s">
        <v>1324</v>
      </c>
      <c r="G809" s="1"/>
      <c r="H809" s="1"/>
      <c r="I809" s="1"/>
      <c r="J809" s="1"/>
      <c r="K809" s="1"/>
      <c r="L809" s="1"/>
      <c r="M809" s="1"/>
      <c r="N809" s="1"/>
      <c r="O809" s="1"/>
      <c r="P809" s="1"/>
    </row>
    <row r="810" spans="4:16" ht="18.75" x14ac:dyDescent="0.3">
      <c r="D810" s="63" t="s">
        <v>1325</v>
      </c>
      <c r="E810" s="76" t="s">
        <v>492</v>
      </c>
      <c r="F810" s="74" t="s">
        <v>1326</v>
      </c>
      <c r="G810" s="1"/>
      <c r="H810" s="1"/>
      <c r="I810" s="1"/>
      <c r="J810" s="1"/>
      <c r="K810" s="1"/>
      <c r="L810" s="1"/>
      <c r="M810" s="1"/>
      <c r="N810" s="1"/>
      <c r="O810" s="1"/>
      <c r="P810" s="1"/>
    </row>
    <row r="811" spans="4:16" ht="18.75" x14ac:dyDescent="0.3">
      <c r="D811" s="63" t="s">
        <v>1327</v>
      </c>
      <c r="E811" s="76" t="s">
        <v>492</v>
      </c>
      <c r="F811" s="74" t="s">
        <v>1328</v>
      </c>
      <c r="G811" s="1"/>
      <c r="H811" s="1"/>
      <c r="I811" s="1"/>
      <c r="J811" s="1"/>
      <c r="K811" s="1"/>
      <c r="L811" s="1"/>
      <c r="M811" s="1"/>
      <c r="N811" s="1"/>
      <c r="O811" s="1"/>
      <c r="P811" s="1"/>
    </row>
    <row r="812" spans="4:16" ht="18.75" x14ac:dyDescent="0.3">
      <c r="D812" s="63" t="s">
        <v>1329</v>
      </c>
      <c r="E812" s="63"/>
      <c r="F812" s="74" t="s">
        <v>1330</v>
      </c>
      <c r="G812" s="1"/>
      <c r="H812" s="1"/>
      <c r="I812" s="1"/>
      <c r="J812" s="1"/>
      <c r="K812" s="1"/>
      <c r="L812" s="1"/>
      <c r="M812" s="1"/>
      <c r="N812" s="1"/>
      <c r="O812" s="1"/>
      <c r="P812" s="1"/>
    </row>
    <row r="813" spans="4:16" ht="18.75" x14ac:dyDescent="0.3">
      <c r="D813" s="63" t="s">
        <v>1331</v>
      </c>
      <c r="E813" s="76" t="s">
        <v>490</v>
      </c>
      <c r="F813" s="74" t="s">
        <v>1332</v>
      </c>
      <c r="G813" s="1"/>
      <c r="H813" s="1"/>
      <c r="I813" s="1"/>
      <c r="J813" s="1"/>
      <c r="K813" s="1"/>
      <c r="L813" s="1"/>
      <c r="M813" s="1"/>
      <c r="N813" s="1"/>
      <c r="O813" s="1"/>
      <c r="P813" s="1"/>
    </row>
    <row r="814" spans="4:16" ht="18.75" x14ac:dyDescent="0.3">
      <c r="D814" s="70" t="s">
        <v>1333</v>
      </c>
      <c r="E814" s="71" t="s">
        <v>5</v>
      </c>
      <c r="F814" s="74" t="s">
        <v>1334</v>
      </c>
      <c r="G814" s="1"/>
      <c r="H814" s="1"/>
      <c r="I814" s="1"/>
      <c r="J814" s="1"/>
      <c r="K814" s="1"/>
      <c r="L814" s="1"/>
      <c r="M814" s="1"/>
      <c r="N814" s="1"/>
      <c r="O814" s="1"/>
      <c r="P814" s="1"/>
    </row>
    <row r="815" spans="4:16" ht="18.75" x14ac:dyDescent="0.3">
      <c r="D815" s="63" t="s">
        <v>1335</v>
      </c>
      <c r="E815" s="76" t="s">
        <v>7</v>
      </c>
      <c r="F815" s="74" t="s">
        <v>1336</v>
      </c>
      <c r="G815" s="1"/>
      <c r="H815" s="1"/>
      <c r="I815" s="1"/>
      <c r="J815" s="1"/>
      <c r="K815" s="1"/>
      <c r="L815" s="1"/>
      <c r="M815" s="1"/>
      <c r="N815" s="1"/>
      <c r="O815" s="1"/>
      <c r="P815" s="1"/>
    </row>
    <row r="816" spans="4:16" ht="18.75" x14ac:dyDescent="0.3">
      <c r="D816" s="63" t="s">
        <v>1337</v>
      </c>
      <c r="E816" s="76" t="s">
        <v>480</v>
      </c>
      <c r="F816" s="74" t="s">
        <v>1338</v>
      </c>
      <c r="G816" s="1"/>
      <c r="H816" s="1"/>
      <c r="I816" s="1"/>
      <c r="J816" s="1"/>
      <c r="K816" s="1"/>
      <c r="L816" s="1"/>
      <c r="M816" s="1"/>
      <c r="N816" s="1"/>
      <c r="O816" s="1"/>
      <c r="P816" s="1"/>
    </row>
    <row r="817" spans="4:16" ht="18.75" x14ac:dyDescent="0.3">
      <c r="D817" s="70" t="s">
        <v>1339</v>
      </c>
      <c r="E817" s="70" t="s">
        <v>18</v>
      </c>
      <c r="F817" s="74" t="s">
        <v>1340</v>
      </c>
      <c r="G817" s="1"/>
      <c r="H817" s="1"/>
      <c r="I817" s="1"/>
      <c r="J817" s="1"/>
      <c r="K817" s="1"/>
      <c r="L817" s="1"/>
      <c r="M817" s="1"/>
      <c r="N817" s="1"/>
      <c r="O817" s="1"/>
      <c r="P817" s="1"/>
    </row>
    <row r="818" spans="4:16" ht="18.75" x14ac:dyDescent="0.3">
      <c r="D818" s="63" t="s">
        <v>1341</v>
      </c>
      <c r="E818" s="76" t="s">
        <v>7</v>
      </c>
      <c r="F818" s="74" t="s">
        <v>1342</v>
      </c>
      <c r="G818" s="1"/>
      <c r="H818" s="1"/>
      <c r="I818" s="1"/>
      <c r="J818" s="1"/>
      <c r="K818" s="1"/>
      <c r="L818" s="1"/>
      <c r="M818" s="1"/>
      <c r="N818" s="1"/>
      <c r="O818" s="1"/>
      <c r="P818" s="1"/>
    </row>
    <row r="819" spans="4:16" ht="18.75" x14ac:dyDescent="0.3">
      <c r="D819" s="63" t="s">
        <v>1343</v>
      </c>
      <c r="E819" s="63" t="s">
        <v>515</v>
      </c>
      <c r="F819" s="74" t="s">
        <v>1344</v>
      </c>
      <c r="G819" s="1"/>
      <c r="H819" s="1"/>
      <c r="I819" s="1"/>
      <c r="J819" s="1"/>
      <c r="K819" s="1"/>
      <c r="L819" s="1"/>
      <c r="M819" s="1"/>
      <c r="N819" s="1"/>
      <c r="O819" s="1"/>
      <c r="P819" s="1"/>
    </row>
    <row r="820" spans="4:16" ht="18.75" x14ac:dyDescent="0.3">
      <c r="D820" s="70" t="s">
        <v>1345</v>
      </c>
      <c r="E820" s="71" t="s">
        <v>31</v>
      </c>
      <c r="F820" s="74" t="s">
        <v>1346</v>
      </c>
      <c r="G820" s="1"/>
      <c r="H820" s="1"/>
      <c r="I820" s="1"/>
      <c r="J820" s="1"/>
      <c r="K820" s="1"/>
      <c r="L820" s="1"/>
      <c r="M820" s="1"/>
      <c r="N820" s="1"/>
      <c r="O820" s="1"/>
      <c r="P820" s="1"/>
    </row>
    <row r="821" spans="4:16" ht="18.75" x14ac:dyDescent="0.3">
      <c r="D821" s="70" t="s">
        <v>1347</v>
      </c>
      <c r="E821" s="71" t="s">
        <v>26</v>
      </c>
      <c r="F821" s="74" t="s">
        <v>1348</v>
      </c>
      <c r="G821" s="1"/>
      <c r="H821" s="1"/>
      <c r="I821" s="1"/>
      <c r="J821" s="1"/>
      <c r="K821" s="1"/>
      <c r="L821" s="1"/>
      <c r="M821" s="1"/>
      <c r="N821" s="1"/>
      <c r="O821" s="1"/>
      <c r="P821" s="1"/>
    </row>
    <row r="822" spans="4:16" ht="18.75" x14ac:dyDescent="0.3">
      <c r="D822" s="77" t="s">
        <v>1349</v>
      </c>
      <c r="E822" s="78" t="s">
        <v>26</v>
      </c>
      <c r="F822" s="74" t="s">
        <v>1350</v>
      </c>
      <c r="G822" s="1"/>
      <c r="H822" s="1"/>
      <c r="I822" s="1"/>
      <c r="J822" s="1"/>
      <c r="K822" s="1"/>
      <c r="L822" s="1"/>
      <c r="M822" s="1"/>
      <c r="N822" s="1"/>
      <c r="O822" s="1"/>
      <c r="P822" s="1"/>
    </row>
    <row r="823" spans="4:16" ht="18.75" x14ac:dyDescent="0.3">
      <c r="D823" s="61" t="s">
        <v>1353</v>
      </c>
      <c r="E823" s="61" t="s">
        <v>1285</v>
      </c>
      <c r="F823" s="74" t="s">
        <v>1354</v>
      </c>
      <c r="G823" s="1"/>
      <c r="H823" s="1"/>
      <c r="I823" s="1"/>
      <c r="J823" s="1"/>
      <c r="K823" s="1"/>
      <c r="L823" s="1"/>
      <c r="M823" s="1"/>
      <c r="N823" s="1"/>
      <c r="O823" s="1"/>
      <c r="P823" s="1"/>
    </row>
    <row r="824" spans="4:16" ht="18.75" x14ac:dyDescent="0.3">
      <c r="D824" s="61" t="s">
        <v>1355</v>
      </c>
      <c r="E824" s="62" t="s">
        <v>515</v>
      </c>
      <c r="F824" s="74" t="s">
        <v>1356</v>
      </c>
      <c r="G824" s="1"/>
      <c r="H824" s="1"/>
      <c r="I824" s="1"/>
      <c r="J824" s="1"/>
      <c r="K824" s="1"/>
      <c r="L824" s="1"/>
      <c r="M824" s="1"/>
      <c r="N824" s="1"/>
      <c r="O824" s="1"/>
      <c r="P824" s="1"/>
    </row>
    <row r="825" spans="4:16" ht="18.75" x14ac:dyDescent="0.3">
      <c r="D825" s="61" t="s">
        <v>1357</v>
      </c>
      <c r="E825" s="62" t="s">
        <v>5</v>
      </c>
      <c r="F825" s="74" t="s">
        <v>1358</v>
      </c>
      <c r="G825" s="1"/>
      <c r="H825" s="1"/>
      <c r="I825" s="1"/>
      <c r="J825" s="1"/>
      <c r="K825" s="1"/>
      <c r="L825" s="1"/>
      <c r="M825" s="1"/>
      <c r="N825" s="1"/>
      <c r="O825" s="1"/>
      <c r="P825" s="1"/>
    </row>
    <row r="826" spans="4:16" ht="18.75" x14ac:dyDescent="0.3">
      <c r="D826" s="61" t="s">
        <v>1359</v>
      </c>
      <c r="E826" s="62" t="s">
        <v>524</v>
      </c>
      <c r="F826" s="74" t="s">
        <v>1360</v>
      </c>
      <c r="G826" s="1"/>
      <c r="H826" s="1"/>
      <c r="I826" s="1"/>
      <c r="J826" s="1"/>
      <c r="K826" s="1"/>
      <c r="L826" s="1"/>
      <c r="M826" s="1"/>
      <c r="N826" s="1"/>
      <c r="O826" s="1"/>
      <c r="P826" s="1"/>
    </row>
    <row r="827" spans="4:16" ht="18.75" x14ac:dyDescent="0.3">
      <c r="D827" s="77" t="s">
        <v>1361</v>
      </c>
      <c r="E827" s="78" t="s">
        <v>26</v>
      </c>
      <c r="F827" s="74" t="s">
        <v>1362</v>
      </c>
      <c r="G827" s="1"/>
      <c r="H827" s="1"/>
      <c r="I827" s="1"/>
      <c r="J827" s="1"/>
      <c r="K827" s="1"/>
      <c r="L827" s="1"/>
      <c r="M827" s="1"/>
      <c r="N827" s="1"/>
      <c r="O827" s="1"/>
      <c r="P827" s="1"/>
    </row>
    <row r="828" spans="4:16" ht="18.75" x14ac:dyDescent="0.3">
      <c r="D828" s="61" t="s">
        <v>1363</v>
      </c>
      <c r="E828" s="62" t="s">
        <v>7</v>
      </c>
      <c r="F828" s="74" t="s">
        <v>1364</v>
      </c>
      <c r="G828" s="1"/>
      <c r="H828" s="1"/>
      <c r="I828" s="1"/>
      <c r="J828" s="1"/>
      <c r="K828" s="1"/>
      <c r="L828" s="1"/>
      <c r="M828" s="1"/>
      <c r="N828" s="1"/>
      <c r="O828" s="1"/>
      <c r="P828" s="1"/>
    </row>
    <row r="829" spans="4:16" ht="18.75" x14ac:dyDescent="0.3">
      <c r="D829" s="77" t="s">
        <v>1365</v>
      </c>
      <c r="E829" s="78" t="s">
        <v>7</v>
      </c>
      <c r="F829" s="74" t="s">
        <v>1366</v>
      </c>
      <c r="G829" s="1"/>
      <c r="H829" s="1"/>
      <c r="I829" s="1"/>
      <c r="J829" s="1"/>
      <c r="K829" s="1"/>
      <c r="L829" s="1"/>
      <c r="M829" s="1"/>
      <c r="N829" s="1"/>
      <c r="O829" s="1"/>
      <c r="P829" s="1"/>
    </row>
    <row r="830" spans="4:16" ht="18.75" x14ac:dyDescent="0.3">
      <c r="D830" s="61" t="s">
        <v>1367</v>
      </c>
      <c r="E830" s="62" t="s">
        <v>11</v>
      </c>
      <c r="F830" s="74" t="s">
        <v>1368</v>
      </c>
      <c r="G830" s="1"/>
      <c r="H830" s="1"/>
      <c r="I830" s="1"/>
      <c r="J830" s="1"/>
      <c r="K830" s="1"/>
      <c r="L830" s="1"/>
      <c r="M830" s="1"/>
      <c r="N830" s="1"/>
      <c r="O830" s="1"/>
      <c r="P830" s="1"/>
    </row>
    <row r="831" spans="4:16" ht="18.75" x14ac:dyDescent="0.3">
      <c r="D831" s="61" t="s">
        <v>1351</v>
      </c>
      <c r="E831" s="62" t="s">
        <v>5</v>
      </c>
      <c r="F831" s="74" t="s">
        <v>1352</v>
      </c>
      <c r="G831" s="1"/>
      <c r="H831" s="1"/>
      <c r="I831" s="1"/>
      <c r="J831" s="1"/>
      <c r="K831" s="1"/>
      <c r="L831" s="1"/>
      <c r="M831" s="1"/>
      <c r="N831" s="1"/>
      <c r="O831" s="1"/>
      <c r="P831" s="1"/>
    </row>
    <row r="832" spans="4:16" ht="18.75" x14ac:dyDescent="0.3">
      <c r="D832" s="61" t="s">
        <v>1371</v>
      </c>
      <c r="E832" s="62" t="s">
        <v>467</v>
      </c>
      <c r="F832" s="74" t="s">
        <v>1372</v>
      </c>
      <c r="G832" s="1"/>
      <c r="H832" s="1"/>
      <c r="I832" s="1"/>
      <c r="J832" s="1"/>
      <c r="K832" s="1"/>
      <c r="L832" s="1"/>
      <c r="M832" s="1"/>
      <c r="N832" s="1"/>
      <c r="O832" s="1"/>
      <c r="P832" s="1"/>
    </row>
    <row r="833" spans="4:16" ht="18.75" x14ac:dyDescent="0.3">
      <c r="D833" s="61" t="s">
        <v>1373</v>
      </c>
      <c r="E833" s="62" t="s">
        <v>16</v>
      </c>
      <c r="F833" s="74" t="s">
        <v>1374</v>
      </c>
      <c r="G833" s="1"/>
      <c r="H833" s="1"/>
      <c r="I833" s="1"/>
      <c r="J833" s="1"/>
      <c r="K833" s="1"/>
      <c r="L833" s="1"/>
      <c r="M833" s="1"/>
      <c r="N833" s="1"/>
      <c r="O833" s="1"/>
      <c r="P833" s="1"/>
    </row>
    <row r="834" spans="4:16" ht="18.75" x14ac:dyDescent="0.3">
      <c r="D834" s="61" t="s">
        <v>1375</v>
      </c>
      <c r="E834" s="62" t="s">
        <v>455</v>
      </c>
      <c r="F834" s="74" t="s">
        <v>1376</v>
      </c>
      <c r="G834" s="1"/>
      <c r="H834" s="1"/>
      <c r="I834" s="1"/>
      <c r="J834" s="1"/>
      <c r="K834" s="1"/>
      <c r="L834" s="1"/>
      <c r="M834" s="1"/>
      <c r="N834" s="1"/>
      <c r="O834" s="1"/>
      <c r="P834" s="1"/>
    </row>
    <row r="835" spans="4:16" ht="18.75" x14ac:dyDescent="0.3">
      <c r="D835" s="61" t="s">
        <v>1377</v>
      </c>
      <c r="E835" s="62" t="s">
        <v>467</v>
      </c>
      <c r="F835" s="74" t="s">
        <v>1378</v>
      </c>
      <c r="G835" s="1"/>
      <c r="H835" s="1"/>
      <c r="I835" s="1"/>
      <c r="J835" s="1"/>
      <c r="K835" s="1"/>
      <c r="L835" s="1"/>
      <c r="M835" s="1"/>
      <c r="N835" s="1"/>
      <c r="O835" s="1"/>
      <c r="P835" s="1"/>
    </row>
    <row r="836" spans="4:16" ht="18.75" x14ac:dyDescent="0.3">
      <c r="D836" s="61" t="s">
        <v>1379</v>
      </c>
      <c r="E836" s="62" t="s">
        <v>5</v>
      </c>
      <c r="F836" s="74" t="s">
        <v>1380</v>
      </c>
      <c r="G836" s="1"/>
      <c r="H836" s="1"/>
      <c r="I836" s="1"/>
      <c r="J836" s="1"/>
      <c r="K836" s="1"/>
      <c r="L836" s="1"/>
      <c r="M836" s="1"/>
      <c r="N836" s="1"/>
      <c r="O836" s="1"/>
      <c r="P836" s="1"/>
    </row>
    <row r="837" spans="4:16" ht="18.75" x14ac:dyDescent="0.3">
      <c r="D837" s="61" t="s">
        <v>1369</v>
      </c>
      <c r="E837" s="62" t="s">
        <v>480</v>
      </c>
      <c r="F837" s="74" t="s">
        <v>1370</v>
      </c>
      <c r="G837" s="1"/>
      <c r="H837" s="1"/>
      <c r="I837" s="1"/>
      <c r="J837" s="1"/>
      <c r="K837" s="1"/>
      <c r="L837" s="1"/>
      <c r="M837" s="1"/>
      <c r="N837" s="1"/>
      <c r="O837" s="1"/>
      <c r="P837" s="1"/>
    </row>
    <row r="838" spans="4:16" ht="18.75" x14ac:dyDescent="0.3">
      <c r="D838" s="63" t="s">
        <v>1381</v>
      </c>
      <c r="E838" s="63" t="s">
        <v>31</v>
      </c>
      <c r="F838" s="74" t="s">
        <v>1382</v>
      </c>
      <c r="G838" s="1"/>
      <c r="H838" s="1"/>
      <c r="I838" s="1"/>
      <c r="J838" s="1"/>
      <c r="K838" s="1"/>
      <c r="L838" s="1"/>
      <c r="M838" s="1"/>
      <c r="N838" s="1"/>
      <c r="O838" s="1"/>
      <c r="P838" s="1"/>
    </row>
    <row r="839" spans="4:16" ht="18.75" x14ac:dyDescent="0.3">
      <c r="D839" s="61" t="s">
        <v>1383</v>
      </c>
      <c r="E839" s="62" t="s">
        <v>31</v>
      </c>
      <c r="F839" s="74" t="s">
        <v>1384</v>
      </c>
      <c r="G839" s="1"/>
      <c r="H839" s="1"/>
      <c r="I839" s="1"/>
      <c r="J839" s="1"/>
      <c r="K839" s="1"/>
      <c r="L839" s="1"/>
      <c r="M839" s="1"/>
      <c r="N839" s="1"/>
      <c r="O839" s="1"/>
      <c r="P839" s="1"/>
    </row>
    <row r="840" spans="4:16" ht="18.75" x14ac:dyDescent="0.3">
      <c r="D840" s="77" t="s">
        <v>1385</v>
      </c>
      <c r="E840" s="78" t="s">
        <v>26</v>
      </c>
      <c r="F840" s="74" t="s">
        <v>1386</v>
      </c>
      <c r="G840" s="1"/>
      <c r="H840" s="1"/>
      <c r="I840" s="1"/>
      <c r="J840" s="1"/>
      <c r="K840" s="1"/>
      <c r="L840" s="1"/>
      <c r="M840" s="1"/>
      <c r="N840" s="1"/>
      <c r="O840" s="1"/>
      <c r="P840" s="1"/>
    </row>
    <row r="841" spans="4:16" ht="18.75" x14ac:dyDescent="0.3">
      <c r="D841" s="61" t="s">
        <v>1461</v>
      </c>
      <c r="E841" s="62" t="s">
        <v>548</v>
      </c>
      <c r="F841" s="74" t="s">
        <v>1387</v>
      </c>
      <c r="G841" s="1"/>
      <c r="H841" s="1"/>
      <c r="I841" s="1"/>
      <c r="J841" s="1"/>
      <c r="K841" s="1"/>
      <c r="L841" s="1"/>
      <c r="M841" s="1"/>
      <c r="N841" s="1"/>
      <c r="O841" s="1"/>
      <c r="P841" s="1"/>
    </row>
    <row r="842" spans="4:16" ht="18.75" x14ac:dyDescent="0.3">
      <c r="D842" s="61" t="s">
        <v>1388</v>
      </c>
      <c r="E842" s="62" t="s">
        <v>11</v>
      </c>
      <c r="F842" s="74" t="s">
        <v>1389</v>
      </c>
      <c r="G842" s="1"/>
      <c r="H842" s="1"/>
      <c r="I842" s="1"/>
      <c r="J842" s="1"/>
      <c r="K842" s="1"/>
      <c r="L842" s="1"/>
      <c r="M842" s="1"/>
      <c r="N842" s="1"/>
      <c r="O842" s="1"/>
      <c r="P842" s="1"/>
    </row>
    <row r="843" spans="4:16" ht="18.75" x14ac:dyDescent="0.3">
      <c r="D843" s="61" t="s">
        <v>1390</v>
      </c>
      <c r="E843" s="62" t="s">
        <v>16</v>
      </c>
      <c r="F843" s="74" t="s">
        <v>1391</v>
      </c>
      <c r="G843" s="1"/>
      <c r="H843" s="1"/>
      <c r="I843" s="1"/>
      <c r="J843" s="1"/>
      <c r="K843" s="1"/>
      <c r="L843" s="1"/>
      <c r="M843" s="1"/>
      <c r="N843" s="1"/>
      <c r="O843" s="1"/>
      <c r="P843" s="1"/>
    </row>
    <row r="844" spans="4:16" ht="18.75" x14ac:dyDescent="0.3">
      <c r="D844" s="77" t="s">
        <v>1392</v>
      </c>
      <c r="E844" s="78"/>
      <c r="F844" s="74" t="s">
        <v>1393</v>
      </c>
      <c r="G844" s="1"/>
      <c r="H844" s="1"/>
      <c r="I844" s="1"/>
      <c r="J844" s="1"/>
      <c r="K844" s="1"/>
      <c r="L844" s="1"/>
      <c r="M844" s="1"/>
      <c r="N844" s="1"/>
      <c r="O844" s="1"/>
      <c r="P844" s="1"/>
    </row>
    <row r="845" spans="4:16" ht="18.75" x14ac:dyDescent="0.3">
      <c r="D845" s="77" t="s">
        <v>1396</v>
      </c>
      <c r="E845" s="78" t="s">
        <v>1397</v>
      </c>
      <c r="F845" s="74" t="s">
        <v>1398</v>
      </c>
      <c r="G845" s="1"/>
      <c r="H845" s="1"/>
      <c r="I845" s="1"/>
      <c r="J845" s="1"/>
      <c r="K845" s="1"/>
      <c r="L845" s="1"/>
      <c r="M845" s="1"/>
      <c r="N845" s="1"/>
      <c r="O845" s="1"/>
      <c r="P845" s="1"/>
    </row>
    <row r="846" spans="4:16" ht="18.75" x14ac:dyDescent="0.3">
      <c r="D846" s="61" t="s">
        <v>1394</v>
      </c>
      <c r="E846" s="62" t="s">
        <v>515</v>
      </c>
      <c r="F846" s="74" t="s">
        <v>1395</v>
      </c>
      <c r="G846" s="1"/>
      <c r="H846" s="1"/>
      <c r="I846" s="1"/>
      <c r="J846" s="1"/>
      <c r="K846" s="1"/>
      <c r="L846" s="1"/>
      <c r="M846" s="1"/>
      <c r="N846" s="1"/>
      <c r="O846" s="1"/>
      <c r="P846" s="1"/>
    </row>
    <row r="847" spans="4:16" ht="18.75" x14ac:dyDescent="0.3">
      <c r="D847" s="61" t="s">
        <v>1399</v>
      </c>
      <c r="E847" s="62" t="s">
        <v>515</v>
      </c>
      <c r="F847" s="74" t="s">
        <v>1400</v>
      </c>
      <c r="G847" s="1"/>
      <c r="H847" s="1"/>
      <c r="I847" s="1"/>
      <c r="J847" s="1"/>
      <c r="K847" s="1"/>
      <c r="L847" s="1"/>
      <c r="M847" s="1"/>
      <c r="N847" s="1"/>
      <c r="O847" s="1"/>
      <c r="P847" s="1"/>
    </row>
    <row r="848" spans="4:16" ht="18.75" x14ac:dyDescent="0.3">
      <c r="D848" s="61" t="s">
        <v>1401</v>
      </c>
      <c r="E848" s="61"/>
      <c r="F848" s="74" t="s">
        <v>1402</v>
      </c>
      <c r="G848" s="1"/>
      <c r="H848" s="1"/>
      <c r="I848" s="1"/>
      <c r="J848" s="1"/>
      <c r="K848" s="1"/>
      <c r="L848" s="1"/>
      <c r="M848" s="1"/>
      <c r="N848" s="1"/>
      <c r="O848" s="1"/>
      <c r="P848" s="1"/>
    </row>
    <row r="849" spans="4:16" ht="18.75" x14ac:dyDescent="0.3">
      <c r="D849" s="77" t="s">
        <v>1403</v>
      </c>
      <c r="E849" s="78" t="s">
        <v>26</v>
      </c>
      <c r="F849" s="74" t="s">
        <v>1404</v>
      </c>
      <c r="G849" s="1"/>
      <c r="H849" s="1"/>
      <c r="I849" s="1"/>
      <c r="J849" s="1"/>
      <c r="K849" s="1"/>
      <c r="L849" s="1"/>
      <c r="M849" s="1"/>
      <c r="N849" s="1"/>
      <c r="O849" s="1"/>
      <c r="P849" s="1"/>
    </row>
    <row r="850" spans="4:16" ht="18.75" x14ac:dyDescent="0.3">
      <c r="D850" s="61" t="s">
        <v>1405</v>
      </c>
      <c r="E850" s="61" t="s">
        <v>515</v>
      </c>
      <c r="F850" s="74" t="s">
        <v>1406</v>
      </c>
      <c r="G850" s="1"/>
      <c r="H850" s="1"/>
      <c r="I850" s="1"/>
      <c r="J850" s="1"/>
      <c r="K850" s="1"/>
      <c r="L850" s="1"/>
      <c r="M850" s="1"/>
      <c r="N850" s="1"/>
      <c r="O850" s="1"/>
      <c r="P850" s="1"/>
    </row>
    <row r="851" spans="4:16" ht="18.75" x14ac:dyDescent="0.3">
      <c r="D851" s="61" t="s">
        <v>1407</v>
      </c>
      <c r="E851" s="62"/>
      <c r="F851" s="74" t="s">
        <v>1408</v>
      </c>
      <c r="G851" s="1"/>
      <c r="H851" s="1"/>
      <c r="I851" s="1"/>
      <c r="J851" s="1"/>
      <c r="K851" s="1"/>
      <c r="L851" s="1"/>
      <c r="M851" s="1"/>
      <c r="N851" s="1"/>
      <c r="O851" s="1"/>
      <c r="P851" s="1"/>
    </row>
    <row r="852" spans="4:16" ht="18.75" x14ac:dyDescent="0.3">
      <c r="D852" s="61" t="s">
        <v>1409</v>
      </c>
      <c r="E852" s="62" t="s">
        <v>515</v>
      </c>
      <c r="F852" s="74" t="s">
        <v>1410</v>
      </c>
      <c r="G852" s="1"/>
      <c r="H852" s="1"/>
      <c r="I852" s="1"/>
      <c r="J852" s="1"/>
      <c r="K852" s="1"/>
      <c r="L852" s="1"/>
      <c r="M852" s="1"/>
      <c r="N852" s="1"/>
      <c r="O852" s="1"/>
      <c r="P852" s="1"/>
    </row>
    <row r="853" spans="4:16" ht="18.75" x14ac:dyDescent="0.3">
      <c r="D853" s="61" t="s">
        <v>1411</v>
      </c>
      <c r="E853" s="62" t="s">
        <v>480</v>
      </c>
      <c r="F853" s="74" t="s">
        <v>1412</v>
      </c>
      <c r="G853" s="1"/>
      <c r="H853" s="1"/>
      <c r="I853" s="1"/>
      <c r="J853" s="1"/>
      <c r="K853" s="1"/>
      <c r="L853" s="1"/>
      <c r="M853" s="1"/>
      <c r="N853" s="1"/>
      <c r="O853" s="1"/>
      <c r="P853" s="1"/>
    </row>
    <row r="854" spans="4:16" ht="18.75" x14ac:dyDescent="0.3">
      <c r="D854" s="61" t="s">
        <v>1413</v>
      </c>
      <c r="E854" s="62" t="s">
        <v>515</v>
      </c>
      <c r="F854" s="74" t="s">
        <v>1414</v>
      </c>
      <c r="G854" s="1"/>
      <c r="H854" s="1"/>
      <c r="I854" s="1"/>
      <c r="J854" s="1"/>
      <c r="K854" s="1"/>
      <c r="L854" s="1"/>
      <c r="M854" s="1"/>
      <c r="N854" s="1"/>
      <c r="O854" s="1"/>
      <c r="P854" s="1"/>
    </row>
    <row r="855" spans="4:16" ht="18.75" x14ac:dyDescent="0.3">
      <c r="D855" s="61" t="s">
        <v>1415</v>
      </c>
      <c r="E855" s="62" t="s">
        <v>490</v>
      </c>
      <c r="F855" s="74" t="s">
        <v>1416</v>
      </c>
      <c r="G855" s="1"/>
      <c r="H855" s="1"/>
      <c r="I855" s="1"/>
      <c r="J855" s="1"/>
      <c r="K855" s="1"/>
      <c r="L855" s="1"/>
      <c r="M855" s="1"/>
      <c r="N855" s="1"/>
      <c r="O855" s="1"/>
      <c r="P855" s="1"/>
    </row>
    <row r="856" spans="4:16" ht="18.75" x14ac:dyDescent="0.3">
      <c r="D856" s="77" t="s">
        <v>1417</v>
      </c>
      <c r="E856" s="78" t="s">
        <v>7</v>
      </c>
      <c r="F856" s="74" t="s">
        <v>1418</v>
      </c>
      <c r="G856" s="1"/>
      <c r="H856" s="1"/>
      <c r="I856" s="1"/>
      <c r="J856" s="1"/>
      <c r="K856" s="1"/>
      <c r="L856" s="1"/>
      <c r="M856" s="1"/>
      <c r="N856" s="1"/>
      <c r="O856" s="1"/>
      <c r="P856" s="1"/>
    </row>
    <row r="857" spans="4:16" ht="18.75" x14ac:dyDescent="0.3">
      <c r="D857" s="61" t="s">
        <v>1419</v>
      </c>
      <c r="E857" s="62" t="s">
        <v>492</v>
      </c>
      <c r="F857" s="74" t="s">
        <v>1420</v>
      </c>
      <c r="G857" s="1"/>
      <c r="H857" s="1"/>
      <c r="I857" s="1"/>
      <c r="J857" s="1"/>
      <c r="K857" s="1"/>
      <c r="L857" s="1"/>
      <c r="M857" s="1"/>
      <c r="N857" s="1"/>
      <c r="O857" s="1"/>
      <c r="P857" s="1"/>
    </row>
    <row r="858" spans="4:16" ht="18.75" x14ac:dyDescent="0.3">
      <c r="D858" s="77" t="s">
        <v>1421</v>
      </c>
      <c r="E858" s="78" t="s">
        <v>11</v>
      </c>
      <c r="F858" s="74" t="s">
        <v>1422</v>
      </c>
      <c r="G858" s="1"/>
      <c r="H858" s="1"/>
      <c r="I858" s="1"/>
      <c r="J858" s="1"/>
      <c r="K858" s="1"/>
      <c r="L858" s="1"/>
      <c r="M858" s="1"/>
      <c r="N858" s="1"/>
      <c r="O858" s="1"/>
      <c r="P858" s="1"/>
    </row>
    <row r="859" spans="4:16" ht="18.75" x14ac:dyDescent="0.3">
      <c r="D859" s="77" t="s">
        <v>1423</v>
      </c>
      <c r="E859" s="78" t="s">
        <v>18</v>
      </c>
      <c r="F859" s="74" t="s">
        <v>1424</v>
      </c>
      <c r="G859" s="1"/>
      <c r="H859" s="1"/>
      <c r="I859" s="1"/>
      <c r="J859" s="1"/>
      <c r="K859" s="1"/>
      <c r="L859" s="1"/>
      <c r="M859" s="1"/>
      <c r="N859" s="1"/>
      <c r="O859" s="1"/>
      <c r="P859" s="1"/>
    </row>
    <row r="860" spans="4:16" ht="18.75" x14ac:dyDescent="0.3">
      <c r="D860" s="61" t="s">
        <v>1425</v>
      </c>
      <c r="E860" s="62" t="s">
        <v>7</v>
      </c>
      <c r="F860" s="74" t="s">
        <v>1426</v>
      </c>
      <c r="G860" s="1"/>
      <c r="H860" s="1"/>
      <c r="I860" s="1"/>
      <c r="J860" s="1"/>
      <c r="K860" s="1"/>
      <c r="L860" s="1"/>
      <c r="M860" s="1"/>
      <c r="N860" s="1"/>
      <c r="O860" s="1"/>
      <c r="P860" s="1"/>
    </row>
    <row r="861" spans="4:16" ht="18.75" x14ac:dyDescent="0.3">
      <c r="D861" s="61" t="s">
        <v>1427</v>
      </c>
      <c r="E861" s="62" t="s">
        <v>5</v>
      </c>
      <c r="F861" s="74" t="s">
        <v>1428</v>
      </c>
      <c r="G861" s="1"/>
      <c r="H861" s="1"/>
      <c r="I861" s="1"/>
      <c r="J861" s="1"/>
      <c r="K861" s="1"/>
      <c r="L861" s="1"/>
      <c r="M861" s="1"/>
      <c r="N861" s="1"/>
      <c r="O861" s="1"/>
      <c r="P861" s="1"/>
    </row>
    <row r="862" spans="4:16" ht="18.75" x14ac:dyDescent="0.3">
      <c r="D862" s="77" t="s">
        <v>1429</v>
      </c>
      <c r="E862" s="78" t="s">
        <v>16</v>
      </c>
      <c r="F862" s="74" t="s">
        <v>1430</v>
      </c>
      <c r="G862" s="1"/>
      <c r="H862" s="1"/>
      <c r="I862" s="1"/>
      <c r="J862" s="1"/>
      <c r="K862" s="1"/>
      <c r="L862" s="1"/>
      <c r="M862" s="1"/>
      <c r="N862" s="1"/>
      <c r="O862" s="1"/>
      <c r="P862" s="1"/>
    </row>
    <row r="863" spans="4:16" ht="18.75" x14ac:dyDescent="0.3">
      <c r="D863" s="61" t="s">
        <v>1431</v>
      </c>
      <c r="E863" s="61" t="s">
        <v>492</v>
      </c>
      <c r="F863" s="74" t="s">
        <v>1432</v>
      </c>
      <c r="G863" s="1"/>
      <c r="H863" s="1"/>
      <c r="I863" s="1"/>
      <c r="J863" s="1"/>
      <c r="K863" s="1"/>
      <c r="L863" s="1"/>
      <c r="M863" s="1"/>
      <c r="N863" s="1"/>
      <c r="O863" s="1"/>
      <c r="P863" s="1"/>
    </row>
    <row r="864" spans="4:16" ht="18.75" x14ac:dyDescent="0.3">
      <c r="D864" s="77" t="s">
        <v>1433</v>
      </c>
      <c r="E864" s="77" t="s">
        <v>576</v>
      </c>
      <c r="F864" s="74" t="s">
        <v>1434</v>
      </c>
      <c r="G864" s="1"/>
      <c r="H864" s="1"/>
      <c r="I864" s="1"/>
      <c r="J864" s="1"/>
      <c r="K864" s="1"/>
      <c r="L864" s="1"/>
      <c r="M864" s="1"/>
      <c r="N864" s="1"/>
      <c r="O864" s="1"/>
      <c r="P864" s="1"/>
    </row>
    <row r="865" spans="4:16" ht="18.75" x14ac:dyDescent="0.3">
      <c r="D865" s="61" t="s">
        <v>1435</v>
      </c>
      <c r="E865" s="62" t="s">
        <v>480</v>
      </c>
      <c r="F865" s="74" t="s">
        <v>1436</v>
      </c>
      <c r="G865" s="1"/>
      <c r="H865" s="1"/>
      <c r="I865" s="1"/>
      <c r="J865" s="1"/>
      <c r="K865" s="1"/>
      <c r="L865" s="1"/>
      <c r="M865" s="1"/>
      <c r="N865" s="1"/>
      <c r="O865" s="1"/>
      <c r="P865" s="1"/>
    </row>
    <row r="866" spans="4:16" ht="18.75" x14ac:dyDescent="0.3">
      <c r="D866" s="61" t="s">
        <v>1439</v>
      </c>
      <c r="E866" s="62" t="s">
        <v>5</v>
      </c>
      <c r="F866" s="74" t="s">
        <v>1440</v>
      </c>
      <c r="G866" s="1"/>
      <c r="H866" s="1"/>
      <c r="I866" s="1"/>
      <c r="J866" s="1"/>
      <c r="K866" s="1"/>
      <c r="L866" s="1"/>
      <c r="M866" s="1"/>
      <c r="N866" s="1"/>
      <c r="O866" s="1"/>
      <c r="P866" s="1"/>
    </row>
    <row r="867" spans="4:16" ht="18.75" x14ac:dyDescent="0.3">
      <c r="D867" s="61" t="s">
        <v>1441</v>
      </c>
      <c r="E867" s="62" t="s">
        <v>5</v>
      </c>
      <c r="F867" s="74" t="s">
        <v>1442</v>
      </c>
      <c r="G867" s="1"/>
      <c r="H867" s="1"/>
      <c r="I867" s="1"/>
      <c r="J867" s="1"/>
      <c r="K867" s="1"/>
      <c r="L867" s="1"/>
      <c r="M867" s="1"/>
      <c r="N867" s="1"/>
      <c r="O867" s="1"/>
      <c r="P867" s="1"/>
    </row>
    <row r="868" spans="4:16" ht="18.75" x14ac:dyDescent="0.3">
      <c r="D868" s="61" t="s">
        <v>1443</v>
      </c>
      <c r="E868" s="62" t="s">
        <v>480</v>
      </c>
      <c r="F868" s="74" t="s">
        <v>1444</v>
      </c>
      <c r="G868" s="1"/>
      <c r="H868" s="1"/>
      <c r="I868" s="1"/>
      <c r="J868" s="1"/>
      <c r="K868" s="1"/>
      <c r="L868" s="1"/>
      <c r="M868" s="1"/>
      <c r="N868" s="1"/>
      <c r="O868" s="1"/>
      <c r="P868" s="1"/>
    </row>
    <row r="869" spans="4:16" ht="18.75" x14ac:dyDescent="0.3">
      <c r="D869" s="61" t="s">
        <v>1445</v>
      </c>
      <c r="E869" s="62"/>
      <c r="F869" s="74" t="s">
        <v>1446</v>
      </c>
      <c r="G869" s="1"/>
      <c r="H869" s="1"/>
      <c r="I869" s="1"/>
      <c r="J869" s="1"/>
      <c r="K869" s="1"/>
      <c r="L869" s="1"/>
      <c r="M869" s="1"/>
      <c r="N869" s="1"/>
      <c r="O869" s="1"/>
      <c r="P869" s="1"/>
    </row>
    <row r="870" spans="4:16" ht="18.75" x14ac:dyDescent="0.3">
      <c r="D870" s="61" t="s">
        <v>1437</v>
      </c>
      <c r="E870" s="62" t="s">
        <v>480</v>
      </c>
      <c r="F870" s="74" t="s">
        <v>1438</v>
      </c>
      <c r="G870" s="1"/>
      <c r="H870" s="1"/>
      <c r="I870" s="1"/>
      <c r="J870" s="1"/>
      <c r="K870" s="1"/>
      <c r="L870" s="1"/>
      <c r="M870" s="1"/>
      <c r="N870" s="1"/>
      <c r="O870" s="1"/>
      <c r="P870" s="1"/>
    </row>
    <row r="871" spans="4:16" ht="18.75" x14ac:dyDescent="0.3">
      <c r="D871" s="61" t="s">
        <v>1447</v>
      </c>
      <c r="E871" s="62" t="s">
        <v>455</v>
      </c>
      <c r="F871" s="74" t="s">
        <v>1448</v>
      </c>
      <c r="G871" s="1"/>
      <c r="H871" s="1"/>
      <c r="I871" s="1"/>
      <c r="J871" s="1"/>
      <c r="K871" s="1"/>
      <c r="L871" s="1"/>
      <c r="M871" s="1"/>
      <c r="N871" s="1"/>
      <c r="O871" s="1"/>
      <c r="P871" s="1"/>
    </row>
    <row r="872" spans="4:16" ht="18.75" x14ac:dyDescent="0.3">
      <c r="D872" s="61" t="s">
        <v>1449</v>
      </c>
      <c r="E872" s="62" t="s">
        <v>5</v>
      </c>
      <c r="F872" s="74" t="s">
        <v>1450</v>
      </c>
      <c r="G872" s="1"/>
      <c r="H872" s="1"/>
      <c r="I872" s="1"/>
      <c r="J872" s="1"/>
      <c r="K872" s="1"/>
      <c r="L872" s="1"/>
      <c r="M872" s="1"/>
      <c r="N872" s="1"/>
      <c r="O872" s="1"/>
      <c r="P872" s="1"/>
    </row>
    <row r="873" spans="4:16" ht="18.75" x14ac:dyDescent="0.3">
      <c r="D873" s="61" t="s">
        <v>1451</v>
      </c>
      <c r="E873" s="62" t="s">
        <v>480</v>
      </c>
      <c r="F873" s="74" t="s">
        <v>1452</v>
      </c>
      <c r="G873" s="1"/>
      <c r="H873" s="1"/>
      <c r="I873" s="1"/>
      <c r="J873" s="1"/>
      <c r="K873" s="1"/>
      <c r="L873" s="1"/>
      <c r="M873" s="1"/>
      <c r="N873" s="1"/>
      <c r="O873" s="1"/>
      <c r="P873" s="1"/>
    </row>
    <row r="874" spans="4:16" ht="18.75" x14ac:dyDescent="0.3">
      <c r="D874" s="77" t="s">
        <v>1453</v>
      </c>
      <c r="E874" s="78"/>
      <c r="F874" s="74" t="s">
        <v>1454</v>
      </c>
      <c r="G874" s="1"/>
      <c r="H874" s="1"/>
      <c r="I874" s="1"/>
      <c r="J874" s="1"/>
      <c r="K874" s="1"/>
      <c r="L874" s="1"/>
      <c r="M874" s="1"/>
      <c r="N874" s="1"/>
      <c r="O874" s="1"/>
      <c r="P874" s="1"/>
    </row>
    <row r="875" spans="4:16" ht="18.75" x14ac:dyDescent="0.3">
      <c r="D875" s="61" t="s">
        <v>1455</v>
      </c>
      <c r="E875" s="62" t="s">
        <v>31</v>
      </c>
      <c r="F875" s="74" t="s">
        <v>1456</v>
      </c>
      <c r="G875" s="1"/>
      <c r="H875" s="1"/>
      <c r="I875" s="1"/>
      <c r="J875" s="1"/>
      <c r="K875" s="1"/>
      <c r="L875" s="1"/>
      <c r="M875" s="1"/>
      <c r="N875" s="1"/>
      <c r="O875" s="1"/>
      <c r="P875" s="1"/>
    </row>
    <row r="876" spans="4:16" ht="19.5" thickBot="1" x14ac:dyDescent="0.35">
      <c r="D876" s="79" t="s">
        <v>1459</v>
      </c>
      <c r="E876" s="80" t="s">
        <v>480</v>
      </c>
      <c r="F876" s="74" t="s">
        <v>1460</v>
      </c>
      <c r="G876" s="1"/>
      <c r="H876" s="1"/>
      <c r="I876" s="1"/>
      <c r="J876" s="1"/>
      <c r="K876" s="1"/>
      <c r="L876" s="1"/>
      <c r="M876" s="1"/>
      <c r="N876" s="1"/>
      <c r="O876" s="1"/>
      <c r="P876" s="1"/>
    </row>
    <row r="877" spans="4:16" ht="19.5" thickBot="1" x14ac:dyDescent="0.35">
      <c r="D877" s="20" t="s">
        <v>6</v>
      </c>
      <c r="E877" s="26" t="s">
        <v>5</v>
      </c>
      <c r="F877" s="81" t="s">
        <v>118</v>
      </c>
      <c r="G877" s="1"/>
      <c r="H877" s="1"/>
      <c r="I877" s="1"/>
      <c r="J877" s="1"/>
      <c r="K877" s="1"/>
      <c r="L877" s="1"/>
      <c r="M877" s="1"/>
      <c r="N877" s="1"/>
      <c r="O877" s="1"/>
      <c r="P877" s="1"/>
    </row>
    <row r="878" spans="4:16" ht="18.75" x14ac:dyDescent="0.3">
      <c r="D878" s="82" t="s">
        <v>9</v>
      </c>
      <c r="E878" s="83"/>
      <c r="F878" s="22">
        <f>SUBTOTAL(103,Tabla1[FICHA])</f>
        <v>868</v>
      </c>
      <c r="G878" s="1"/>
      <c r="H878" s="1"/>
      <c r="I878" s="1"/>
      <c r="J878" s="1"/>
      <c r="K878" s="1"/>
      <c r="L878" s="1"/>
      <c r="M878" s="1"/>
      <c r="N878" s="1"/>
      <c r="O878" s="1"/>
      <c r="P878" s="1"/>
    </row>
    <row r="879" spans="4:16" x14ac:dyDescent="0.25"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</row>
    <row r="880" spans="4:16" x14ac:dyDescent="0.25"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</row>
    <row r="881" spans="4:16" x14ac:dyDescent="0.25"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</row>
    <row r="882" spans="4:16" x14ac:dyDescent="0.25"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</row>
    <row r="883" spans="4:16" x14ac:dyDescent="0.25"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</row>
    <row r="884" spans="4:16" x14ac:dyDescent="0.25"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</row>
    <row r="885" spans="4:16" x14ac:dyDescent="0.25"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</row>
    <row r="886" spans="4:16" x14ac:dyDescent="0.25"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</row>
    <row r="887" spans="4:16" x14ac:dyDescent="0.25"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</row>
    <row r="888" spans="4:16" x14ac:dyDescent="0.25"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</row>
    <row r="889" spans="4:16" x14ac:dyDescent="0.25"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</row>
    <row r="890" spans="4:16" x14ac:dyDescent="0.25"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</row>
    <row r="891" spans="4:16" x14ac:dyDescent="0.25"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</row>
    <row r="892" spans="4:16" x14ac:dyDescent="0.25"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</row>
    <row r="893" spans="4:16" x14ac:dyDescent="0.25"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</row>
    <row r="894" spans="4:16" x14ac:dyDescent="0.25"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</row>
    <row r="895" spans="4:16" x14ac:dyDescent="0.25"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</row>
    <row r="896" spans="4:16" x14ac:dyDescent="0.25"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</row>
    <row r="897" spans="4:16" x14ac:dyDescent="0.25"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</row>
    <row r="898" spans="4:16" x14ac:dyDescent="0.25"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</row>
    <row r="899" spans="4:16" x14ac:dyDescent="0.25"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</row>
    <row r="900" spans="4:16" x14ac:dyDescent="0.25"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</row>
    <row r="901" spans="4:16" x14ac:dyDescent="0.25"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</row>
    <row r="902" spans="4:16" x14ac:dyDescent="0.25"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</row>
    <row r="903" spans="4:16" x14ac:dyDescent="0.25"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</row>
    <row r="904" spans="4:16" x14ac:dyDescent="0.25"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</row>
    <row r="905" spans="4:16" x14ac:dyDescent="0.25"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</row>
    <row r="906" spans="4:16" x14ac:dyDescent="0.25"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</row>
    <row r="907" spans="4:16" x14ac:dyDescent="0.25"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</row>
    <row r="908" spans="4:16" x14ac:dyDescent="0.25"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</row>
    <row r="909" spans="4:16" x14ac:dyDescent="0.25"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</row>
    <row r="910" spans="4:16" x14ac:dyDescent="0.25"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</row>
    <row r="911" spans="4:16" x14ac:dyDescent="0.25"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</row>
    <row r="912" spans="4:16" x14ac:dyDescent="0.25"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</row>
    <row r="913" spans="4:16" x14ac:dyDescent="0.25"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</row>
    <row r="914" spans="4:16" x14ac:dyDescent="0.25"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</row>
    <row r="915" spans="4:16" x14ac:dyDescent="0.25"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</row>
    <row r="916" spans="4:16" x14ac:dyDescent="0.25"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</row>
    <row r="917" spans="4:16" x14ac:dyDescent="0.25"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</row>
    <row r="918" spans="4:16" x14ac:dyDescent="0.25"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</row>
    <row r="919" spans="4:16" x14ac:dyDescent="0.25"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</row>
    <row r="920" spans="4:16" x14ac:dyDescent="0.25"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</row>
    <row r="921" spans="4:16" x14ac:dyDescent="0.25"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</row>
    <row r="922" spans="4:16" x14ac:dyDescent="0.25"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</row>
    <row r="923" spans="4:16" x14ac:dyDescent="0.25"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</row>
    <row r="924" spans="4:16" x14ac:dyDescent="0.25"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</row>
    <row r="925" spans="4:16" x14ac:dyDescent="0.25"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</row>
    <row r="926" spans="4:16" x14ac:dyDescent="0.25"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</row>
    <row r="927" spans="4:16" x14ac:dyDescent="0.25"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</row>
    <row r="928" spans="4:16" x14ac:dyDescent="0.25"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</row>
    <row r="929" spans="4:16" x14ac:dyDescent="0.25"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</row>
    <row r="930" spans="4:16" x14ac:dyDescent="0.25"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</row>
    <row r="931" spans="4:16" x14ac:dyDescent="0.25"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</row>
    <row r="932" spans="4:16" x14ac:dyDescent="0.25"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</row>
    <row r="933" spans="4:16" x14ac:dyDescent="0.25"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</row>
    <row r="934" spans="4:16" x14ac:dyDescent="0.25"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</row>
    <row r="935" spans="4:16" x14ac:dyDescent="0.25"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</row>
    <row r="936" spans="4:16" x14ac:dyDescent="0.25"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</row>
    <row r="937" spans="4:16" x14ac:dyDescent="0.25"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</row>
    <row r="938" spans="4:16" x14ac:dyDescent="0.25"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</row>
    <row r="939" spans="4:16" x14ac:dyDescent="0.25"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</row>
    <row r="940" spans="4:16" x14ac:dyDescent="0.25"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</row>
    <row r="941" spans="4:16" x14ac:dyDescent="0.25"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</row>
    <row r="942" spans="4:16" x14ac:dyDescent="0.25"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</row>
    <row r="943" spans="4:16" x14ac:dyDescent="0.25"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</row>
    <row r="944" spans="4:16" x14ac:dyDescent="0.25"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</row>
    <row r="945" spans="4:16" x14ac:dyDescent="0.25"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</row>
    <row r="946" spans="4:16" x14ac:dyDescent="0.25"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</row>
    <row r="947" spans="4:16" x14ac:dyDescent="0.25"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</row>
    <row r="948" spans="4:16" x14ac:dyDescent="0.25"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</row>
    <row r="949" spans="4:16" x14ac:dyDescent="0.25"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</row>
    <row r="950" spans="4:16" x14ac:dyDescent="0.25"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</row>
    <row r="951" spans="4:16" x14ac:dyDescent="0.25"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</row>
    <row r="952" spans="4:16" x14ac:dyDescent="0.25"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</row>
    <row r="953" spans="4:16" x14ac:dyDescent="0.25"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</row>
    <row r="954" spans="4:16" x14ac:dyDescent="0.25"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</row>
    <row r="955" spans="4:16" x14ac:dyDescent="0.25"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</row>
    <row r="956" spans="4:16" x14ac:dyDescent="0.25"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</row>
    <row r="957" spans="4:16" x14ac:dyDescent="0.25"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</row>
    <row r="958" spans="4:16" x14ac:dyDescent="0.25"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</row>
    <row r="959" spans="4:16" x14ac:dyDescent="0.25"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</row>
    <row r="960" spans="4:16" x14ac:dyDescent="0.25"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</row>
    <row r="961" spans="4:16" x14ac:dyDescent="0.25"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</row>
    <row r="962" spans="4:16" x14ac:dyDescent="0.25"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</row>
    <row r="963" spans="4:16" x14ac:dyDescent="0.25"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</row>
    <row r="964" spans="4:16" x14ac:dyDescent="0.25"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</row>
    <row r="965" spans="4:16" x14ac:dyDescent="0.25"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</row>
    <row r="966" spans="4:16" x14ac:dyDescent="0.25"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</row>
    <row r="967" spans="4:16" x14ac:dyDescent="0.25"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</row>
    <row r="968" spans="4:16" x14ac:dyDescent="0.25"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</row>
    <row r="969" spans="4:16" x14ac:dyDescent="0.25"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</row>
    <row r="970" spans="4:16" x14ac:dyDescent="0.25"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</row>
    <row r="971" spans="4:16" x14ac:dyDescent="0.25"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</row>
    <row r="972" spans="4:16" x14ac:dyDescent="0.25"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</row>
    <row r="973" spans="4:16" x14ac:dyDescent="0.25"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</row>
    <row r="974" spans="4:16" x14ac:dyDescent="0.25"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</row>
    <row r="975" spans="4:16" x14ac:dyDescent="0.25"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</row>
    <row r="976" spans="4:16" x14ac:dyDescent="0.25"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</row>
    <row r="977" spans="4:16" x14ac:dyDescent="0.25"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</row>
    <row r="978" spans="4:16" x14ac:dyDescent="0.25"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</row>
    <row r="979" spans="4:16" x14ac:dyDescent="0.25"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</row>
    <row r="980" spans="4:16" x14ac:dyDescent="0.25"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</row>
    <row r="981" spans="4:16" x14ac:dyDescent="0.25"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</row>
    <row r="982" spans="4:16" x14ac:dyDescent="0.25"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</row>
    <row r="983" spans="4:16" x14ac:dyDescent="0.25"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</row>
    <row r="984" spans="4:16" x14ac:dyDescent="0.25"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</row>
    <row r="985" spans="4:16" x14ac:dyDescent="0.25"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</row>
    <row r="986" spans="4:16" x14ac:dyDescent="0.25"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</row>
    <row r="987" spans="4:16" x14ac:dyDescent="0.25"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</row>
    <row r="988" spans="4:16" x14ac:dyDescent="0.25"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</row>
    <row r="989" spans="4:16" x14ac:dyDescent="0.25"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</row>
    <row r="990" spans="4:16" x14ac:dyDescent="0.25"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</row>
    <row r="991" spans="4:16" x14ac:dyDescent="0.25"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</row>
    <row r="992" spans="4:16" x14ac:dyDescent="0.25"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</row>
    <row r="993" spans="4:16" x14ac:dyDescent="0.25"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</row>
    <row r="994" spans="4:16" x14ac:dyDescent="0.25"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</row>
    <row r="995" spans="4:16" x14ac:dyDescent="0.25"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</row>
    <row r="996" spans="4:16" x14ac:dyDescent="0.25"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</row>
    <row r="997" spans="4:16" x14ac:dyDescent="0.25"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</row>
    <row r="998" spans="4:16" x14ac:dyDescent="0.25"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</row>
    <row r="999" spans="4:16" x14ac:dyDescent="0.25"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</row>
    <row r="1000" spans="4:16" x14ac:dyDescent="0.25"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</row>
    <row r="1001" spans="4:16" x14ac:dyDescent="0.25"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</row>
    <row r="1002" spans="4:16" x14ac:dyDescent="0.25"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</row>
    <row r="1003" spans="4:16" x14ac:dyDescent="0.25"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</row>
    <row r="1004" spans="4:16" x14ac:dyDescent="0.25"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</row>
    <row r="1005" spans="4:16" x14ac:dyDescent="0.25"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</row>
    <row r="1006" spans="4:16" x14ac:dyDescent="0.25"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</row>
    <row r="1007" spans="4:16" x14ac:dyDescent="0.25"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</row>
    <row r="1008" spans="4:16" x14ac:dyDescent="0.25"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</row>
    <row r="1009" spans="4:16" x14ac:dyDescent="0.25"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</row>
    <row r="1010" spans="4:16" x14ac:dyDescent="0.25"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</row>
    <row r="1011" spans="4:16" x14ac:dyDescent="0.25"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</row>
    <row r="1012" spans="4:16" x14ac:dyDescent="0.25"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</row>
    <row r="1013" spans="4:16" x14ac:dyDescent="0.25"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</row>
    <row r="1014" spans="4:16" x14ac:dyDescent="0.25"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</row>
    <row r="1015" spans="4:16" x14ac:dyDescent="0.25"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</row>
    <row r="1016" spans="4:16" x14ac:dyDescent="0.25"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</row>
    <row r="1017" spans="4:16" x14ac:dyDescent="0.25"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</row>
    <row r="1018" spans="4:16" x14ac:dyDescent="0.25"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</row>
    <row r="1019" spans="4:16" x14ac:dyDescent="0.25"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</row>
    <row r="1020" spans="4:16" x14ac:dyDescent="0.25"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</row>
    <row r="1021" spans="4:16" x14ac:dyDescent="0.25"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</row>
    <row r="1022" spans="4:16" x14ac:dyDescent="0.25"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</row>
    <row r="1023" spans="4:16" x14ac:dyDescent="0.25"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</row>
    <row r="1024" spans="4:16" x14ac:dyDescent="0.25"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</row>
    <row r="1025" spans="4:16" x14ac:dyDescent="0.25"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</row>
    <row r="1026" spans="4:16" x14ac:dyDescent="0.25"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</row>
    <row r="1027" spans="4:16" x14ac:dyDescent="0.25"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</row>
    <row r="1028" spans="4:16" x14ac:dyDescent="0.25"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</row>
    <row r="1029" spans="4:16" x14ac:dyDescent="0.25"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</row>
    <row r="1030" spans="4:16" x14ac:dyDescent="0.25"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</row>
    <row r="1031" spans="4:16" x14ac:dyDescent="0.25"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</row>
    <row r="1032" spans="4:16" x14ac:dyDescent="0.25"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</row>
    <row r="1033" spans="4:16" x14ac:dyDescent="0.25"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</row>
    <row r="1034" spans="4:16" x14ac:dyDescent="0.25"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</row>
    <row r="1035" spans="4:16" x14ac:dyDescent="0.25"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</row>
    <row r="1036" spans="4:16" x14ac:dyDescent="0.25"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</row>
    <row r="1037" spans="4:16" x14ac:dyDescent="0.25"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</row>
    <row r="1038" spans="4:16" x14ac:dyDescent="0.25"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</row>
    <row r="1039" spans="4:16" x14ac:dyDescent="0.25"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</row>
    <row r="1040" spans="4:16" x14ac:dyDescent="0.25"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</row>
    <row r="1041" spans="4:16" x14ac:dyDescent="0.25"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</row>
    <row r="1042" spans="4:16" x14ac:dyDescent="0.25"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</row>
    <row r="1043" spans="4:16" x14ac:dyDescent="0.25"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</row>
    <row r="1044" spans="4:16" x14ac:dyDescent="0.25"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</row>
    <row r="1045" spans="4:16" x14ac:dyDescent="0.25"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</row>
    <row r="1046" spans="4:16" x14ac:dyDescent="0.25"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</row>
    <row r="1047" spans="4:16" x14ac:dyDescent="0.25"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</row>
    <row r="1048" spans="4:16" x14ac:dyDescent="0.25"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</row>
    <row r="1049" spans="4:16" x14ac:dyDescent="0.25"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</row>
    <row r="1050" spans="4:16" x14ac:dyDescent="0.25"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</row>
    <row r="1051" spans="4:16" x14ac:dyDescent="0.25"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</row>
    <row r="1052" spans="4:16" x14ac:dyDescent="0.25"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</row>
    <row r="1053" spans="4:16" x14ac:dyDescent="0.25"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</row>
    <row r="1054" spans="4:16" x14ac:dyDescent="0.25"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</row>
    <row r="1055" spans="4:16" x14ac:dyDescent="0.25"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</row>
    <row r="1056" spans="4:16" x14ac:dyDescent="0.25"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</row>
    <row r="1057" spans="4:16" x14ac:dyDescent="0.25"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</row>
    <row r="1058" spans="4:16" x14ac:dyDescent="0.25"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</row>
    <row r="1059" spans="4:16" x14ac:dyDescent="0.25"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</row>
    <row r="1060" spans="4:16" x14ac:dyDescent="0.25"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</row>
    <row r="1061" spans="4:16" x14ac:dyDescent="0.25"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</row>
    <row r="1062" spans="4:16" x14ac:dyDescent="0.25"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</row>
    <row r="1063" spans="4:16" x14ac:dyDescent="0.25"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</row>
    <row r="1064" spans="4:16" x14ac:dyDescent="0.25"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</row>
    <row r="1065" spans="4:16" x14ac:dyDescent="0.25"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</row>
    <row r="1066" spans="4:16" x14ac:dyDescent="0.25"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</row>
    <row r="1067" spans="4:16" x14ac:dyDescent="0.25"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</row>
    <row r="1068" spans="4:16" x14ac:dyDescent="0.25"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</row>
    <row r="1069" spans="4:16" x14ac:dyDescent="0.25"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</row>
    <row r="1070" spans="4:16" x14ac:dyDescent="0.25"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</row>
    <row r="1071" spans="4:16" x14ac:dyDescent="0.25"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</row>
    <row r="1072" spans="4:16" x14ac:dyDescent="0.25"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</row>
    <row r="1073" spans="4:16" x14ac:dyDescent="0.25"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</row>
    <row r="1074" spans="4:16" x14ac:dyDescent="0.25"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</row>
    <row r="1075" spans="4:16" x14ac:dyDescent="0.25"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</row>
    <row r="1076" spans="4:16" x14ac:dyDescent="0.25"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</row>
    <row r="1077" spans="4:16" x14ac:dyDescent="0.25"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</row>
    <row r="1078" spans="4:16" x14ac:dyDescent="0.25"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</row>
    <row r="1079" spans="4:16" x14ac:dyDescent="0.25"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</row>
    <row r="1080" spans="4:16" x14ac:dyDescent="0.25"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</row>
    <row r="1081" spans="4:16" x14ac:dyDescent="0.25"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</row>
    <row r="1082" spans="4:16" x14ac:dyDescent="0.25"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</row>
    <row r="1083" spans="4:16" x14ac:dyDescent="0.25"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</row>
    <row r="1084" spans="4:16" x14ac:dyDescent="0.25"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</row>
    <row r="1085" spans="4:16" x14ac:dyDescent="0.25"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</row>
    <row r="1086" spans="4:16" x14ac:dyDescent="0.25"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</row>
    <row r="1087" spans="4:16" x14ac:dyDescent="0.25"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</row>
    <row r="1088" spans="4:16" x14ac:dyDescent="0.25"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</row>
    <row r="1089" spans="4:16" x14ac:dyDescent="0.25"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</row>
    <row r="1090" spans="4:16" x14ac:dyDescent="0.25"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</row>
    <row r="1091" spans="4:16" x14ac:dyDescent="0.25"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</row>
    <row r="1092" spans="4:16" x14ac:dyDescent="0.25"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</row>
    <row r="1093" spans="4:16" x14ac:dyDescent="0.25"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</row>
    <row r="1094" spans="4:16" x14ac:dyDescent="0.25"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</row>
    <row r="1095" spans="4:16" x14ac:dyDescent="0.25"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</row>
    <row r="1096" spans="4:16" x14ac:dyDescent="0.25"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</row>
    <row r="1097" spans="4:16" x14ac:dyDescent="0.25"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</row>
    <row r="1098" spans="4:16" x14ac:dyDescent="0.25"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</row>
    <row r="1099" spans="4:16" x14ac:dyDescent="0.25"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</row>
    <row r="1100" spans="4:16" x14ac:dyDescent="0.25"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</row>
    <row r="1101" spans="4:16" x14ac:dyDescent="0.25"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</row>
    <row r="1102" spans="4:16" x14ac:dyDescent="0.25"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</row>
    <row r="1103" spans="4:16" x14ac:dyDescent="0.25"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</row>
    <row r="1104" spans="4:16" x14ac:dyDescent="0.25"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</row>
    <row r="1105" spans="4:16" x14ac:dyDescent="0.25"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</row>
    <row r="1106" spans="4:16" x14ac:dyDescent="0.25"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</row>
    <row r="1107" spans="4:16" x14ac:dyDescent="0.25"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</row>
    <row r="1108" spans="4:16" x14ac:dyDescent="0.25"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</row>
    <row r="1109" spans="4:16" x14ac:dyDescent="0.25"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</row>
    <row r="1110" spans="4:16" x14ac:dyDescent="0.25"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</row>
    <row r="1111" spans="4:16" x14ac:dyDescent="0.25"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</row>
    <row r="1112" spans="4:16" x14ac:dyDescent="0.25"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</row>
    <row r="1113" spans="4:16" x14ac:dyDescent="0.25"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</row>
    <row r="1114" spans="4:16" x14ac:dyDescent="0.25"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</row>
    <row r="1115" spans="4:16" x14ac:dyDescent="0.25"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</row>
    <row r="1116" spans="4:16" x14ac:dyDescent="0.25"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</row>
    <row r="1117" spans="4:16" x14ac:dyDescent="0.25"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</row>
    <row r="1118" spans="4:16" x14ac:dyDescent="0.25"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</row>
    <row r="1119" spans="4:16" x14ac:dyDescent="0.25"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</row>
    <row r="1120" spans="4:16" x14ac:dyDescent="0.25"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</row>
    <row r="1121" spans="4:16" x14ac:dyDescent="0.25"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</row>
    <row r="1122" spans="4:16" x14ac:dyDescent="0.25"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</row>
    <row r="1123" spans="4:16" x14ac:dyDescent="0.25"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</row>
    <row r="1124" spans="4:16" x14ac:dyDescent="0.25"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</row>
    <row r="1125" spans="4:16" x14ac:dyDescent="0.25"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</row>
    <row r="1126" spans="4:16" x14ac:dyDescent="0.25"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</row>
    <row r="1127" spans="4:16" x14ac:dyDescent="0.25"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</row>
    <row r="1128" spans="4:16" x14ac:dyDescent="0.25"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</row>
    <row r="1129" spans="4:16" x14ac:dyDescent="0.25"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</row>
    <row r="1130" spans="4:16" x14ac:dyDescent="0.25"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</row>
    <row r="1131" spans="4:16" x14ac:dyDescent="0.25"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</row>
    <row r="1132" spans="4:16" x14ac:dyDescent="0.25"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</row>
    <row r="1133" spans="4:16" x14ac:dyDescent="0.25"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</row>
    <row r="1134" spans="4:16" x14ac:dyDescent="0.25"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</row>
    <row r="1135" spans="4:16" x14ac:dyDescent="0.25"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</row>
    <row r="1136" spans="4:16" x14ac:dyDescent="0.25"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</row>
    <row r="1137" spans="4:16" x14ac:dyDescent="0.25"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</row>
    <row r="1138" spans="4:16" x14ac:dyDescent="0.25"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</row>
    <row r="1139" spans="4:16" x14ac:dyDescent="0.25"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</row>
    <row r="1140" spans="4:16" x14ac:dyDescent="0.25"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</row>
    <row r="1141" spans="4:16" x14ac:dyDescent="0.25"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</row>
    <row r="1142" spans="4:16" x14ac:dyDescent="0.25"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</row>
    <row r="1143" spans="4:16" x14ac:dyDescent="0.25"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</row>
    <row r="1144" spans="4:16" x14ac:dyDescent="0.25"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</row>
    <row r="1145" spans="4:16" x14ac:dyDescent="0.25"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</row>
    <row r="1146" spans="4:16" x14ac:dyDescent="0.25"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</row>
    <row r="1147" spans="4:16" x14ac:dyDescent="0.25"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</row>
    <row r="1148" spans="4:16" x14ac:dyDescent="0.25"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</row>
    <row r="1149" spans="4:16" x14ac:dyDescent="0.25"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</row>
    <row r="1150" spans="4:16" x14ac:dyDescent="0.25"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</row>
    <row r="1151" spans="4:16" x14ac:dyDescent="0.25"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</row>
    <row r="1152" spans="4:16" x14ac:dyDescent="0.25"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</row>
    <row r="1153" spans="4:16" x14ac:dyDescent="0.25"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</row>
    <row r="1154" spans="4:16" x14ac:dyDescent="0.25"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</row>
    <row r="1155" spans="4:16" x14ac:dyDescent="0.25"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</row>
    <row r="1156" spans="4:16" x14ac:dyDescent="0.25"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</row>
    <row r="1157" spans="4:16" x14ac:dyDescent="0.25"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</row>
    <row r="1158" spans="4:16" x14ac:dyDescent="0.25"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</row>
    <row r="1159" spans="4:16" x14ac:dyDescent="0.25"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</row>
    <row r="1160" spans="4:16" x14ac:dyDescent="0.25"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</row>
    <row r="1161" spans="4:16" x14ac:dyDescent="0.25"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</row>
    <row r="1162" spans="4:16" x14ac:dyDescent="0.25"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</row>
    <row r="1163" spans="4:16" x14ac:dyDescent="0.25"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</row>
    <row r="1164" spans="4:16" x14ac:dyDescent="0.25"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</row>
    <row r="1165" spans="4:16" x14ac:dyDescent="0.25"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</row>
    <row r="1166" spans="4:16" x14ac:dyDescent="0.25"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</row>
    <row r="1167" spans="4:16" x14ac:dyDescent="0.25"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</row>
    <row r="1168" spans="4:16" x14ac:dyDescent="0.25"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</row>
    <row r="1169" spans="4:16" x14ac:dyDescent="0.25"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</row>
    <row r="1170" spans="4:16" x14ac:dyDescent="0.25"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</row>
    <row r="1171" spans="4:16" x14ac:dyDescent="0.25"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</row>
    <row r="1172" spans="4:16" x14ac:dyDescent="0.25"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</row>
    <row r="1173" spans="4:16" x14ac:dyDescent="0.25"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</row>
    <row r="1174" spans="4:16" x14ac:dyDescent="0.25"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</row>
    <row r="1175" spans="4:16" x14ac:dyDescent="0.25"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</row>
    <row r="1176" spans="4:16" x14ac:dyDescent="0.25"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</row>
    <row r="1177" spans="4:16" x14ac:dyDescent="0.25"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</row>
    <row r="1178" spans="4:16" x14ac:dyDescent="0.25"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</row>
    <row r="1179" spans="4:16" x14ac:dyDescent="0.25"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</row>
    <row r="1180" spans="4:16" x14ac:dyDescent="0.25"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</row>
    <row r="1181" spans="4:16" x14ac:dyDescent="0.25"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</row>
    <row r="1182" spans="4:16" x14ac:dyDescent="0.25"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</row>
    <row r="1183" spans="4:16" x14ac:dyDescent="0.25"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</row>
    <row r="1184" spans="4:16" x14ac:dyDescent="0.25"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</row>
    <row r="1185" spans="4:16" x14ac:dyDescent="0.25"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</row>
    <row r="1186" spans="4:16" x14ac:dyDescent="0.25"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</row>
    <row r="1187" spans="4:16" x14ac:dyDescent="0.25"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</row>
    <row r="1188" spans="4:16" x14ac:dyDescent="0.25"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</row>
    <row r="1189" spans="4:16" x14ac:dyDescent="0.25"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</row>
    <row r="1190" spans="4:16" x14ac:dyDescent="0.25"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</row>
    <row r="1191" spans="4:16" x14ac:dyDescent="0.25"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</row>
    <row r="1192" spans="4:16" x14ac:dyDescent="0.25"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</row>
    <row r="1193" spans="4:16" x14ac:dyDescent="0.25"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</row>
    <row r="1194" spans="4:16" x14ac:dyDescent="0.25"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</row>
    <row r="1195" spans="4:16" x14ac:dyDescent="0.25"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</row>
    <row r="1196" spans="4:16" x14ac:dyDescent="0.25"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</row>
    <row r="1197" spans="4:16" x14ac:dyDescent="0.25"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</row>
    <row r="1198" spans="4:16" x14ac:dyDescent="0.25"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</row>
    <row r="1199" spans="4:16" x14ac:dyDescent="0.25"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</row>
    <row r="1200" spans="4:16" x14ac:dyDescent="0.25"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</row>
    <row r="1201" spans="4:16" x14ac:dyDescent="0.25"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</row>
    <row r="1202" spans="4:16" x14ac:dyDescent="0.25"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</row>
    <row r="1203" spans="4:16" x14ac:dyDescent="0.25"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</row>
    <row r="1204" spans="4:16" x14ac:dyDescent="0.25"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</row>
    <row r="1205" spans="4:16" x14ac:dyDescent="0.25"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</row>
    <row r="1206" spans="4:16" x14ac:dyDescent="0.25"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</row>
    <row r="1207" spans="4:16" x14ac:dyDescent="0.25"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</row>
    <row r="1208" spans="4:16" x14ac:dyDescent="0.25"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</row>
    <row r="1209" spans="4:16" x14ac:dyDescent="0.25"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</row>
    <row r="1210" spans="4:16" x14ac:dyDescent="0.25"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</row>
    <row r="1211" spans="4:16" x14ac:dyDescent="0.25"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</row>
    <row r="1212" spans="4:16" x14ac:dyDescent="0.25"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</row>
    <row r="1213" spans="4:16" x14ac:dyDescent="0.25"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</row>
    <row r="1214" spans="4:16" x14ac:dyDescent="0.25"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</row>
    <row r="1215" spans="4:16" x14ac:dyDescent="0.25"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</row>
    <row r="1216" spans="4:16" x14ac:dyDescent="0.25"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</row>
    <row r="1217" spans="4:16" x14ac:dyDescent="0.25"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</row>
    <row r="1218" spans="4:16" x14ac:dyDescent="0.25"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</row>
    <row r="1219" spans="4:16" x14ac:dyDescent="0.25"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</row>
    <row r="1220" spans="4:16" x14ac:dyDescent="0.25"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</row>
    <row r="1221" spans="4:16" x14ac:dyDescent="0.25"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</row>
    <row r="1222" spans="4:16" x14ac:dyDescent="0.25"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</row>
    <row r="1223" spans="4:16" x14ac:dyDescent="0.25"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</row>
    <row r="1224" spans="4:16" x14ac:dyDescent="0.25"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</row>
    <row r="1225" spans="4:16" x14ac:dyDescent="0.25"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</row>
    <row r="1226" spans="4:16" x14ac:dyDescent="0.25"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</row>
    <row r="1227" spans="4:16" x14ac:dyDescent="0.25"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</row>
    <row r="1228" spans="4:16" x14ac:dyDescent="0.25"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</row>
    <row r="1229" spans="4:16" x14ac:dyDescent="0.25"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</row>
    <row r="1230" spans="4:16" x14ac:dyDescent="0.25"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</row>
    <row r="1231" spans="4:16" x14ac:dyDescent="0.25"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</row>
    <row r="1232" spans="4:16" x14ac:dyDescent="0.25"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</row>
    <row r="1233" spans="4:16" x14ac:dyDescent="0.25"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</row>
    <row r="1234" spans="4:16" x14ac:dyDescent="0.25"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</row>
    <row r="1235" spans="4:16" x14ac:dyDescent="0.25"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</row>
    <row r="1236" spans="4:16" x14ac:dyDescent="0.25"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</row>
    <row r="1237" spans="4:16" x14ac:dyDescent="0.25"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</row>
    <row r="1238" spans="4:16" x14ac:dyDescent="0.25"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</row>
    <row r="1239" spans="4:16" x14ac:dyDescent="0.25"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</row>
    <row r="1240" spans="4:16" x14ac:dyDescent="0.25"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</row>
    <row r="1241" spans="4:16" x14ac:dyDescent="0.25"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</row>
    <row r="1242" spans="4:16" x14ac:dyDescent="0.25"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</row>
    <row r="1243" spans="4:16" x14ac:dyDescent="0.25"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</row>
    <row r="1244" spans="4:16" x14ac:dyDescent="0.25"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</row>
    <row r="1245" spans="4:16" x14ac:dyDescent="0.25"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</row>
    <row r="1246" spans="4:16" x14ac:dyDescent="0.25"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</row>
    <row r="1247" spans="4:16" x14ac:dyDescent="0.25"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</row>
    <row r="1248" spans="4:16" x14ac:dyDescent="0.25"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</row>
    <row r="1249" spans="4:16" x14ac:dyDescent="0.25"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</row>
    <row r="1250" spans="4:16" x14ac:dyDescent="0.25"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</row>
    <row r="1251" spans="4:16" x14ac:dyDescent="0.25"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</row>
    <row r="1252" spans="4:16" x14ac:dyDescent="0.25"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</row>
    <row r="1253" spans="4:16" x14ac:dyDescent="0.25"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</row>
    <row r="1254" spans="4:16" x14ac:dyDescent="0.25"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</row>
    <row r="1255" spans="4:16" x14ac:dyDescent="0.25"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</row>
    <row r="1256" spans="4:16" x14ac:dyDescent="0.25"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</row>
    <row r="1257" spans="4:16" x14ac:dyDescent="0.25"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</row>
    <row r="1258" spans="4:16" x14ac:dyDescent="0.25"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</row>
    <row r="1259" spans="4:16" x14ac:dyDescent="0.25"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</row>
    <row r="1260" spans="4:16" x14ac:dyDescent="0.25"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</row>
    <row r="1261" spans="4:16" x14ac:dyDescent="0.25"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</row>
    <row r="1262" spans="4:16" x14ac:dyDescent="0.25"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</row>
    <row r="1263" spans="4:16" x14ac:dyDescent="0.25"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</row>
    <row r="1264" spans="4:16" x14ac:dyDescent="0.25"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</row>
    <row r="1265" spans="4:16" x14ac:dyDescent="0.25"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</row>
    <row r="1266" spans="4:16" x14ac:dyDescent="0.25"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</row>
    <row r="1267" spans="4:16" x14ac:dyDescent="0.25"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</row>
    <row r="1268" spans="4:16" x14ac:dyDescent="0.25"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</row>
    <row r="1269" spans="4:16" x14ac:dyDescent="0.25"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</row>
    <row r="1270" spans="4:16" x14ac:dyDescent="0.25"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</row>
    <row r="1271" spans="4:16" x14ac:dyDescent="0.25"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</row>
    <row r="1272" spans="4:16" x14ac:dyDescent="0.25"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</row>
    <row r="1273" spans="4:16" x14ac:dyDescent="0.25"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</row>
    <row r="1274" spans="4:16" x14ac:dyDescent="0.25"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</row>
    <row r="1275" spans="4:16" x14ac:dyDescent="0.25"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</row>
    <row r="1276" spans="4:16" x14ac:dyDescent="0.25"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</row>
    <row r="1277" spans="4:16" x14ac:dyDescent="0.25"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</row>
    <row r="1278" spans="4:16" x14ac:dyDescent="0.25"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</row>
    <row r="1279" spans="4:16" x14ac:dyDescent="0.25"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</row>
    <row r="1280" spans="4:16" x14ac:dyDescent="0.25"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</row>
    <row r="1281" spans="4:16" x14ac:dyDescent="0.25"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</row>
    <row r="1282" spans="4:16" x14ac:dyDescent="0.25"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</row>
    <row r="1283" spans="4:16" x14ac:dyDescent="0.25"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</row>
    <row r="1284" spans="4:16" x14ac:dyDescent="0.25"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</row>
    <row r="1285" spans="4:16" x14ac:dyDescent="0.25"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</row>
    <row r="1286" spans="4:16" x14ac:dyDescent="0.25"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</row>
    <row r="1287" spans="4:16" x14ac:dyDescent="0.25"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</row>
    <row r="1288" spans="4:16" x14ac:dyDescent="0.25"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</row>
    <row r="1289" spans="4:16" x14ac:dyDescent="0.25"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</row>
    <row r="1290" spans="4:16" x14ac:dyDescent="0.25"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</row>
    <row r="1291" spans="4:16" x14ac:dyDescent="0.25"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</row>
    <row r="1292" spans="4:16" x14ac:dyDescent="0.25"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</row>
    <row r="1293" spans="4:16" x14ac:dyDescent="0.25"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</row>
    <row r="1294" spans="4:16" x14ac:dyDescent="0.25"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</row>
    <row r="1295" spans="4:16" x14ac:dyDescent="0.25"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</row>
    <row r="1296" spans="4:16" x14ac:dyDescent="0.25"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</row>
    <row r="1297" spans="4:16" x14ac:dyDescent="0.25"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</row>
    <row r="1298" spans="4:16" x14ac:dyDescent="0.25"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</row>
    <row r="1299" spans="4:16" x14ac:dyDescent="0.25"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</row>
    <row r="1300" spans="4:16" x14ac:dyDescent="0.25"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</row>
    <row r="1301" spans="4:16" x14ac:dyDescent="0.25"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</row>
    <row r="1302" spans="4:16" x14ac:dyDescent="0.25"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</row>
    <row r="1303" spans="4:16" x14ac:dyDescent="0.25"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</row>
    <row r="1304" spans="4:16" x14ac:dyDescent="0.25"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</row>
    <row r="1305" spans="4:16" x14ac:dyDescent="0.25"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</row>
    <row r="1306" spans="4:16" x14ac:dyDescent="0.25"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</row>
    <row r="1307" spans="4:16" x14ac:dyDescent="0.25"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</row>
    <row r="1308" spans="4:16" x14ac:dyDescent="0.25"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</row>
    <row r="1309" spans="4:16" x14ac:dyDescent="0.25"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</row>
    <row r="1310" spans="4:16" x14ac:dyDescent="0.25"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</row>
    <row r="1311" spans="4:16" x14ac:dyDescent="0.25"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</row>
    <row r="1312" spans="4:16" x14ac:dyDescent="0.25"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</row>
    <row r="1313" spans="4:16" x14ac:dyDescent="0.25"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</row>
    <row r="1314" spans="4:16" x14ac:dyDescent="0.25"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</row>
    <row r="1315" spans="4:16" x14ac:dyDescent="0.25"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</row>
    <row r="1316" spans="4:16" x14ac:dyDescent="0.25"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</row>
    <row r="1317" spans="4:16" x14ac:dyDescent="0.25"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</row>
    <row r="1318" spans="4:16" x14ac:dyDescent="0.25"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</row>
    <row r="1319" spans="4:16" x14ac:dyDescent="0.25"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</row>
    <row r="1320" spans="4:16" x14ac:dyDescent="0.25"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</row>
    <row r="1321" spans="4:16" x14ac:dyDescent="0.25"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</row>
    <row r="1322" spans="4:16" x14ac:dyDescent="0.25"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</row>
    <row r="1323" spans="4:16" x14ac:dyDescent="0.25"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</row>
    <row r="1324" spans="4:16" x14ac:dyDescent="0.25"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</row>
    <row r="1325" spans="4:16" x14ac:dyDescent="0.25"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</row>
    <row r="1326" spans="4:16" x14ac:dyDescent="0.25"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</row>
    <row r="1327" spans="4:16" x14ac:dyDescent="0.25"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</row>
    <row r="1328" spans="4:16" x14ac:dyDescent="0.25"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</row>
    <row r="1329" spans="4:16" x14ac:dyDescent="0.25"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</row>
    <row r="1330" spans="4:16" x14ac:dyDescent="0.25"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</row>
    <row r="1331" spans="4:16" x14ac:dyDescent="0.25"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</row>
    <row r="1332" spans="4:16" x14ac:dyDescent="0.25"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</row>
    <row r="1333" spans="4:16" x14ac:dyDescent="0.25"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</row>
    <row r="1334" spans="4:16" x14ac:dyDescent="0.25"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</row>
    <row r="1335" spans="4:16" x14ac:dyDescent="0.25"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</row>
    <row r="1336" spans="4:16" x14ac:dyDescent="0.25"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</row>
    <row r="1337" spans="4:16" x14ac:dyDescent="0.25"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</row>
    <row r="1338" spans="4:16" x14ac:dyDescent="0.25"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</row>
    <row r="1339" spans="4:16" x14ac:dyDescent="0.25"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</row>
    <row r="1340" spans="4:16" x14ac:dyDescent="0.25"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</row>
    <row r="1341" spans="4:16" x14ac:dyDescent="0.25"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</row>
    <row r="1342" spans="4:16" x14ac:dyDescent="0.25"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</row>
    <row r="1343" spans="4:16" x14ac:dyDescent="0.25"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</row>
    <row r="1344" spans="4:16" x14ac:dyDescent="0.25"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</row>
    <row r="1345" spans="4:16" x14ac:dyDescent="0.25"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</row>
    <row r="1346" spans="4:16" x14ac:dyDescent="0.25"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</row>
    <row r="1347" spans="4:16" x14ac:dyDescent="0.25"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</row>
    <row r="1348" spans="4:16" x14ac:dyDescent="0.25"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</row>
    <row r="1349" spans="4:16" x14ac:dyDescent="0.25"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</row>
    <row r="1350" spans="4:16" x14ac:dyDescent="0.25"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</row>
    <row r="1351" spans="4:16" x14ac:dyDescent="0.25"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</row>
    <row r="1352" spans="4:16" x14ac:dyDescent="0.25"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</row>
    <row r="1353" spans="4:16" x14ac:dyDescent="0.25"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</row>
    <row r="1354" spans="4:16" x14ac:dyDescent="0.25"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</row>
    <row r="1355" spans="4:16" x14ac:dyDescent="0.25"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</row>
    <row r="1356" spans="4:16" x14ac:dyDescent="0.25"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</row>
    <row r="1357" spans="4:16" x14ac:dyDescent="0.25"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</row>
    <row r="1358" spans="4:16" x14ac:dyDescent="0.25"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</row>
    <row r="1359" spans="4:16" x14ac:dyDescent="0.25"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</row>
    <row r="1360" spans="4:16" x14ac:dyDescent="0.25"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</row>
    <row r="1361" spans="4:16" x14ac:dyDescent="0.25"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</row>
    <row r="1362" spans="4:16" x14ac:dyDescent="0.25"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</row>
    <row r="1363" spans="4:16" x14ac:dyDescent="0.25"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</row>
    <row r="1364" spans="4:16" x14ac:dyDescent="0.25"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</row>
    <row r="1365" spans="4:16" x14ac:dyDescent="0.25"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</row>
    <row r="1366" spans="4:16" x14ac:dyDescent="0.25"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</row>
    <row r="1367" spans="4:16" x14ac:dyDescent="0.25"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</row>
    <row r="1368" spans="4:16" x14ac:dyDescent="0.25"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</row>
    <row r="1369" spans="4:16" x14ac:dyDescent="0.25"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</row>
    <row r="1370" spans="4:16" x14ac:dyDescent="0.25"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</row>
    <row r="1371" spans="4:16" x14ac:dyDescent="0.25"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</row>
    <row r="1372" spans="4:16" x14ac:dyDescent="0.25"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</row>
    <row r="1373" spans="4:16" x14ac:dyDescent="0.25"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</row>
    <row r="1374" spans="4:16" x14ac:dyDescent="0.25"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</row>
    <row r="1375" spans="4:16" x14ac:dyDescent="0.25"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</row>
    <row r="1376" spans="4:16" x14ac:dyDescent="0.25"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</row>
    <row r="1377" spans="4:16" x14ac:dyDescent="0.25"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</row>
    <row r="1378" spans="4:16" x14ac:dyDescent="0.25"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</row>
    <row r="1379" spans="4:16" x14ac:dyDescent="0.25"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</row>
    <row r="1380" spans="4:16" x14ac:dyDescent="0.25"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</row>
    <row r="1381" spans="4:16" x14ac:dyDescent="0.25"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</row>
    <row r="1382" spans="4:16" x14ac:dyDescent="0.25"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</row>
    <row r="1383" spans="4:16" x14ac:dyDescent="0.25"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</row>
    <row r="1384" spans="4:16" x14ac:dyDescent="0.25"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</row>
    <row r="1385" spans="4:16" x14ac:dyDescent="0.25"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</row>
    <row r="1386" spans="4:16" x14ac:dyDescent="0.25"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</row>
    <row r="1387" spans="4:16" x14ac:dyDescent="0.25"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</row>
    <row r="1388" spans="4:16" x14ac:dyDescent="0.25"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</row>
    <row r="1389" spans="4:16" x14ac:dyDescent="0.25"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</row>
    <row r="1390" spans="4:16" x14ac:dyDescent="0.25"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</row>
    <row r="1391" spans="4:16" x14ac:dyDescent="0.25"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</row>
    <row r="1392" spans="4:16" x14ac:dyDescent="0.25"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</row>
    <row r="1393" spans="4:16" x14ac:dyDescent="0.25"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</row>
    <row r="1394" spans="4:16" x14ac:dyDescent="0.25"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</row>
    <row r="1395" spans="4:16" x14ac:dyDescent="0.25"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</row>
    <row r="1396" spans="4:16" x14ac:dyDescent="0.25"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</row>
    <row r="1397" spans="4:16" x14ac:dyDescent="0.25"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</row>
    <row r="1398" spans="4:16" x14ac:dyDescent="0.25"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</row>
    <row r="1399" spans="4:16" x14ac:dyDescent="0.25"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</row>
    <row r="1400" spans="4:16" x14ac:dyDescent="0.25"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</row>
    <row r="1401" spans="4:16" x14ac:dyDescent="0.25"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</row>
    <row r="1402" spans="4:16" x14ac:dyDescent="0.25"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</row>
    <row r="1403" spans="4:16" x14ac:dyDescent="0.25"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</row>
    <row r="1404" spans="4:16" x14ac:dyDescent="0.25"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</row>
    <row r="1405" spans="4:16" x14ac:dyDescent="0.25"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</row>
    <row r="1406" spans="4:16" x14ac:dyDescent="0.25"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</row>
    <row r="1407" spans="4:16" x14ac:dyDescent="0.25"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</row>
    <row r="1408" spans="4:16" x14ac:dyDescent="0.25"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</row>
    <row r="1409" spans="4:16" x14ac:dyDescent="0.25"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</row>
    <row r="1410" spans="4:16" x14ac:dyDescent="0.25"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</row>
    <row r="1411" spans="4:16" x14ac:dyDescent="0.25"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</row>
    <row r="1412" spans="4:16" x14ac:dyDescent="0.25"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</row>
    <row r="1413" spans="4:16" x14ac:dyDescent="0.25"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</row>
    <row r="1414" spans="4:16" x14ac:dyDescent="0.25"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</row>
    <row r="1415" spans="4:16" x14ac:dyDescent="0.25"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</row>
    <row r="1416" spans="4:16" x14ac:dyDescent="0.25"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</row>
    <row r="1417" spans="4:16" x14ac:dyDescent="0.25"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</row>
    <row r="1418" spans="4:16" x14ac:dyDescent="0.25"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</row>
    <row r="1419" spans="4:16" x14ac:dyDescent="0.25"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</row>
    <row r="1420" spans="4:16" x14ac:dyDescent="0.25"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</row>
    <row r="1421" spans="4:16" x14ac:dyDescent="0.25"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</row>
    <row r="1422" spans="4:16" x14ac:dyDescent="0.25"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</row>
    <row r="1423" spans="4:16" x14ac:dyDescent="0.25"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</row>
    <row r="1424" spans="4:16" x14ac:dyDescent="0.25"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</row>
    <row r="1425" spans="4:16" x14ac:dyDescent="0.25"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</row>
    <row r="1426" spans="4:16" x14ac:dyDescent="0.25"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</row>
    <row r="1427" spans="4:16" x14ac:dyDescent="0.25"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</row>
    <row r="1428" spans="4:16" x14ac:dyDescent="0.25"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</row>
    <row r="1429" spans="4:16" x14ac:dyDescent="0.25"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</row>
    <row r="1430" spans="4:16" x14ac:dyDescent="0.25"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</row>
    <row r="1431" spans="4:16" x14ac:dyDescent="0.25"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</row>
    <row r="1432" spans="4:16" x14ac:dyDescent="0.25"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</row>
    <row r="1433" spans="4:16" x14ac:dyDescent="0.25"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</row>
    <row r="1434" spans="4:16" x14ac:dyDescent="0.25"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</row>
    <row r="1435" spans="4:16" x14ac:dyDescent="0.25"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</row>
    <row r="1436" spans="4:16" x14ac:dyDescent="0.25"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</row>
    <row r="1437" spans="4:16" x14ac:dyDescent="0.25"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</row>
    <row r="1438" spans="4:16" x14ac:dyDescent="0.25"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</row>
    <row r="1439" spans="4:16" x14ac:dyDescent="0.25"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</row>
    <row r="1440" spans="4:16" x14ac:dyDescent="0.25"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</row>
    <row r="1441" spans="4:16" x14ac:dyDescent="0.25"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</row>
    <row r="1442" spans="4:16" x14ac:dyDescent="0.25"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</row>
    <row r="1443" spans="4:16" x14ac:dyDescent="0.25"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</row>
    <row r="1444" spans="4:16" x14ac:dyDescent="0.25"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</row>
    <row r="1445" spans="4:16" x14ac:dyDescent="0.25"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</row>
    <row r="1446" spans="4:16" x14ac:dyDescent="0.25"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</row>
    <row r="1447" spans="4:16" x14ac:dyDescent="0.25"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</row>
    <row r="1448" spans="4:16" x14ac:dyDescent="0.25"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</row>
    <row r="1449" spans="4:16" x14ac:dyDescent="0.25"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</row>
    <row r="1450" spans="4:16" x14ac:dyDescent="0.25"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</row>
    <row r="1451" spans="4:16" x14ac:dyDescent="0.25"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</row>
    <row r="1452" spans="4:16" x14ac:dyDescent="0.25"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</row>
    <row r="1453" spans="4:16" x14ac:dyDescent="0.25"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</row>
    <row r="1454" spans="4:16" x14ac:dyDescent="0.25"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</row>
    <row r="1455" spans="4:16" x14ac:dyDescent="0.25"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</row>
    <row r="1456" spans="4:16" x14ac:dyDescent="0.25"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</row>
    <row r="1457" spans="4:16" x14ac:dyDescent="0.25"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</row>
    <row r="1458" spans="4:16" x14ac:dyDescent="0.25"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</row>
    <row r="1459" spans="4:16" x14ac:dyDescent="0.25"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</row>
    <row r="1460" spans="4:16" x14ac:dyDescent="0.25"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</row>
    <row r="1461" spans="4:16" x14ac:dyDescent="0.25"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</row>
    <row r="1462" spans="4:16" x14ac:dyDescent="0.25"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</row>
    <row r="1463" spans="4:16" x14ac:dyDescent="0.25"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</row>
    <row r="1464" spans="4:16" x14ac:dyDescent="0.25"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</row>
    <row r="1465" spans="4:16" x14ac:dyDescent="0.25"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</row>
    <row r="1466" spans="4:16" x14ac:dyDescent="0.25"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</row>
    <row r="1467" spans="4:16" x14ac:dyDescent="0.25"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</row>
    <row r="1468" spans="4:16" x14ac:dyDescent="0.25"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</row>
    <row r="1469" spans="4:16" x14ac:dyDescent="0.25"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</row>
    <row r="1470" spans="4:16" x14ac:dyDescent="0.25"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</row>
    <row r="1471" spans="4:16" x14ac:dyDescent="0.25"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</row>
    <row r="1472" spans="4:16" x14ac:dyDescent="0.25"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</row>
    <row r="1473" spans="4:16" x14ac:dyDescent="0.25"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</row>
    <row r="1474" spans="4:16" x14ac:dyDescent="0.25"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</row>
    <row r="1475" spans="4:16" x14ac:dyDescent="0.25"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</row>
    <row r="1476" spans="4:16" x14ac:dyDescent="0.25"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</row>
    <row r="1477" spans="4:16" x14ac:dyDescent="0.25"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</row>
    <row r="1478" spans="4:16" x14ac:dyDescent="0.25"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</row>
    <row r="1479" spans="4:16" x14ac:dyDescent="0.25"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</row>
    <row r="1480" spans="4:16" x14ac:dyDescent="0.25"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</row>
    <row r="1481" spans="4:16" x14ac:dyDescent="0.25"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</row>
    <row r="1482" spans="4:16" x14ac:dyDescent="0.25"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</row>
    <row r="1483" spans="4:16" x14ac:dyDescent="0.25"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</row>
    <row r="1484" spans="4:16" x14ac:dyDescent="0.25"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</row>
    <row r="1485" spans="4:16" x14ac:dyDescent="0.25"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</row>
    <row r="1486" spans="4:16" x14ac:dyDescent="0.25"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</row>
    <row r="1487" spans="4:16" x14ac:dyDescent="0.25"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</row>
    <row r="1488" spans="4:16" x14ac:dyDescent="0.25"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</row>
    <row r="1489" spans="4:16" x14ac:dyDescent="0.25"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</row>
    <row r="1490" spans="4:16" x14ac:dyDescent="0.25"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</row>
    <row r="1491" spans="4:16" x14ac:dyDescent="0.25"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</row>
    <row r="1492" spans="4:16" x14ac:dyDescent="0.25"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</row>
    <row r="1493" spans="4:16" x14ac:dyDescent="0.25"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</row>
    <row r="1494" spans="4:16" x14ac:dyDescent="0.25"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</row>
    <row r="1495" spans="4:16" x14ac:dyDescent="0.25"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</row>
    <row r="1496" spans="4:16" x14ac:dyDescent="0.25"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</row>
    <row r="1497" spans="4:16" x14ac:dyDescent="0.25"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</row>
    <row r="1498" spans="4:16" x14ac:dyDescent="0.25"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</row>
    <row r="1499" spans="4:16" x14ac:dyDescent="0.25"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</row>
    <row r="1500" spans="4:16" x14ac:dyDescent="0.25"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</row>
    <row r="1501" spans="4:16" x14ac:dyDescent="0.25"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</row>
    <row r="1502" spans="4:16" x14ac:dyDescent="0.25"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</row>
    <row r="1503" spans="4:16" x14ac:dyDescent="0.25"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</row>
    <row r="1504" spans="4:16" x14ac:dyDescent="0.25"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</row>
    <row r="1505" spans="4:16" x14ac:dyDescent="0.25"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</row>
    <row r="1506" spans="4:16" x14ac:dyDescent="0.25"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</row>
    <row r="1507" spans="4:16" x14ac:dyDescent="0.25"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</row>
    <row r="1508" spans="4:16" x14ac:dyDescent="0.25"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</row>
    <row r="1509" spans="4:16" x14ac:dyDescent="0.25"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</row>
    <row r="1510" spans="4:16" x14ac:dyDescent="0.25"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</row>
    <row r="1511" spans="4:16" x14ac:dyDescent="0.25"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</row>
    <row r="1512" spans="4:16" x14ac:dyDescent="0.25"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</row>
    <row r="1513" spans="4:16" x14ac:dyDescent="0.25"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</row>
    <row r="1514" spans="4:16" x14ac:dyDescent="0.25"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</row>
    <row r="1515" spans="4:16" x14ac:dyDescent="0.25"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</row>
    <row r="1516" spans="4:16" x14ac:dyDescent="0.25"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</row>
    <row r="1517" spans="4:16" x14ac:dyDescent="0.25"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</row>
    <row r="1518" spans="4:16" x14ac:dyDescent="0.25"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</row>
    <row r="1519" spans="4:16" x14ac:dyDescent="0.25"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</row>
    <row r="1520" spans="4:16" x14ac:dyDescent="0.25"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</row>
    <row r="1521" spans="4:16" x14ac:dyDescent="0.25"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</row>
    <row r="1522" spans="4:16" x14ac:dyDescent="0.25"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</row>
    <row r="1523" spans="4:16" x14ac:dyDescent="0.25"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</row>
    <row r="1524" spans="4:16" x14ac:dyDescent="0.25"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</row>
    <row r="1525" spans="4:16" x14ac:dyDescent="0.25"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</row>
    <row r="1526" spans="4:16" x14ac:dyDescent="0.25"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</row>
    <row r="1527" spans="4:16" x14ac:dyDescent="0.25"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</row>
    <row r="1528" spans="4:16" x14ac:dyDescent="0.25"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</row>
    <row r="1529" spans="4:16" x14ac:dyDescent="0.25"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</row>
    <row r="1530" spans="4:16" x14ac:dyDescent="0.25"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</row>
    <row r="1531" spans="4:16" x14ac:dyDescent="0.25"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</row>
    <row r="1532" spans="4:16" x14ac:dyDescent="0.25"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</row>
    <row r="1533" spans="4:16" x14ac:dyDescent="0.25"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</row>
    <row r="1534" spans="4:16" x14ac:dyDescent="0.25"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</row>
    <row r="1535" spans="4:16" x14ac:dyDescent="0.25"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</row>
    <row r="1536" spans="4:16" x14ac:dyDescent="0.25"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</row>
    <row r="1537" spans="4:16" x14ac:dyDescent="0.25"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</row>
    <row r="1538" spans="4:16" x14ac:dyDescent="0.25"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</row>
    <row r="1539" spans="4:16" x14ac:dyDescent="0.25"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</row>
    <row r="1540" spans="4:16" x14ac:dyDescent="0.25"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</row>
    <row r="1541" spans="4:16" x14ac:dyDescent="0.25"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</row>
    <row r="1542" spans="4:16" x14ac:dyDescent="0.25"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</row>
    <row r="1543" spans="4:16" x14ac:dyDescent="0.25"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</row>
    <row r="1544" spans="4:16" x14ac:dyDescent="0.25"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</row>
    <row r="1545" spans="4:16" x14ac:dyDescent="0.25"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</row>
    <row r="1546" spans="4:16" x14ac:dyDescent="0.25"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</row>
    <row r="1547" spans="4:16" x14ac:dyDescent="0.25"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</row>
    <row r="1548" spans="4:16" x14ac:dyDescent="0.25"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</row>
    <row r="1549" spans="4:16" x14ac:dyDescent="0.25"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</row>
    <row r="1550" spans="4:16" x14ac:dyDescent="0.25"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</row>
    <row r="1551" spans="4:16" x14ac:dyDescent="0.25"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</row>
    <row r="1552" spans="4:16" x14ac:dyDescent="0.25"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</row>
    <row r="1553" spans="4:16" x14ac:dyDescent="0.25"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</row>
    <row r="1554" spans="4:16" x14ac:dyDescent="0.25"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</row>
    <row r="1555" spans="4:16" x14ac:dyDescent="0.25"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</row>
    <row r="1556" spans="4:16" x14ac:dyDescent="0.25"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</row>
    <row r="1557" spans="4:16" x14ac:dyDescent="0.25"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</row>
    <row r="1558" spans="4:16" x14ac:dyDescent="0.25"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</row>
    <row r="1559" spans="4:16" x14ac:dyDescent="0.25"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</row>
    <row r="1560" spans="4:16" x14ac:dyDescent="0.25"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</row>
    <row r="1561" spans="4:16" x14ac:dyDescent="0.25"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</row>
    <row r="1562" spans="4:16" x14ac:dyDescent="0.25"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</row>
    <row r="1563" spans="4:16" x14ac:dyDescent="0.25"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</row>
    <row r="1564" spans="4:16" x14ac:dyDescent="0.25"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</row>
    <row r="1565" spans="4:16" x14ac:dyDescent="0.25"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</row>
    <row r="1566" spans="4:16" x14ac:dyDescent="0.25"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</row>
    <row r="1567" spans="4:16" x14ac:dyDescent="0.25"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</row>
    <row r="1568" spans="4:16" x14ac:dyDescent="0.25"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</row>
    <row r="1569" spans="4:16" x14ac:dyDescent="0.25"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</row>
    <row r="1570" spans="4:16" x14ac:dyDescent="0.25"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</row>
    <row r="1571" spans="4:16" x14ac:dyDescent="0.25"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</row>
    <row r="1572" spans="4:16" x14ac:dyDescent="0.25"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</row>
    <row r="1573" spans="4:16" x14ac:dyDescent="0.25"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</row>
    <row r="1574" spans="4:16" x14ac:dyDescent="0.25"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</row>
    <row r="1575" spans="4:16" x14ac:dyDescent="0.25"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</row>
    <row r="1576" spans="4:16" x14ac:dyDescent="0.25"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</row>
    <row r="1577" spans="4:16" x14ac:dyDescent="0.25"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</row>
    <row r="1578" spans="4:16" x14ac:dyDescent="0.25"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</row>
    <row r="1579" spans="4:16" x14ac:dyDescent="0.25"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</row>
    <row r="1580" spans="4:16" x14ac:dyDescent="0.25"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</row>
    <row r="1581" spans="4:16" x14ac:dyDescent="0.25"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</row>
    <row r="1582" spans="4:16" x14ac:dyDescent="0.25"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</row>
    <row r="1583" spans="4:16" x14ac:dyDescent="0.25"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</row>
    <row r="1584" spans="4:16" x14ac:dyDescent="0.25"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</row>
    <row r="1585" spans="4:16" x14ac:dyDescent="0.25"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</row>
    <row r="1586" spans="4:16" x14ac:dyDescent="0.25"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</row>
    <row r="1587" spans="4:16" x14ac:dyDescent="0.25"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</row>
    <row r="1588" spans="4:16" x14ac:dyDescent="0.25"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</row>
    <row r="1589" spans="4:16" x14ac:dyDescent="0.25"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</row>
    <row r="1590" spans="4:16" x14ac:dyDescent="0.25"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</row>
    <row r="1591" spans="4:16" x14ac:dyDescent="0.25"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</row>
    <row r="1592" spans="4:16" x14ac:dyDescent="0.25"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</row>
    <row r="1593" spans="4:16" x14ac:dyDescent="0.25"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</row>
    <row r="1594" spans="4:16" x14ac:dyDescent="0.25"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</row>
    <row r="1595" spans="4:16" x14ac:dyDescent="0.25"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</row>
    <row r="1596" spans="4:16" x14ac:dyDescent="0.25"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</row>
    <row r="1597" spans="4:16" x14ac:dyDescent="0.25"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</row>
    <row r="1598" spans="4:16" x14ac:dyDescent="0.25"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</row>
    <row r="1599" spans="4:16" x14ac:dyDescent="0.25"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</row>
    <row r="1600" spans="4:16" x14ac:dyDescent="0.25"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</row>
    <row r="1601" spans="4:16" x14ac:dyDescent="0.25"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</row>
    <row r="1602" spans="4:16" x14ac:dyDescent="0.25"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</row>
    <row r="1603" spans="4:16" x14ac:dyDescent="0.25"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</row>
    <row r="1604" spans="4:16" x14ac:dyDescent="0.25"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</row>
    <row r="1605" spans="4:16" x14ac:dyDescent="0.25"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</row>
    <row r="1606" spans="4:16" x14ac:dyDescent="0.25"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</row>
    <row r="1607" spans="4:16" x14ac:dyDescent="0.25"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</row>
    <row r="1608" spans="4:16" x14ac:dyDescent="0.25"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</row>
    <row r="1609" spans="4:16" x14ac:dyDescent="0.25"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</row>
    <row r="1610" spans="4:16" x14ac:dyDescent="0.25"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</row>
    <row r="1611" spans="4:16" x14ac:dyDescent="0.25">
      <c r="G1611" s="1"/>
      <c r="H1611" s="1"/>
      <c r="I1611" s="1"/>
      <c r="J1611" s="1"/>
      <c r="K1611" s="1"/>
      <c r="L1611" s="1"/>
      <c r="M1611" s="1"/>
      <c r="N1611" s="1"/>
      <c r="O1611" s="1"/>
      <c r="P1611" s="1"/>
    </row>
    <row r="1612" spans="4:16" x14ac:dyDescent="0.25">
      <c r="G1612" s="1"/>
      <c r="H1612" s="1"/>
      <c r="I1612" s="1"/>
      <c r="J1612" s="1"/>
      <c r="K1612" s="1"/>
      <c r="L1612" s="1"/>
      <c r="M1612" s="1"/>
      <c r="N1612" s="1"/>
      <c r="O1612" s="1"/>
      <c r="P1612" s="1"/>
    </row>
    <row r="1613" spans="4:16" x14ac:dyDescent="0.25">
      <c r="G1613" s="1"/>
      <c r="H1613" s="1"/>
      <c r="I1613" s="1"/>
      <c r="J1613" s="1"/>
      <c r="K1613" s="1"/>
      <c r="L1613" s="1"/>
      <c r="M1613" s="1"/>
      <c r="N1613" s="1"/>
      <c r="O1613" s="1"/>
      <c r="P1613" s="1"/>
    </row>
    <row r="1614" spans="4:16" x14ac:dyDescent="0.25">
      <c r="G1614" s="1"/>
      <c r="H1614" s="1"/>
      <c r="I1614" s="1"/>
      <c r="J1614" s="1"/>
      <c r="K1614" s="1"/>
      <c r="L1614" s="1"/>
      <c r="M1614" s="1"/>
      <c r="N1614" s="1"/>
      <c r="O1614" s="1"/>
      <c r="P1614" s="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TextBox1">
          <controlPr defaultSize="0" autoLine="0" r:id="rId4">
            <anchor moveWithCells="1">
              <from>
                <xdr:col>3</xdr:col>
                <xdr:colOff>0</xdr:colOff>
                <xdr:row>2</xdr:row>
                <xdr:rowOff>171450</xdr:rowOff>
              </from>
              <to>
                <xdr:col>4</xdr:col>
                <xdr:colOff>1000125</xdr:colOff>
                <xdr:row>4</xdr:row>
                <xdr:rowOff>161925</xdr:rowOff>
              </to>
            </anchor>
          </controlPr>
        </control>
      </mc:Choice>
      <mc:Fallback>
        <control shapeId="1027" r:id="rId3" name="TextBox1"/>
      </mc:Fallback>
    </mc:AlternateContent>
    <mc:AlternateContent xmlns:mc="http://schemas.openxmlformats.org/markup-compatibility/2006">
      <mc:Choice Requires="x14">
        <control shapeId="1026" r:id="rId5" name="Button 2">
          <controlPr defaultSize="0" print="0" autoFill="0" autoPict="0" macro="[0]!MENU">
            <anchor moveWithCells="1" sizeWithCells="1">
              <from>
                <xdr:col>4</xdr:col>
                <xdr:colOff>1009650</xdr:colOff>
                <xdr:row>3</xdr:row>
                <xdr:rowOff>9525</xdr:rowOff>
              </from>
              <to>
                <xdr:col>6</xdr:col>
                <xdr:colOff>0</xdr:colOff>
                <xdr:row>4</xdr:row>
                <xdr:rowOff>171450</xdr:rowOff>
              </to>
            </anchor>
          </controlPr>
        </control>
      </mc:Choice>
    </mc:AlternateContent>
  </controls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B3B79C-E7CE-4290-9D47-B27EF0768BD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MENU</vt:lpstr>
      <vt:lpstr>AÑO 2011</vt:lpstr>
      <vt:lpstr>AÑO 2014</vt:lpstr>
      <vt:lpstr>AÑO 2016</vt:lpstr>
      <vt:lpstr>AÑO 2017</vt:lpstr>
      <vt:lpstr>AÑO 2018</vt:lpstr>
      <vt:lpstr>AÑO 2019</vt:lpstr>
      <vt:lpstr>AÑO 2020</vt:lpstr>
      <vt:lpstr>AÑO 2021</vt:lpstr>
      <vt:lpstr>AÑO 2022</vt:lpstr>
      <vt:lpstr>AÑO 2023</vt:lpstr>
      <vt:lpstr>AÑO 2024</vt:lpstr>
      <vt:lpstr>BASE DE 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DIRECTORA</dc:creator>
  <cp:lastModifiedBy>Jesus Alfonseca</cp:lastModifiedBy>
  <dcterms:created xsi:type="dcterms:W3CDTF">2025-07-15T15:48:56Z</dcterms:created>
  <dcterms:modified xsi:type="dcterms:W3CDTF">2026-06-22T02:08:44Z</dcterms:modified>
</cp:coreProperties>
</file>